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A\Dropbox\LABORAL\"/>
    </mc:Choice>
  </mc:AlternateContent>
  <bookViews>
    <workbookView xWindow="28680" yWindow="-120" windowWidth="29040" windowHeight="15840" tabRatio="401"/>
  </bookViews>
  <sheets>
    <sheet name="SOCIOS" sheetId="3" r:id="rId1"/>
    <sheet name="PUNTUA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8" i="3" l="1"/>
  <c r="G39" i="2"/>
  <c r="G40" i="2" s="1"/>
  <c r="G41" i="2" s="1"/>
  <c r="G43" i="2" s="1"/>
  <c r="G44" i="2" s="1"/>
  <c r="G45" i="2"/>
  <c r="G46" i="2" s="1"/>
  <c r="G3" i="2"/>
  <c r="G563" i="2"/>
  <c r="G576" i="2"/>
  <c r="G510" i="2"/>
  <c r="G547" i="2"/>
  <c r="G560" i="2" s="1"/>
  <c r="G511" i="2"/>
  <c r="G548" i="2" s="1"/>
  <c r="G561" i="2" s="1"/>
  <c r="G549" i="2"/>
  <c r="G562" i="2" s="1"/>
  <c r="G550" i="2"/>
  <c r="G551" i="2"/>
  <c r="G552" i="2"/>
  <c r="G553" i="2"/>
  <c r="G554" i="2"/>
  <c r="G555" i="2"/>
  <c r="G556" i="2"/>
  <c r="G557" i="2"/>
  <c r="G558" i="2"/>
  <c r="G559" i="2"/>
  <c r="G509" i="2"/>
  <c r="G381" i="2"/>
  <c r="G382" i="2" s="1"/>
  <c r="G383" i="2" s="1"/>
  <c r="G98" i="2"/>
  <c r="G100" i="2" s="1"/>
  <c r="G101" i="2" s="1"/>
  <c r="G102" i="2" s="1"/>
  <c r="G103" i="2" s="1"/>
  <c r="G104" i="2" s="1"/>
  <c r="G105" i="2" s="1"/>
  <c r="G106" i="2" s="1"/>
  <c r="G107" i="2" s="1"/>
  <c r="G108" i="2" s="1"/>
  <c r="G89" i="2"/>
  <c r="G90" i="2" s="1"/>
  <c r="G91" i="2" s="1"/>
  <c r="G92" i="2" s="1"/>
  <c r="G93" i="2" s="1"/>
  <c r="G94" i="2" s="1"/>
  <c r="G95" i="2"/>
  <c r="G96" i="2"/>
  <c r="G97" i="2" s="1"/>
  <c r="G79" i="2"/>
  <c r="G80" i="2"/>
  <c r="G81" i="2" s="1"/>
  <c r="G82" i="2" s="1"/>
  <c r="G83" i="2" s="1"/>
  <c r="Q59" i="2"/>
  <c r="G66" i="2"/>
  <c r="G67" i="2" s="1"/>
  <c r="G68" i="2" s="1"/>
  <c r="G69" i="2" s="1"/>
  <c r="G70" i="2" s="1"/>
  <c r="G71" i="2" s="1"/>
  <c r="G72" i="2" s="1"/>
  <c r="G75" i="2"/>
  <c r="G76" i="2" s="1"/>
  <c r="G77" i="2" s="1"/>
  <c r="G78" i="2" s="1"/>
  <c r="G54" i="2"/>
  <c r="G55" i="2" s="1"/>
  <c r="G51" i="2"/>
  <c r="G42" i="2"/>
  <c r="M42" i="2"/>
  <c r="G35" i="2"/>
  <c r="G36" i="2" s="1"/>
  <c r="G37" i="2" s="1"/>
  <c r="G30" i="2"/>
  <c r="G31" i="2"/>
  <c r="G32" i="2" s="1"/>
  <c r="G33" i="2" s="1"/>
  <c r="G34" i="2" s="1"/>
  <c r="G26" i="2"/>
  <c r="G27" i="2" s="1"/>
  <c r="G28" i="2" s="1"/>
  <c r="G29" i="2" s="1"/>
  <c r="G24" i="2"/>
  <c r="G25" i="2" s="1"/>
  <c r="G23" i="2"/>
  <c r="G47" i="2"/>
  <c r="G49" i="2"/>
  <c r="G48" i="2"/>
  <c r="G99" i="2" l="1"/>
  <c r="G564" i="2"/>
  <c r="G577" i="2" s="1"/>
  <c r="G56" i="2"/>
  <c r="G57" i="2" s="1"/>
  <c r="G109" i="2"/>
  <c r="G110" i="2" s="1"/>
  <c r="G119" i="2"/>
</calcChain>
</file>

<file path=xl/comments1.xml><?xml version="1.0" encoding="utf-8"?>
<comments xmlns="http://schemas.openxmlformats.org/spreadsheetml/2006/main">
  <authors>
    <author>PC</author>
  </authors>
  <commentList>
    <comment ref="D573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DADA DE ALTA EN SS CON PASAPORTE NUM 5920549831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F585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DADA DE ALTA EN SS CON PASAPORTE NUM 5920549831</t>
        </r>
      </text>
    </comment>
  </commentList>
</comments>
</file>

<file path=xl/sharedStrings.xml><?xml version="1.0" encoding="utf-8"?>
<sst xmlns="http://schemas.openxmlformats.org/spreadsheetml/2006/main" count="4107" uniqueCount="3075">
  <si>
    <t>NOMBRE Y APELLIDOS</t>
  </si>
  <si>
    <t>ol</t>
  </si>
  <si>
    <t>NAF</t>
  </si>
  <si>
    <t>NIF/NIE</t>
  </si>
  <si>
    <t>CC</t>
  </si>
  <si>
    <t>FECHA NACIMIENTO</t>
  </si>
  <si>
    <t>GRUPO</t>
  </si>
  <si>
    <t>CATEGORIA PROFESIONAL</t>
  </si>
  <si>
    <t>FECHA CADUCIDAD</t>
  </si>
  <si>
    <t>NACIONALIDAD</t>
  </si>
  <si>
    <t>NICOLETTA VALENTE</t>
  </si>
  <si>
    <t>471018649632</t>
  </si>
  <si>
    <t>1018649632</t>
  </si>
  <si>
    <t>X6105215A</t>
  </si>
  <si>
    <t>IGNACIO MARTIN RICCI</t>
  </si>
  <si>
    <t>081279985491</t>
  </si>
  <si>
    <t>1279985491</t>
  </si>
  <si>
    <t>Y2639496F</t>
  </si>
  <si>
    <t>GUILLERMO VIZCAINO LLOBERA</t>
  </si>
  <si>
    <t>071045708077</t>
  </si>
  <si>
    <t>1045708077</t>
  </si>
  <si>
    <t>41522123Q</t>
  </si>
  <si>
    <t>JORGE ALBUERNE JUANCO</t>
  </si>
  <si>
    <t>331015957038</t>
  </si>
  <si>
    <t>1015957038</t>
  </si>
  <si>
    <t>09422055J</t>
  </si>
  <si>
    <t>ARTISTA DE CIRCO</t>
  </si>
  <si>
    <t>EMMANUEL JOEL DANET</t>
  </si>
  <si>
    <t>071005945454</t>
  </si>
  <si>
    <t>1005945454</t>
  </si>
  <si>
    <t>X1981863E</t>
  </si>
  <si>
    <t>ACTOR TEATRO</t>
  </si>
  <si>
    <t>ELISABETTA CAU</t>
  </si>
  <si>
    <t>081295553284</t>
  </si>
  <si>
    <t>1295553284</t>
  </si>
  <si>
    <t>Y3339605L</t>
  </si>
  <si>
    <t>NICOLAS BENINCASA</t>
  </si>
  <si>
    <t>081227131003</t>
  </si>
  <si>
    <t>1227131003</t>
  </si>
  <si>
    <t>Y0082226S</t>
  </si>
  <si>
    <t>JOAQUIN LAGUARDE</t>
  </si>
  <si>
    <t>081173328840</t>
  </si>
  <si>
    <t>1173328840</t>
  </si>
  <si>
    <t>X3428235Q</t>
  </si>
  <si>
    <t>MONTADOR</t>
  </si>
  <si>
    <t>FRANCISCO ROJAS 	DYVINETZ</t>
  </si>
  <si>
    <t>471019949869</t>
  </si>
  <si>
    <t>1019949869</t>
  </si>
  <si>
    <t>26320591N</t>
  </si>
  <si>
    <t>RODOLFO ALFREDO 	SAMPEDRO</t>
  </si>
  <si>
    <t>041039961584</t>
  </si>
  <si>
    <t>1039961584</t>
  </si>
  <si>
    <t>X6513507E</t>
  </si>
  <si>
    <t>HECTOR GRANADA 	COROLEU</t>
  </si>
  <si>
    <t>081052236161</t>
  </si>
  <si>
    <t>1052236161</t>
  </si>
  <si>
    <t>46138182K</t>
  </si>
  <si>
    <t>PRIMER AYUDANTE PRODUCCION</t>
  </si>
  <si>
    <t>ANTONIO BLANCO 	HERMOSIN</t>
  </si>
  <si>
    <t>081078871856</t>
  </si>
  <si>
    <t>1078871856</t>
  </si>
  <si>
    <t>43453709Q</t>
  </si>
  <si>
    <t>MARIA SOL VAZQUEZ 	 NICOLOFF</t>
  </si>
  <si>
    <t>081174888823</t>
  </si>
  <si>
    <t>1174888823</t>
  </si>
  <si>
    <t>49322021Q</t>
  </si>
  <si>
    <t>ADRIANA SEGURADO  	MENDEZ</t>
  </si>
  <si>
    <t>081098996528</t>
  </si>
  <si>
    <t>1098996528</t>
  </si>
  <si>
    <t>47634414B</t>
  </si>
  <si>
    <t xml:space="preserve">JUAN CARLOS SABATE </t>
  </si>
  <si>
    <t>081255998607</t>
  </si>
  <si>
    <t>1255998607</t>
  </si>
  <si>
    <t>Y0452587F</t>
  </si>
  <si>
    <t>XAVIER  GARCÍA 	ILLA</t>
  </si>
  <si>
    <t>081069372122</t>
  </si>
  <si>
    <t>1069372122</t>
  </si>
  <si>
    <t>38135612W</t>
  </si>
  <si>
    <t>MÚSIC</t>
  </si>
  <si>
    <t>ALBERT REQUENA 	SERRA</t>
  </si>
  <si>
    <t>080543963801</t>
  </si>
  <si>
    <t>0543963801</t>
  </si>
  <si>
    <t>40992217F</t>
  </si>
  <si>
    <t>AINHOA ROCA  VIELBA	 AUTONOMA</t>
  </si>
  <si>
    <t>081103701129</t>
  </si>
  <si>
    <t>1103701129</t>
  </si>
  <si>
    <t>52916243M</t>
  </si>
  <si>
    <t xml:space="preserve">JADE  MORIN	</t>
  </si>
  <si>
    <t>281316149082</t>
  </si>
  <si>
    <t>1316149082</t>
  </si>
  <si>
    <t>Y0276785V</t>
  </si>
  <si>
    <t>PATXI  URLEZAGA 	MORUGARREN</t>
  </si>
  <si>
    <t>201007912318</t>
  </si>
  <si>
    <t>1007912318</t>
  </si>
  <si>
    <t>44170136Q</t>
  </si>
  <si>
    <t>MAURO DANIEL  PAGANINI	 POLLINI</t>
  </si>
  <si>
    <t>081180605052</t>
  </si>
  <si>
    <t>1180605052</t>
  </si>
  <si>
    <t>21755736J</t>
  </si>
  <si>
    <t>TUPAC  MARTÍN  	DAMIA</t>
  </si>
  <si>
    <t>331041402360</t>
  </si>
  <si>
    <t>1041402360</t>
  </si>
  <si>
    <t>X8921944Z</t>
  </si>
  <si>
    <t xml:space="preserve">STINA  MARIA 	KOPRA	</t>
  </si>
  <si>
    <t>081323731380</t>
  </si>
  <si>
    <t>1323731380</t>
  </si>
  <si>
    <t>Y3361816N</t>
  </si>
  <si>
    <t>FINLANDIA</t>
  </si>
  <si>
    <t>ANGEL ROSET 	ROSADO</t>
  </si>
  <si>
    <t>081093008594</t>
  </si>
  <si>
    <t>39363487E</t>
  </si>
  <si>
    <t>VICTOR  RUBILAR 	PANASIUK</t>
  </si>
  <si>
    <t>081323732794</t>
  </si>
  <si>
    <t>1323732794</t>
  </si>
  <si>
    <t>Y3361795Z</t>
  </si>
  <si>
    <t>DOMINIK  SRZEDNICKI</t>
  </si>
  <si>
    <t>481049393393</t>
  </si>
  <si>
    <t>1049393393</t>
  </si>
  <si>
    <t>Y0165523Y</t>
  </si>
  <si>
    <t>MARTA GARCIA	 CARDELLACH</t>
  </si>
  <si>
    <t>081158972638</t>
  </si>
  <si>
    <t>1158972638</t>
  </si>
  <si>
    <t>45882493T</t>
  </si>
  <si>
    <t>2º AYUDANTE PRODUCCION</t>
  </si>
  <si>
    <t>MARIA INES GUARDIA 	ARARIO</t>
  </si>
  <si>
    <t>081163788787</t>
  </si>
  <si>
    <t>1163788787</t>
  </si>
  <si>
    <t>23820881B</t>
  </si>
  <si>
    <t>MERITXELL ESTEBAN	 JANOT</t>
  </si>
  <si>
    <t>080422563752</t>
  </si>
  <si>
    <t>0422563752</t>
  </si>
  <si>
    <t>38509140X</t>
  </si>
  <si>
    <t>MARC ANTOLI 	JUSTICIA</t>
  </si>
  <si>
    <t>081238203349</t>
  </si>
  <si>
    <t>1238203349</t>
  </si>
  <si>
    <t>48088795G</t>
  </si>
  <si>
    <t>CLAUDIA  BALCELLS 	CARNER</t>
  </si>
  <si>
    <t>081247381569</t>
  </si>
  <si>
    <t>1247381569</t>
  </si>
  <si>
    <t>48039310S</t>
  </si>
  <si>
    <t>ANTONIO ALCALDE	 SEBASTIAN</t>
  </si>
  <si>
    <t>081224816642</t>
  </si>
  <si>
    <t>1224816642</t>
  </si>
  <si>
    <t>53085023B</t>
  </si>
  <si>
    <t>SALVADOR RIBA MEGIAS</t>
  </si>
  <si>
    <t>081093512893</t>
  </si>
  <si>
    <t>1093512893</t>
  </si>
  <si>
    <t>43443782W</t>
  </si>
  <si>
    <t>SONIA GOMEZ	 VICENTE</t>
  </si>
  <si>
    <t>0059140462</t>
  </si>
  <si>
    <t>52603529E</t>
  </si>
  <si>
    <t>BAILARINA</t>
  </si>
  <si>
    <t>JORDI  QUEROL 	GIMENEZ</t>
  </si>
  <si>
    <t>081094780159</t>
  </si>
  <si>
    <t>44416130W</t>
  </si>
  <si>
    <t>JOSEP MASNOU	 DOU</t>
  </si>
  <si>
    <t>081232647875</t>
  </si>
  <si>
    <t>1232647875</t>
  </si>
  <si>
    <t>47817962L</t>
  </si>
  <si>
    <t>GEMMA BERENGUER	 BALAT</t>
  </si>
  <si>
    <t>081096576881</t>
  </si>
  <si>
    <t>1096576881</t>
  </si>
  <si>
    <t>46696296V</t>
  </si>
  <si>
    <t>DECORADORA</t>
  </si>
  <si>
    <t>ORIOL PLA  	SOLINA</t>
  </si>
  <si>
    <t>081167337573</t>
  </si>
  <si>
    <t>1167337573</t>
  </si>
  <si>
    <t>46151270E</t>
  </si>
  <si>
    <t>ACTRIZ TEATRO</t>
  </si>
  <si>
    <t>SONIA ESPINOSA	 MUÑOZ</t>
  </si>
  <si>
    <t>081081707892</t>
  </si>
  <si>
    <t>1081707892</t>
  </si>
  <si>
    <t>46963416S</t>
  </si>
  <si>
    <t>DAVID TEIXIDO 	IBÁÑEZ</t>
  </si>
  <si>
    <t>081157087202</t>
  </si>
  <si>
    <t>1157087202</t>
  </si>
  <si>
    <t>46408504R</t>
  </si>
  <si>
    <t>MARIA  MORA  	ALCOLEA</t>
  </si>
  <si>
    <t>1006595660</t>
  </si>
  <si>
    <t>47690900D</t>
  </si>
  <si>
    <t>LUIZ FERNANDO  	MOURA</t>
  </si>
  <si>
    <t>X9910896N</t>
  </si>
  <si>
    <t>THOMAS ZETTEL</t>
  </si>
  <si>
    <t>081341601006</t>
  </si>
  <si>
    <t>Y0427817P</t>
  </si>
  <si>
    <t>VIVIAN  FRIEDRICH</t>
  </si>
  <si>
    <t>081244990420</t>
  </si>
  <si>
    <t>Y1443268D</t>
  </si>
  <si>
    <t>DAVID PRIEGO 	BUENO</t>
  </si>
  <si>
    <t>461035337220</t>
  </si>
  <si>
    <t>1035337220</t>
  </si>
  <si>
    <t>44506981A</t>
  </si>
  <si>
    <t>GINES BELCHI	 GABARRON</t>
  </si>
  <si>
    <t>301055952008</t>
  </si>
  <si>
    <t>1055952008</t>
  </si>
  <si>
    <t>54061715P</t>
  </si>
  <si>
    <t>JESUS  NAVARRO	 ESPINOSA</t>
  </si>
  <si>
    <t>081210823279</t>
  </si>
  <si>
    <t>1210823279</t>
  </si>
  <si>
    <t>39437826W</t>
  </si>
  <si>
    <t>DIDAC  GILABERT	 MANSILLA</t>
  </si>
  <si>
    <t>251010908019</t>
  </si>
  <si>
    <t>1010908019</t>
  </si>
  <si>
    <t>78089574C</t>
  </si>
  <si>
    <t>KARL KRISTIAN  STETS	 HILDEN</t>
  </si>
  <si>
    <t>081159382765</t>
  </si>
  <si>
    <t>X4971297P</t>
  </si>
  <si>
    <t>MARTA  LORENTE 	GOMEZ</t>
  </si>
  <si>
    <t>081102326052</t>
  </si>
  <si>
    <t>1102326052</t>
  </si>
  <si>
    <t>79271031J</t>
  </si>
  <si>
    <t>RAQUEL  BATET 	ALVAREZ</t>
  </si>
  <si>
    <t>081256209882</t>
  </si>
  <si>
    <t>1256209882</t>
  </si>
  <si>
    <t>47881812K</t>
  </si>
  <si>
    <t>ELENA  LALUCAT 	GARCIA VALDES</t>
  </si>
  <si>
    <t>081246345386</t>
  </si>
  <si>
    <t>1246345386</t>
  </si>
  <si>
    <t>43215569H</t>
  </si>
  <si>
    <t>DAVID  MAQUEDA 	PAVO</t>
  </si>
  <si>
    <t>081151042381</t>
  </si>
  <si>
    <t>1151042381</t>
  </si>
  <si>
    <t>47819476S</t>
  </si>
  <si>
    <t>TECNICO DE SONIDO</t>
  </si>
  <si>
    <t>LISARD TRANIS  	CORDON</t>
  </si>
  <si>
    <t>081257575158</t>
  </si>
  <si>
    <t>1257575158</t>
  </si>
  <si>
    <t>46424203Z</t>
  </si>
  <si>
    <t>MARTA 	CAMUFFI</t>
  </si>
  <si>
    <t>081349498321</t>
  </si>
  <si>
    <t>1349498321</t>
  </si>
  <si>
    <t>Y5302267E</t>
  </si>
  <si>
    <t>JORDI GASPAR	 BLANCAFORT</t>
  </si>
  <si>
    <t xml:space="preserve">081016520054 </t>
  </si>
  <si>
    <t>79271285Z</t>
  </si>
  <si>
    <t>RICARDO   GASTON	 SANCHEZ</t>
  </si>
  <si>
    <t>081241650586</t>
  </si>
  <si>
    <t>1241650586</t>
  </si>
  <si>
    <t>Y0672457C</t>
  </si>
  <si>
    <t>argentino</t>
  </si>
  <si>
    <t>GEORGIA VARDAROU</t>
  </si>
  <si>
    <t>081349589459</t>
  </si>
  <si>
    <t>1349589459</t>
  </si>
  <si>
    <t>Y5381041K</t>
  </si>
  <si>
    <t>ROLANDO BERNARDO SAN MARTIN 	PEREZ</t>
  </si>
  <si>
    <t>281040854291</t>
  </si>
  <si>
    <t>1040854291</t>
  </si>
  <si>
    <t>51426359S</t>
  </si>
  <si>
    <t>ANDREU GUZMAN 	SOLA</t>
  </si>
  <si>
    <t>081098973387</t>
  </si>
  <si>
    <t>1098973387</t>
  </si>
  <si>
    <t>47632553J</t>
  </si>
  <si>
    <t>AUDIOVISUAL</t>
  </si>
  <si>
    <t>DESISLAVA NEDYALKOVA   	STANEVA</t>
  </si>
  <si>
    <t xml:space="preserve">081246706411 </t>
  </si>
  <si>
    <t>Y1526920X</t>
  </si>
  <si>
    <t>LINDA VELLAR</t>
  </si>
  <si>
    <t>081351685770</t>
  </si>
  <si>
    <t>1351685770</t>
  </si>
  <si>
    <t>Y5467907Q</t>
  </si>
  <si>
    <t>ALBERT  ARTIGAS	 FERNANDEZ</t>
  </si>
  <si>
    <t>081124989393</t>
  </si>
  <si>
    <t>1124989393</t>
  </si>
  <si>
    <t>47926890L</t>
  </si>
  <si>
    <t>SOFIA DEMICHELI</t>
  </si>
  <si>
    <t>081354961340</t>
  </si>
  <si>
    <t>1354961340</t>
  </si>
  <si>
    <t>Y5613758R</t>
  </si>
  <si>
    <t>ARGENTINA</t>
  </si>
  <si>
    <t>GASTON ALEJANDRO PARRAGA</t>
  </si>
  <si>
    <t>081341008801</t>
  </si>
  <si>
    <t>1341008801</t>
  </si>
  <si>
    <t>Y5002320H</t>
  </si>
  <si>
    <t>ANNA CUSCO 	FRANSI</t>
  </si>
  <si>
    <t>081040484613</t>
  </si>
  <si>
    <t>1040484613</t>
  </si>
  <si>
    <t>77316006B</t>
  </si>
  <si>
    <t>THAIS JULIA 	MAS</t>
  </si>
  <si>
    <t>081198737180</t>
  </si>
  <si>
    <t>1198737180</t>
  </si>
  <si>
    <t>47331291M</t>
  </si>
  <si>
    <t>TIZIANO CAFFI</t>
  </si>
  <si>
    <t>081196981076</t>
  </si>
  <si>
    <t>X8622435B</t>
  </si>
  <si>
    <t>VICTORIA EUGENIA CARLOS	 ALBACETE</t>
  </si>
  <si>
    <t>1096910963</t>
  </si>
  <si>
    <t>48737102X</t>
  </si>
  <si>
    <t>ARIADNA BERENICE FERREIRA	 GUTIERREZ</t>
  </si>
  <si>
    <t>081294207311</t>
  </si>
  <si>
    <t>1294207311</t>
  </si>
  <si>
    <t>Y1968903W</t>
  </si>
  <si>
    <t>JUDIT OBACH 	COLOMER</t>
  </si>
  <si>
    <t>081242030405</t>
  </si>
  <si>
    <t>1242030405</t>
  </si>
  <si>
    <t>47814120H</t>
  </si>
  <si>
    <t>MADDALENA CHIALDA</t>
  </si>
  <si>
    <t>081371518230</t>
  </si>
  <si>
    <t>Y6140008B</t>
  </si>
  <si>
    <t>ANNA MARIA COLOMAR 	COSTA</t>
  </si>
  <si>
    <t>071071552416</t>
  </si>
  <si>
    <t>1071552416</t>
  </si>
  <si>
    <t>47407717W</t>
  </si>
  <si>
    <t>MONTSERRAT CAMPS 	LLORENS</t>
  </si>
  <si>
    <t>081102260677</t>
  </si>
  <si>
    <t>1102260677</t>
  </si>
  <si>
    <t>77742173B</t>
  </si>
  <si>
    <t>MARC LAPUERTA 	LIZANA</t>
  </si>
  <si>
    <t>431023578343</t>
  </si>
  <si>
    <t>1023578343</t>
  </si>
  <si>
    <t>47827559W</t>
  </si>
  <si>
    <t>INES GONZALEZ 	BOZA</t>
  </si>
  <si>
    <t>080518612041</t>
  </si>
  <si>
    <t>0518612041</t>
  </si>
  <si>
    <t>18198109A</t>
  </si>
  <si>
    <t>AINHOA YARZA	 ARBAIZA</t>
  </si>
  <si>
    <t>481024548360</t>
  </si>
  <si>
    <t>1024548360</t>
  </si>
  <si>
    <t>78899662W</t>
  </si>
  <si>
    <t>RAQUEL VIÑUALES	 MARQUEZ</t>
  </si>
  <si>
    <t>171043517430</t>
  </si>
  <si>
    <t>1043517430</t>
  </si>
  <si>
    <t>40368638G</t>
  </si>
  <si>
    <t>CLAUDIA GOMEZ 	FIGUERAS</t>
  </si>
  <si>
    <t>171029407364</t>
  </si>
  <si>
    <t>1029407364</t>
  </si>
  <si>
    <t>41588342H</t>
  </si>
  <si>
    <t>MIRIAM AGUILERA 	MARTINEZ</t>
  </si>
  <si>
    <t>081059358183</t>
  </si>
  <si>
    <t>1059358183</t>
  </si>
  <si>
    <t>46820385K</t>
  </si>
  <si>
    <t>ANA RITA ALMEIDA 	NOUTEL</t>
  </si>
  <si>
    <t>081381810132</t>
  </si>
  <si>
    <t>1381810132</t>
  </si>
  <si>
    <t>Y0438916K</t>
  </si>
  <si>
    <t>ALFONSO  PARDO	 ZAPATERO</t>
  </si>
  <si>
    <t>081076835967</t>
  </si>
  <si>
    <t>1076835967</t>
  </si>
  <si>
    <t>38136010D</t>
  </si>
  <si>
    <t>THANIA PAULINA FLORES 	ALVAREZ</t>
  </si>
  <si>
    <t>251028680540</t>
  </si>
  <si>
    <t>1028680540</t>
  </si>
  <si>
    <t>Y3869194X</t>
  </si>
  <si>
    <t>MARIA NEUS CANALIAS	 AVILA</t>
  </si>
  <si>
    <t>171005723301</t>
  </si>
  <si>
    <t>1005723301</t>
  </si>
  <si>
    <t>77915260T</t>
  </si>
  <si>
    <t>NAHUEL ANDRES GROPPO</t>
  </si>
  <si>
    <t>381054473028</t>
  </si>
  <si>
    <t>1054473028</t>
  </si>
  <si>
    <t>Y1576072B</t>
  </si>
  <si>
    <t>SOFIA  	NUÑEZ	 RODRIGUEZ</t>
  </si>
  <si>
    <t>471018657446</t>
  </si>
  <si>
    <t>1018657446</t>
  </si>
  <si>
    <t>71177023G</t>
  </si>
  <si>
    <t>MARTA SORRIBAS	 SUGRAÑES</t>
  </si>
  <si>
    <t>080482494291</t>
  </si>
  <si>
    <t>0482494291</t>
  </si>
  <si>
    <t>35081969T</t>
  </si>
  <si>
    <t>JONATAN GONZALEZ 	CUESTA</t>
  </si>
  <si>
    <t>081193672770</t>
  </si>
  <si>
    <t>47179130N</t>
  </si>
  <si>
    <t>JOSE LUIS DE LA TORRE 	CASTEJON</t>
  </si>
  <si>
    <t>361025584036</t>
  </si>
  <si>
    <t>1025584036</t>
  </si>
  <si>
    <t>77402862L</t>
  </si>
  <si>
    <t>PDTE</t>
  </si>
  <si>
    <t>NURIA GONZALEZ 	LLAUSI</t>
  </si>
  <si>
    <t>081306973420</t>
  </si>
  <si>
    <t>1306973420</t>
  </si>
  <si>
    <t>47278778R</t>
  </si>
  <si>
    <t>LINN MIRJA JOHANSSON</t>
  </si>
  <si>
    <t>081138725001</t>
  </si>
  <si>
    <t>1138725001</t>
  </si>
  <si>
    <t>X4456880D</t>
  </si>
  <si>
    <t>NEUS  ASENCIO 	VICENTE</t>
  </si>
  <si>
    <t>081122756979</t>
  </si>
  <si>
    <t>1122756979</t>
  </si>
  <si>
    <t>46411001Z</t>
  </si>
  <si>
    <t>SANDRA SORO 	MATEOS</t>
  </si>
  <si>
    <t>080543733627</t>
  </si>
  <si>
    <t>0543733627</t>
  </si>
  <si>
    <t>43432757V</t>
  </si>
  <si>
    <t>CLARA PALAU 	CANALS</t>
  </si>
  <si>
    <t>080312121673</t>
  </si>
  <si>
    <t>0312121673</t>
  </si>
  <si>
    <t>39039107B</t>
  </si>
  <si>
    <t>RAUL ROCA 	BUJARDON</t>
  </si>
  <si>
    <t>081035072215</t>
  </si>
  <si>
    <t>1035072215</t>
  </si>
  <si>
    <t>44191191A</t>
  </si>
  <si>
    <t>IAN GARRIDO 	LOPEZ</t>
  </si>
  <si>
    <t>041007436979</t>
  </si>
  <si>
    <t>1007436979</t>
  </si>
  <si>
    <t>76631279V</t>
  </si>
  <si>
    <t>ELISA EMILIA KEISANEN</t>
  </si>
  <si>
    <t>081356030764</t>
  </si>
  <si>
    <t>1356030764</t>
  </si>
  <si>
    <t>Y5393688H</t>
  </si>
  <si>
    <t>FINLANDESA</t>
  </si>
  <si>
    <t>CECILIA ALICE MANFRINI</t>
  </si>
  <si>
    <t>081382623114</t>
  </si>
  <si>
    <t>1382623114</t>
  </si>
  <si>
    <t>Y6185293D</t>
  </si>
  <si>
    <t>GERMAN EDUARDO CARO 	LARSEN</t>
  </si>
  <si>
    <t>281246298069</t>
  </si>
  <si>
    <t>1246298069</t>
  </si>
  <si>
    <t>23924142W</t>
  </si>
  <si>
    <t>CRISTIAN GOMEZ 	BERMUDEZ</t>
  </si>
  <si>
    <t>281303452691</t>
  </si>
  <si>
    <t>1303452691</t>
  </si>
  <si>
    <t>X7968525Z</t>
  </si>
  <si>
    <t>JORDI  PUJADES 	ALCARAZ</t>
  </si>
  <si>
    <t>080497239911</t>
  </si>
  <si>
    <t>0497239911</t>
  </si>
  <si>
    <t>33929080D</t>
  </si>
  <si>
    <t>JONATHAN GUISADO 	MARTINEZ</t>
  </si>
  <si>
    <t>141005810952</t>
  </si>
  <si>
    <t>1005810952</t>
  </si>
  <si>
    <t>44367387L</t>
  </si>
  <si>
    <t>ALBA RAMIO 	GUELL</t>
  </si>
  <si>
    <t>171027711076</t>
  </si>
  <si>
    <t>1027711076</t>
  </si>
  <si>
    <t>07263674K</t>
  </si>
  <si>
    <t>NOELIA MENCIAS CARPINTERO</t>
  </si>
  <si>
    <t>281141982350</t>
  </si>
  <si>
    <t>1141982350</t>
  </si>
  <si>
    <t>47457473D</t>
  </si>
  <si>
    <t>FATIMA 	CAMPOS	 TREPAT</t>
  </si>
  <si>
    <t>081114463277</t>
  </si>
  <si>
    <t>1114463277</t>
  </si>
  <si>
    <t>43692396D</t>
  </si>
  <si>
    <t>GREGORIO TORCHIA</t>
  </si>
  <si>
    <t>081398831814</t>
  </si>
  <si>
    <t>1398831814</t>
  </si>
  <si>
    <t>Y7411069T</t>
  </si>
  <si>
    <t>JORDI  	VILA 	GUILLAMET</t>
  </si>
  <si>
    <t>081013828104</t>
  </si>
  <si>
    <t>43436794Y</t>
  </si>
  <si>
    <t>JAVIER SANCHEZ	 MARTINEZ</t>
  </si>
  <si>
    <t>081158399126</t>
  </si>
  <si>
    <t>77631919L</t>
  </si>
  <si>
    <t>BRUNA ARTIGAL 	 GARCIA</t>
  </si>
  <si>
    <t>081280923664</t>
  </si>
  <si>
    <t>25369624A</t>
  </si>
  <si>
    <t>BRUNO TOSO 	DEL  VALLE</t>
  </si>
  <si>
    <t>081243153682</t>
  </si>
  <si>
    <t>26062598X</t>
  </si>
  <si>
    <t>DALMAU  BOADA 	PUCHOL</t>
  </si>
  <si>
    <t>081072009007</t>
  </si>
  <si>
    <t>1072009007</t>
  </si>
  <si>
    <t>77609833J</t>
  </si>
  <si>
    <t>MUSICO</t>
  </si>
  <si>
    <t>CYNTHIA PAMELA  	MORO</t>
  </si>
  <si>
    <t>081195363705</t>
  </si>
  <si>
    <t>1195363705</t>
  </si>
  <si>
    <t>X6183380Z</t>
  </si>
  <si>
    <t>LAURA MORALES 	CABRE</t>
  </si>
  <si>
    <t>081136855729</t>
  </si>
  <si>
    <t>38138096W</t>
  </si>
  <si>
    <t>PRISCILA GARRIDO	 GALVEZ</t>
  </si>
  <si>
    <t>081066364112</t>
  </si>
  <si>
    <t>47151403T</t>
  </si>
  <si>
    <t>ISMAEL MENSA 	MARTINEZ</t>
  </si>
  <si>
    <t>081037739311</t>
  </si>
  <si>
    <t>1037739311</t>
  </si>
  <si>
    <t>46778870K</t>
  </si>
  <si>
    <t>COLOMA ROIG	 PAREDES</t>
  </si>
  <si>
    <t>071022104745</t>
  </si>
  <si>
    <t>43164136J</t>
  </si>
  <si>
    <t>JULIO ENRIQUE  PAREDES	 OROPEZA</t>
  </si>
  <si>
    <t>081409216066</t>
  </si>
  <si>
    <t>1409216066</t>
  </si>
  <si>
    <t>Y3950875H</t>
  </si>
  <si>
    <t>CARLOS  ARTIN PEÑASCO  	LARA</t>
  </si>
  <si>
    <t>111041789213</t>
  </si>
  <si>
    <t>1041789213</t>
  </si>
  <si>
    <t>32063547Y</t>
  </si>
  <si>
    <t>ROSER  VALLVE 	VALERI</t>
  </si>
  <si>
    <t>081065898209</t>
  </si>
  <si>
    <t>1065898209</t>
  </si>
  <si>
    <t>38131880L</t>
  </si>
  <si>
    <t>MARIA PALOMA REMOLINA  	GALLEGO</t>
  </si>
  <si>
    <t>081255889075</t>
  </si>
  <si>
    <t>1255889075</t>
  </si>
  <si>
    <t>21787011P</t>
  </si>
  <si>
    <t>NEELAM  BERROCAL	 CORRAL</t>
  </si>
  <si>
    <t>081296848539</t>
  </si>
  <si>
    <t>1296848539</t>
  </si>
  <si>
    <t>49458750X</t>
  </si>
  <si>
    <t>MARC  THOMSON 	TORRES</t>
  </si>
  <si>
    <t>081308582812</t>
  </si>
  <si>
    <t>1308582812</t>
  </si>
  <si>
    <t>26310894K</t>
  </si>
  <si>
    <t>BARBARA  CAPPI</t>
  </si>
  <si>
    <t>081315423736</t>
  </si>
  <si>
    <t>Y3676575Q</t>
  </si>
  <si>
    <t>SARA  GRANES  	GONZALEZ</t>
  </si>
  <si>
    <t>081266662947</t>
  </si>
  <si>
    <t>79274364B</t>
  </si>
  <si>
    <t>RAFAEL  VALLS  	BLANCO</t>
  </si>
  <si>
    <t>23874178V</t>
  </si>
  <si>
    <t>MATTHIAS  KRÜGER</t>
  </si>
  <si>
    <t>X9501401D</t>
  </si>
  <si>
    <t>SARA CATERINA CASICCIA</t>
  </si>
  <si>
    <t>081420537380</t>
  </si>
  <si>
    <t>Y8535066X</t>
  </si>
  <si>
    <t>POL JUBANY 	I IXART</t>
  </si>
  <si>
    <t>081208801942</t>
  </si>
  <si>
    <t>38883913K</t>
  </si>
  <si>
    <t>NICOLAS ANDRES CHEVALIE</t>
  </si>
  <si>
    <t>Y8419013S</t>
  </si>
  <si>
    <t>BLANCA GARCIA	 LLADO</t>
  </si>
  <si>
    <t>081181090052</t>
  </si>
  <si>
    <t>46243174H</t>
  </si>
  <si>
    <t>FERRAN RULL 	BLASCO</t>
  </si>
  <si>
    <t>081186870848</t>
  </si>
  <si>
    <t>47964780M</t>
  </si>
  <si>
    <t>SEBASTIAN DIAZ 	PARADA</t>
  </si>
  <si>
    <t>081122366454</t>
  </si>
  <si>
    <t>X3010733X</t>
  </si>
  <si>
    <t>PAULA ERRANDO 	VILLACONGA</t>
  </si>
  <si>
    <t>24394785L</t>
  </si>
  <si>
    <t>MARIONA MORANTA	 PALMER</t>
  </si>
  <si>
    <t>071077885405</t>
  </si>
  <si>
    <t>43480568B</t>
  </si>
  <si>
    <t>ANTONIO GUTIERREZ	 CASADO</t>
  </si>
  <si>
    <t>081162045720</t>
  </si>
  <si>
    <t>77616874Q</t>
  </si>
  <si>
    <t>GAIA MAGRANE	 GARDE</t>
  </si>
  <si>
    <t>41562548F</t>
  </si>
  <si>
    <t>ENCARNACION LOURDES  SANCHEZ  	MESA</t>
  </si>
  <si>
    <t>081097643578</t>
  </si>
  <si>
    <t>46805281M</t>
  </si>
  <si>
    <t>SERGI TORNE	 BONET GODO</t>
  </si>
  <si>
    <t>081247607905</t>
  </si>
  <si>
    <t>47444109P</t>
  </si>
  <si>
    <t>BERTA MARTINEZ	 PUIG</t>
  </si>
  <si>
    <t>47320426L</t>
  </si>
  <si>
    <t>BERTA  PASCUAL 	GODAS</t>
  </si>
  <si>
    <t>081312586080</t>
  </si>
  <si>
    <t>47974530A</t>
  </si>
  <si>
    <t>CARLOS  GARCIA 	CORCHIA</t>
  </si>
  <si>
    <t>081347950664</t>
  </si>
  <si>
    <t>77620261E</t>
  </si>
  <si>
    <t>FRANCESCO PALMITESTA</t>
  </si>
  <si>
    <t>Y5637850N</t>
  </si>
  <si>
    <t>PABLO MONFORT 	MUÑOZ</t>
  </si>
  <si>
    <t>20901328D</t>
  </si>
  <si>
    <t>MARIA  SURIÑACH 	ECHEVERRIA</t>
  </si>
  <si>
    <t>081199353940</t>
  </si>
  <si>
    <t>53273970J</t>
  </si>
  <si>
    <t>LLUIS LOPEZ	 FERNANDEZ</t>
  </si>
  <si>
    <t>080480177611</t>
  </si>
  <si>
    <t>0480177611</t>
  </si>
  <si>
    <t>35083764R</t>
  </si>
  <si>
    <t>GRZEGORZ WALDEMAR 	BACZAK</t>
  </si>
  <si>
    <t>081197369480</t>
  </si>
  <si>
    <t>X8482743K</t>
  </si>
  <si>
    <t>VICENTE MARTINEZ  ANDREU</t>
  </si>
  <si>
    <t>48813960W</t>
  </si>
  <si>
    <t>PABLO  OLIVARES 	RODRIGUEZ</t>
  </si>
  <si>
    <t>071071772078</t>
  </si>
  <si>
    <t>1071772078</t>
  </si>
  <si>
    <t>47256286A</t>
  </si>
  <si>
    <t>FRANCESCA OLLER</t>
  </si>
  <si>
    <t>081098597212</t>
  </si>
  <si>
    <t>47162106P</t>
  </si>
  <si>
    <t>PAULA ASVIN LOPEZ	 ECHARRI</t>
  </si>
  <si>
    <t>72498951F</t>
  </si>
  <si>
    <t>AINA  PLANAGUMA	 BUSQUETS</t>
  </si>
  <si>
    <t>43638029Z</t>
  </si>
  <si>
    <t>ALBA  FIGUERES	 PUIG</t>
  </si>
  <si>
    <t>081248583864</t>
  </si>
  <si>
    <t>39411817Y</t>
  </si>
  <si>
    <t>ARNAU MOLDES	 ESTEVE</t>
  </si>
  <si>
    <t>081268920724</t>
  </si>
  <si>
    <t>23856235Z</t>
  </si>
  <si>
    <t>DIANA GUERRERO 	VIUDEZ</t>
  </si>
  <si>
    <t>081341623840</t>
  </si>
  <si>
    <t>74439816G</t>
  </si>
  <si>
    <t>EDUARD MALET 	TORRES</t>
  </si>
  <si>
    <t>081268920421</t>
  </si>
  <si>
    <t>20564441A</t>
  </si>
  <si>
    <t>ELOI DURAN BONET</t>
  </si>
  <si>
    <t>48016510P</t>
  </si>
  <si>
    <t>GERARD RODRÍGUEZ	 MUÑOZ</t>
  </si>
  <si>
    <t>081256963957</t>
  </si>
  <si>
    <t>43559608T</t>
  </si>
  <si>
    <t>LAURA MARTÍNEZ 	GALERA</t>
  </si>
  <si>
    <t>41549152C</t>
  </si>
  <si>
    <t>MARC SAMARANCH	 RODRIGUEZ</t>
  </si>
  <si>
    <t>081258637815</t>
  </si>
  <si>
    <t>46425370P</t>
  </si>
  <si>
    <t>MIREIA 	GIRALDEZ 	TORRAS</t>
  </si>
  <si>
    <t>081279969428</t>
  </si>
  <si>
    <t>49223795T</t>
  </si>
  <si>
    <t>DANILO FACELLI FIERRO</t>
  </si>
  <si>
    <t>45546531E</t>
  </si>
  <si>
    <t>MARIA MENCIAS SANCHEZ</t>
  </si>
  <si>
    <t>11852401H</t>
  </si>
  <si>
    <t>MARIO NICOLAS ESPEL PANIZZA</t>
  </si>
  <si>
    <t>Y8158404L</t>
  </si>
  <si>
    <t>OSCAR MONTERO MARTORELL</t>
  </si>
  <si>
    <t>171011867340</t>
  </si>
  <si>
    <t>1011867340</t>
  </si>
  <si>
    <t>79304532A</t>
  </si>
  <si>
    <t>ENRIC MAURI ( BUSCAR DOCUMENTS )</t>
  </si>
  <si>
    <t xml:space="preserve">YVAN GOYARD </t>
  </si>
  <si>
    <t>081373998396</t>
  </si>
  <si>
    <t>Y6061373J</t>
  </si>
  <si>
    <t>Artista de Circo</t>
  </si>
  <si>
    <t>NIE VERDE 4380310</t>
  </si>
  <si>
    <t>FRANCESA</t>
  </si>
  <si>
    <t>MARINA MULET GAYA</t>
  </si>
  <si>
    <t>031052329811</t>
  </si>
  <si>
    <t>53629372L</t>
  </si>
  <si>
    <t>ESPAÑOLA</t>
  </si>
  <si>
    <t>ONA YUEAN BERROCAL CORRAL</t>
  </si>
  <si>
    <t>081334891737</t>
  </si>
  <si>
    <t>49458751B</t>
  </si>
  <si>
    <t>FREYA MARIE SALEH</t>
  </si>
  <si>
    <t>081442351266</t>
  </si>
  <si>
    <t>Y8539075V</t>
  </si>
  <si>
    <t>ALBA SAEZ PIÑOL</t>
  </si>
  <si>
    <t>081239262366</t>
  </si>
  <si>
    <t>53321990D</t>
  </si>
  <si>
    <t>JUDIT CORTINA VILA</t>
  </si>
  <si>
    <t>081188846921</t>
  </si>
  <si>
    <t>47998358A</t>
  </si>
  <si>
    <t>MARIONA IBAÑEZ BALLETBO</t>
  </si>
  <si>
    <t>081193390561</t>
  </si>
  <si>
    <t>47941794L</t>
  </si>
  <si>
    <t>JULIA BARCELO FERNANDEZ</t>
  </si>
  <si>
    <t>081108257402</t>
  </si>
  <si>
    <t>47837977R</t>
  </si>
  <si>
    <t>LAURA MILENA MUÑOZ GARCIA</t>
  </si>
  <si>
    <t>071107254880</t>
  </si>
  <si>
    <t>Y9777933A</t>
  </si>
  <si>
    <t>CANTANTE</t>
  </si>
  <si>
    <t>LAURA FREIJO JUSTO</t>
  </si>
  <si>
    <t>080518151794</t>
  </si>
  <si>
    <t>0518151794</t>
  </si>
  <si>
    <t>52392277W</t>
  </si>
  <si>
    <t>TECNICO</t>
  </si>
  <si>
    <t>JUAN DANTE MURILLO BODADILLA</t>
  </si>
  <si>
    <t>081459565029</t>
  </si>
  <si>
    <t>Y9500312S</t>
  </si>
  <si>
    <t>SEBASTIAN GUZ</t>
  </si>
  <si>
    <t>281206320329</t>
  </si>
  <si>
    <t>X5401240N</t>
  </si>
  <si>
    <t>SANTIAGO BLOMBERG</t>
  </si>
  <si>
    <t>081460601212</t>
  </si>
  <si>
    <t>Z0793389D</t>
  </si>
  <si>
    <t>DANIEL SANTOLO</t>
  </si>
  <si>
    <t>081436320189</t>
  </si>
  <si>
    <t>Y9601876B</t>
  </si>
  <si>
    <t>MARIA ROSARIO AMAYA VAZQUEZ</t>
  </si>
  <si>
    <t>80050991C</t>
  </si>
  <si>
    <t>JAVIER GONZALEZ BORRERO</t>
  </si>
  <si>
    <t>061006951745</t>
  </si>
  <si>
    <t>80071749D</t>
  </si>
  <si>
    <t>MALENA ALBARRACIN EL MANKABADI</t>
  </si>
  <si>
    <t>081353950217</t>
  </si>
  <si>
    <t>46435455L</t>
  </si>
  <si>
    <t>ROSARIO CASELLES CANET</t>
  </si>
  <si>
    <t>031024615089</t>
  </si>
  <si>
    <t>53216961K</t>
  </si>
  <si>
    <t>EULALIA CUXART BENAS</t>
  </si>
  <si>
    <t>081100116674</t>
  </si>
  <si>
    <t>47776687Y</t>
  </si>
  <si>
    <t>6000325/6000326</t>
  </si>
  <si>
    <t>BAILARINA/CANTANT</t>
  </si>
  <si>
    <t>IRENE ROYO CASADÓ</t>
  </si>
  <si>
    <t>081268595671</t>
  </si>
  <si>
    <t>46421388M</t>
  </si>
  <si>
    <t>ANDER DIEZ MARTINEZ</t>
  </si>
  <si>
    <t>481032451133</t>
  </si>
  <si>
    <t>45821968B</t>
  </si>
  <si>
    <t>ARTISTA DE CIRCO,MAGO</t>
  </si>
  <si>
    <t>MICHELE BENZ</t>
  </si>
  <si>
    <t>Y7548491C</t>
  </si>
  <si>
    <t>BAILARINA PRODUCTORA</t>
  </si>
  <si>
    <t>MARGARITA PONCE GARCIA</t>
  </si>
  <si>
    <t>080370815464</t>
  </si>
  <si>
    <t>0370815464</t>
  </si>
  <si>
    <t>36926499E</t>
  </si>
  <si>
    <t>NATALIE IVY RAVLICH</t>
  </si>
  <si>
    <t>081107714404</t>
  </si>
  <si>
    <t>X2897554Z</t>
  </si>
  <si>
    <t>OMAR PUGA GARCIA</t>
  </si>
  <si>
    <t>081091732945</t>
  </si>
  <si>
    <t>36520846C</t>
  </si>
  <si>
    <t>GUILLEM FONT CARBO</t>
  </si>
  <si>
    <t>081165861961</t>
  </si>
  <si>
    <t>47883796G</t>
  </si>
  <si>
    <t>081145207732</t>
  </si>
  <si>
    <t>ADAPTADORES DE DIALOGO</t>
  </si>
  <si>
    <t>CODIGO</t>
  </si>
  <si>
    <t>SEXO</t>
  </si>
  <si>
    <t>Mujer</t>
  </si>
  <si>
    <t>NATALIA GARCIA REDON</t>
  </si>
  <si>
    <t>53074571R</t>
  </si>
  <si>
    <t>MARIA MANUELA GRACIAN ALVAREZ</t>
  </si>
  <si>
    <t>49551598F</t>
  </si>
  <si>
    <t>SOCIO COOPERATIVA</t>
  </si>
  <si>
    <t>Hombre</t>
  </si>
  <si>
    <t>MARC FLORENCIO VILLA</t>
  </si>
  <si>
    <t>43099262E</t>
  </si>
  <si>
    <t>ELENA XIBILLE RIERA</t>
  </si>
  <si>
    <t>43102745D</t>
  </si>
  <si>
    <t>RUGIADA GRIGNANI</t>
  </si>
  <si>
    <t>Y2831353K</t>
  </si>
  <si>
    <t>ITA</t>
  </si>
  <si>
    <t>TIMOTEO GRIGNANI</t>
  </si>
  <si>
    <t>Y2828096F</t>
  </si>
  <si>
    <t>FABIANA JUDITH RUIZ DIAZ BELTRAN</t>
  </si>
  <si>
    <t>X6183816J</t>
  </si>
  <si>
    <t>VAL 2020</t>
  </si>
  <si>
    <t>FCURC URU</t>
  </si>
  <si>
    <t>ALBERTO SOLANO BARRERA BITAUBE</t>
  </si>
  <si>
    <t>31709603D</t>
  </si>
  <si>
    <t>LUNA ZAPATA BLANCO</t>
  </si>
  <si>
    <t>1016750042</t>
  </si>
  <si>
    <t>43121676B</t>
  </si>
  <si>
    <t>CARLOS HERNAN EXPOSITO</t>
  </si>
  <si>
    <t>Y1329560j</t>
  </si>
  <si>
    <t>VAL 15072025</t>
  </si>
  <si>
    <t>RCUFC</t>
  </si>
  <si>
    <t>LUCIA LOURDES QUIROS SAEZ</t>
  </si>
  <si>
    <t>X7840382G</t>
  </si>
  <si>
    <t>CLAUDIO DANIEL DORIGO</t>
  </si>
  <si>
    <t>X6625246G</t>
  </si>
  <si>
    <t>ALEJANDRO NICOLAS MUÑOZ</t>
  </si>
  <si>
    <t>X7070128C</t>
  </si>
  <si>
    <t>RUTH DELGADO OCHOA</t>
  </si>
  <si>
    <t>52596070S</t>
  </si>
  <si>
    <t>INGRID ESPERANZA BERMAN MARIN</t>
  </si>
  <si>
    <t>24557861W</t>
  </si>
  <si>
    <t>(NO HAY NIE ESCANEADO EN SU CARPETA)</t>
  </si>
  <si>
    <t>QUIM GIRON FIGUEROLA</t>
  </si>
  <si>
    <t>1138084191</t>
  </si>
  <si>
    <t>43633759E</t>
  </si>
  <si>
    <t>ANDREU BASEIRIA VIRGILI</t>
  </si>
  <si>
    <t>0504123978</t>
  </si>
  <si>
    <t>36981271P</t>
  </si>
  <si>
    <t>20487801E</t>
  </si>
  <si>
    <t>ELEAZAR DAVID FANJUL</t>
  </si>
  <si>
    <t>Y1339214F</t>
  </si>
  <si>
    <t>FCU rc</t>
  </si>
  <si>
    <t>PABLO MONEDERO DE ANDRES</t>
  </si>
  <si>
    <t>78721589H</t>
  </si>
  <si>
    <t>KATHARINA SOPHIA KAUDELKA</t>
  </si>
  <si>
    <t>Y0009880G</t>
  </si>
  <si>
    <t>SILVIA CAPELL BOTEY</t>
  </si>
  <si>
    <t>46692841N</t>
  </si>
  <si>
    <t>SERGIO GONZALEZ GALLEGO</t>
  </si>
  <si>
    <t>46403184V</t>
  </si>
  <si>
    <t>ESTER PANÉS RODRÍGUEZ</t>
  </si>
  <si>
    <t>45644169W</t>
  </si>
  <si>
    <t>VICTORIA CENDAGORTA VILLALBA</t>
  </si>
  <si>
    <t>0534686759</t>
  </si>
  <si>
    <t>37334593G</t>
  </si>
  <si>
    <t>EDUARD ARNALOT MIRALLES</t>
  </si>
  <si>
    <t>44980702Q</t>
  </si>
  <si>
    <t>MARIA AYELEN CANTINI</t>
  </si>
  <si>
    <t>Y0839898K</t>
  </si>
  <si>
    <t>MIREIA SALA MORALES</t>
  </si>
  <si>
    <t>45636978X</t>
  </si>
  <si>
    <t>IRIA ROIBAS ESTEVE</t>
  </si>
  <si>
    <t>53424899G</t>
  </si>
  <si>
    <t>(NO HAY TARJETA SANITARIA)</t>
  </si>
  <si>
    <t>MARIA GRAU  GONZÁLEZ</t>
  </si>
  <si>
    <t>47727842J</t>
  </si>
  <si>
    <t>CARMEN MONTORO CUADROS</t>
  </si>
  <si>
    <t>36524159K</t>
  </si>
  <si>
    <t>IVAN GABRIEL TOMASEVIC VUKASOVIC</t>
  </si>
  <si>
    <t>Y1153692A</t>
  </si>
  <si>
    <t>RC fcu</t>
  </si>
  <si>
    <t>NICOLAS ARANA TOMAS</t>
  </si>
  <si>
    <t>48130291P</t>
  </si>
  <si>
    <t>ABEL FIGUERAS AGUILAR</t>
  </si>
  <si>
    <t>1091475258</t>
  </si>
  <si>
    <t>46754067N</t>
  </si>
  <si>
    <t>JOANA SERRA FORASTE</t>
  </si>
  <si>
    <t>47808086X</t>
  </si>
  <si>
    <t xml:space="preserve">ES AUTONOMO </t>
  </si>
  <si>
    <t>ROGER COMPTE ANDRES</t>
  </si>
  <si>
    <t>1107269820</t>
  </si>
  <si>
    <t>47711869W</t>
  </si>
  <si>
    <t>CERTIFICADO EMPRESA!!!</t>
  </si>
  <si>
    <t>REG GENERAL</t>
  </si>
  <si>
    <t>ELENA ZANZU</t>
  </si>
  <si>
    <t>Y1001085R</t>
  </si>
  <si>
    <t>(NO ENCUENTRO SU CARPETA)</t>
  </si>
  <si>
    <t>ROBERTO ALONSO GIL</t>
  </si>
  <si>
    <t>71263796K</t>
  </si>
  <si>
    <t>ARIEL ACEVEDO</t>
  </si>
  <si>
    <t>Y0538101F</t>
  </si>
  <si>
    <t>NATALIA JIMENA BARRANZA ALIBERTI</t>
  </si>
  <si>
    <t>ROSALBA BOFFA CORACH</t>
  </si>
  <si>
    <t>Y0082470Y</t>
  </si>
  <si>
    <t>RLD AUT TR</t>
  </si>
  <si>
    <t>MAURICIO RAUL VILLAROEL</t>
  </si>
  <si>
    <t>1020535307</t>
  </si>
  <si>
    <t>X9521211Q</t>
  </si>
  <si>
    <t>MARCO RUIZ DESCAMPS</t>
  </si>
  <si>
    <t>0066315695</t>
  </si>
  <si>
    <t>77916691M</t>
  </si>
  <si>
    <t>JUAN GONZALEZ CANO</t>
  </si>
  <si>
    <t>75226218A</t>
  </si>
  <si>
    <t>NATALIA CRISTOBAL CALLES</t>
  </si>
  <si>
    <t>12415742C</t>
  </si>
  <si>
    <t>JEREMIAS DILLON</t>
  </si>
  <si>
    <t>1185861846</t>
  </si>
  <si>
    <t>X8846529Q</t>
  </si>
  <si>
    <t>TÉCNICO SONIDO</t>
  </si>
  <si>
    <t>PABLO JAVIER DOMICHOVSKY VINCIGUERRA</t>
  </si>
  <si>
    <t>50769991K</t>
  </si>
  <si>
    <t>MAGI SERRA FORASTE</t>
  </si>
  <si>
    <t>47808087B</t>
  </si>
  <si>
    <t>FRANCISCO JOSE ORTEGA GARCIA</t>
  </si>
  <si>
    <t>1060067250</t>
  </si>
  <si>
    <t>28789884W</t>
  </si>
  <si>
    <t>VALERIA GUGLIETTI</t>
  </si>
  <si>
    <t>1139873136</t>
  </si>
  <si>
    <t>X4375741Z</t>
  </si>
  <si>
    <t>ADRIANA SEGURADO MENDEZ</t>
  </si>
  <si>
    <t>ESCENOGRAFA</t>
  </si>
  <si>
    <t>ROSER TUTUSAUS MARQUEZ</t>
  </si>
  <si>
    <t>47771101D</t>
  </si>
  <si>
    <t>ANNA MELIÀ ZARROCA</t>
  </si>
  <si>
    <t>37391038F</t>
  </si>
  <si>
    <t>PABLO ANDRES POTOCNJAK RIVAS</t>
  </si>
  <si>
    <t>41645148z</t>
  </si>
  <si>
    <t>MARTINA BURLET  POVOLOTZKY</t>
  </si>
  <si>
    <t>0519102596</t>
  </si>
  <si>
    <t>38138713k</t>
  </si>
  <si>
    <t>ELIA PEREZ GUISADO</t>
  </si>
  <si>
    <t>76013614V</t>
  </si>
  <si>
    <t>SABRINA CATALAN MEDINA</t>
  </si>
  <si>
    <t>50128690Y</t>
  </si>
  <si>
    <t>HELENA CANAS ESTREMERA</t>
  </si>
  <si>
    <t>47721751V</t>
  </si>
  <si>
    <t>JORGE CENDAGORTA VILLALBA</t>
  </si>
  <si>
    <t>37334592A</t>
  </si>
  <si>
    <t>FRANCESC MARCHAN ROIG</t>
  </si>
  <si>
    <t>39717673P</t>
  </si>
  <si>
    <t>EDUARDO LALLANA BENDICHO</t>
  </si>
  <si>
    <t>46761910N</t>
  </si>
  <si>
    <t>ARIADNA FERNANDEZ DONIS</t>
  </si>
  <si>
    <t>43541166G</t>
  </si>
  <si>
    <t>BEATRIZ ELVIRA SÁNCHEZ MARCHÁN</t>
  </si>
  <si>
    <t>50864745S</t>
  </si>
  <si>
    <t>FELIX CUCURULL SANGERMAN</t>
  </si>
  <si>
    <t>36528789M</t>
  </si>
  <si>
    <t>ARTURO RODRIGUEZ MEDRANO</t>
  </si>
  <si>
    <t>0063393066</t>
  </si>
  <si>
    <t>44130888Y</t>
  </si>
  <si>
    <t>JOAN CARLES TORRES  MOLINA</t>
  </si>
  <si>
    <t>46686826T</t>
  </si>
  <si>
    <t>MANUEL ROSES MORETO</t>
  </si>
  <si>
    <t>47865891Q</t>
  </si>
  <si>
    <t>NIKLAS PETER JOHAN BLOMBERG</t>
  </si>
  <si>
    <t>y2588541C</t>
  </si>
  <si>
    <t>JOSE CARLOS FERRER HERNANDEZ</t>
  </si>
  <si>
    <t>1056038715</t>
  </si>
  <si>
    <t>75774175P</t>
  </si>
  <si>
    <t xml:space="preserve">TECNICO </t>
  </si>
  <si>
    <t>CECILIA BEATRIZ COLACRAN</t>
  </si>
  <si>
    <t>x5670410J</t>
  </si>
  <si>
    <t>PABLO RAMIREZ</t>
  </si>
  <si>
    <t>X5606388T</t>
  </si>
  <si>
    <t>SAVERIO ABATE</t>
  </si>
  <si>
    <t>X6732361P</t>
  </si>
  <si>
    <t>MARIA DEL PILAR GIMENO DOMENECH</t>
  </si>
  <si>
    <t>0056813250</t>
  </si>
  <si>
    <t>42960073Y</t>
  </si>
  <si>
    <t>MATEO MARTINEZ VILLARROYA</t>
  </si>
  <si>
    <t>47766036g</t>
  </si>
  <si>
    <t>EMILIANO PINO</t>
  </si>
  <si>
    <t>y0014709A</t>
  </si>
  <si>
    <t>VAL 22052019</t>
  </si>
  <si>
    <t>RC FCU  ARG</t>
  </si>
  <si>
    <t>ALBA GALIMANY SANROMA</t>
  </si>
  <si>
    <t>46365676E</t>
  </si>
  <si>
    <t>BENET JOFRE JIMENEZ</t>
  </si>
  <si>
    <t>38829624N</t>
  </si>
  <si>
    <t>ANGEL DE MIGUEL GARCIA</t>
  </si>
  <si>
    <t>34740281t</t>
  </si>
  <si>
    <t>LUCAS JUAN RUIZ MOLINA</t>
  </si>
  <si>
    <t>1020115505</t>
  </si>
  <si>
    <t>21679147z</t>
  </si>
  <si>
    <t>CLARA PRIETO BOIX</t>
  </si>
  <si>
    <t>1179357489</t>
  </si>
  <si>
    <t>46364285B</t>
  </si>
  <si>
    <t>JACOBO VAZQUEZ JIMENEZ</t>
  </si>
  <si>
    <t>0533126978</t>
  </si>
  <si>
    <t>53074321G</t>
  </si>
  <si>
    <t xml:space="preserve">FOTOGRAFO </t>
  </si>
  <si>
    <t>LAURA LENZA ALONSO</t>
  </si>
  <si>
    <t>32876268E</t>
  </si>
  <si>
    <t>MIREIA DE QUEROL DURAN</t>
  </si>
  <si>
    <t>47164456N</t>
  </si>
  <si>
    <t>ANTONIO FERNANDEZ RUIZ</t>
  </si>
  <si>
    <t>0071831830</t>
  </si>
  <si>
    <t>30527556R</t>
  </si>
  <si>
    <t>FRANCISCO LOPEZ JUAN</t>
  </si>
  <si>
    <t>48404354A</t>
  </si>
  <si>
    <t>HECTOR PLAZA HERNANDO</t>
  </si>
  <si>
    <t>71167135Y</t>
  </si>
  <si>
    <t>TERESA GARCIA VALENZUELA MORAGAS</t>
  </si>
  <si>
    <t>53403174A</t>
  </si>
  <si>
    <t>CARLES MUÑOZ SAMARRA</t>
  </si>
  <si>
    <t>47882910S</t>
  </si>
  <si>
    <t>AUREL YOAN RENAULT</t>
  </si>
  <si>
    <t>Y2791918P</t>
  </si>
  <si>
    <t>(NO LO ENCUENTRO)</t>
  </si>
  <si>
    <t>MARIA GABRIELA SANDOVAL CHACON</t>
  </si>
  <si>
    <t>49769813K</t>
  </si>
  <si>
    <t>RUFINO RODRIGUEZ LOPEZ</t>
  </si>
  <si>
    <t>0532676738</t>
  </si>
  <si>
    <t>43431745V</t>
  </si>
  <si>
    <t>ENRIC MASGRAU ANGELATS</t>
  </si>
  <si>
    <t>0509254470</t>
  </si>
  <si>
    <t>46646003W</t>
  </si>
  <si>
    <t>YADIRA OLAVARRIA BERROA</t>
  </si>
  <si>
    <t>y1569754h</t>
  </si>
  <si>
    <t>22/11/2025</t>
  </si>
  <si>
    <t>FCU RC</t>
  </si>
  <si>
    <t>JAVIER CASADO  PULIDO</t>
  </si>
  <si>
    <t>78570314Z</t>
  </si>
  <si>
    <t>FERNANDO AROMI FOLCH</t>
  </si>
  <si>
    <t>0487988030</t>
  </si>
  <si>
    <t>46228183T</t>
  </si>
  <si>
    <t>PAULA GERIBONI MIKELIUNAS</t>
  </si>
  <si>
    <t>1174325920</t>
  </si>
  <si>
    <t>X6471469M</t>
  </si>
  <si>
    <t>ANTONIO GUTIERREZ CASADO</t>
  </si>
  <si>
    <t>77616874q</t>
  </si>
  <si>
    <t>DF</t>
  </si>
  <si>
    <t>EJEMPLO TRABAJADOR EN RÉGIMEN GENERAL PARA DUPLICAR</t>
  </si>
  <si>
    <t>FERNANDO ATECA GONZALEZ</t>
  </si>
  <si>
    <t>020211438G</t>
  </si>
  <si>
    <t>ANA SOLE LARA</t>
  </si>
  <si>
    <t>0539500787</t>
  </si>
  <si>
    <t>38138732V</t>
  </si>
  <si>
    <t>MARCIA ZARAVIA LOPEZ</t>
  </si>
  <si>
    <t>x8013091Y</t>
  </si>
  <si>
    <t>VAL 2016</t>
  </si>
  <si>
    <t>ISARD SOLE CASTILLO</t>
  </si>
  <si>
    <t>46981468N</t>
  </si>
  <si>
    <t>JAQUELINE GOMES DE OLIVEIRA</t>
  </si>
  <si>
    <t>Y3417884Y</t>
  </si>
  <si>
    <t>VAL 01/04/ 2019</t>
  </si>
  <si>
    <t>OLGA GONZALEZ BARRANCOS</t>
  </si>
  <si>
    <t>29072052Y</t>
  </si>
  <si>
    <t>OSCAR BADIA FITE</t>
  </si>
  <si>
    <t>0518486951</t>
  </si>
  <si>
    <t>43430451b</t>
  </si>
  <si>
    <t>EVA GOMEZ ALCANTARA</t>
  </si>
  <si>
    <t>53083085M</t>
  </si>
  <si>
    <t>ARCE LOPEZ GUTIERREZ</t>
  </si>
  <si>
    <t>72084847H</t>
  </si>
  <si>
    <t>(EN SU CARPETA SÓLO HAY DNI)</t>
  </si>
  <si>
    <t>AMANDA BEATRIZ WILSON REQUENA</t>
  </si>
  <si>
    <t>Y1457848F</t>
  </si>
  <si>
    <t>ANTONIA GONZALEZ SOLANO</t>
  </si>
  <si>
    <t>74844075M</t>
  </si>
  <si>
    <t>MARCOS TAJADURA GONZALEZ</t>
  </si>
  <si>
    <t>1018629084</t>
  </si>
  <si>
    <t>72074954S</t>
  </si>
  <si>
    <t>JAVIER MONTILLA GARCIA</t>
  </si>
  <si>
    <t>72551746V</t>
  </si>
  <si>
    <t>JUAN BAUTISTA PEDRO COSTA</t>
  </si>
  <si>
    <t>47235029K</t>
  </si>
  <si>
    <t>ADRIA ENGUIDANOS GOMEZ</t>
  </si>
  <si>
    <t>47237577Q</t>
  </si>
  <si>
    <t>ERIC SUEIRO EGLICERIO</t>
  </si>
  <si>
    <t>47235008T</t>
  </si>
  <si>
    <t>EJEMPLO TRABAJADOR EN RÉGIMEN ARTISTAS PARA DUPLICAR</t>
  </si>
  <si>
    <t>FEDERICO MANUEL CRESPO OTERO</t>
  </si>
  <si>
    <t>47379233S</t>
  </si>
  <si>
    <t>ANA ELISABETH ARO</t>
  </si>
  <si>
    <t>Y4148652H</t>
  </si>
  <si>
    <t>LUCILA IRENE PRESTACH RODRIGUEZ</t>
  </si>
  <si>
    <t>081155912892</t>
  </si>
  <si>
    <t>47943888C</t>
  </si>
  <si>
    <t>ANDREA MELISSA SALVADOR SCIOSCIA</t>
  </si>
  <si>
    <t>071028472389</t>
  </si>
  <si>
    <t>1028472389</t>
  </si>
  <si>
    <t>X3514825B</t>
  </si>
  <si>
    <t>ZAIDA FERNANDEZ TORREGO</t>
  </si>
  <si>
    <t>47532380M</t>
  </si>
  <si>
    <t>EVA DE LUIS SUAREZ DE DAZA</t>
  </si>
  <si>
    <t>43434826Q</t>
  </si>
  <si>
    <t>SEBASTIAN GIACOMETTI</t>
  </si>
  <si>
    <t>X3756859Q</t>
  </si>
  <si>
    <t>AGNES SALES MARTIN</t>
  </si>
  <si>
    <t>47705922n</t>
  </si>
  <si>
    <t>BERNABE RUBIO GARCIA</t>
  </si>
  <si>
    <t>47778151K</t>
  </si>
  <si>
    <t>NURIA PALENZUELA LERA</t>
  </si>
  <si>
    <t>44016203E</t>
  </si>
  <si>
    <t>MARCELO COTIGNOLA GATTI</t>
  </si>
  <si>
    <t>48219731R</t>
  </si>
  <si>
    <t>RAFAEL GALVEZ CASTRO</t>
  </si>
  <si>
    <t>47603611M</t>
  </si>
  <si>
    <t>NEUS LEDESMA VIDAL</t>
  </si>
  <si>
    <t>47908224Y</t>
  </si>
  <si>
    <t>ELISA BODO</t>
  </si>
  <si>
    <t>Y0869095P</t>
  </si>
  <si>
    <t>ALBERT BASSAS I ROGAS</t>
  </si>
  <si>
    <t>47275690H</t>
  </si>
  <si>
    <t>MARC COSTA LUQUE</t>
  </si>
  <si>
    <t>41006408F</t>
  </si>
  <si>
    <t>BARBARA PINTO GUILEMANY</t>
  </si>
  <si>
    <t>46345372G</t>
  </si>
  <si>
    <t>ROBERTO TANNER</t>
  </si>
  <si>
    <t>X8507311W</t>
  </si>
  <si>
    <t>VAL 2024</t>
  </si>
  <si>
    <t>ARGENTINO</t>
  </si>
  <si>
    <t>PAMELA DEMOCRITO</t>
  </si>
  <si>
    <t>Y0809806J</t>
  </si>
  <si>
    <t>ANGEL DURAN VIVES</t>
  </si>
  <si>
    <t>39946955A</t>
  </si>
  <si>
    <t>DIEGO PICARD</t>
  </si>
  <si>
    <t>Y0082417E</t>
  </si>
  <si>
    <t>VICTORIA PUIGVENTOS GARCIA</t>
  </si>
  <si>
    <t>38829092D</t>
  </si>
  <si>
    <t>DIEGO GARRIDO ABRIL</t>
  </si>
  <si>
    <t>12411400W</t>
  </si>
  <si>
    <t>LUIS A MUÑOZ SANTIAGO</t>
  </si>
  <si>
    <t>12402977C</t>
  </si>
  <si>
    <t>FACUNDO MARTIN CONSTANZO DONAMARIA</t>
  </si>
  <si>
    <t>71740859H</t>
  </si>
  <si>
    <t>ADRIAN VEGA ANTOLIN</t>
  </si>
  <si>
    <t>53555700Q</t>
  </si>
  <si>
    <t>ABIGAIL GRACIA SIN</t>
  </si>
  <si>
    <t>46406902D</t>
  </si>
  <si>
    <t>ARAN SOLE CASTILLO</t>
  </si>
  <si>
    <t>46981467B</t>
  </si>
  <si>
    <t>SHEILA ALMODOVAR PEREZ</t>
  </si>
  <si>
    <t>77120575B</t>
  </si>
  <si>
    <t>ANNA SABATE HUETE</t>
  </si>
  <si>
    <t>0057042333</t>
  </si>
  <si>
    <t>39708047L</t>
  </si>
  <si>
    <t>ANNA SAGRERA CONDE</t>
  </si>
  <si>
    <t>46362169B</t>
  </si>
  <si>
    <t>LETICIA GARCIA FUENTES</t>
  </si>
  <si>
    <t>40350023L</t>
  </si>
  <si>
    <t>FERNANDO JORGE MELKI</t>
  </si>
  <si>
    <t>X5791958Y</t>
  </si>
  <si>
    <t>SERGIO COCHS CALVO</t>
  </si>
  <si>
    <t>39888620L</t>
  </si>
  <si>
    <t>DIEGO JESUS GARRIDO CAPARROS</t>
  </si>
  <si>
    <t>34773264R</t>
  </si>
  <si>
    <t>AIDA SANAHUJA I CASTELLA</t>
  </si>
  <si>
    <t>46986357W</t>
  </si>
  <si>
    <t>ESTELA CRUZ GARCIA</t>
  </si>
  <si>
    <t>46798040D</t>
  </si>
  <si>
    <t>FERNANDO CATALAN GONZALEZ</t>
  </si>
  <si>
    <t>47631034N</t>
  </si>
  <si>
    <t>GEMMA SANAHUJA I CASTELLA</t>
  </si>
  <si>
    <t>46986356R</t>
  </si>
  <si>
    <t>MIREIA PIÑOL MARTINEZ</t>
  </si>
  <si>
    <t>41005223H</t>
  </si>
  <si>
    <t>ROSER VALLVE VALERI</t>
  </si>
  <si>
    <t>AMAIA GONZALEZ ZABALA</t>
  </si>
  <si>
    <t>72318064S</t>
  </si>
  <si>
    <t>ARTUR DOMINGUEZ AZUARA</t>
  </si>
  <si>
    <t>46242733Z</t>
  </si>
  <si>
    <t>SAIOA EUBA GOITIA</t>
  </si>
  <si>
    <t>78955762M</t>
  </si>
  <si>
    <t>JON LEGARRA EIZAGUIRRE</t>
  </si>
  <si>
    <t>72317557Z</t>
  </si>
  <si>
    <t>JORDI NETCHAIEV RODRIGUEZ DE CARDENAS</t>
  </si>
  <si>
    <t>48086464L</t>
  </si>
  <si>
    <t>JULEN ANTSOTEGI USKOLA</t>
  </si>
  <si>
    <t>78993471V</t>
  </si>
  <si>
    <t>NAHIA ABOITIZ LEKUE</t>
  </si>
  <si>
    <t>44345753M</t>
  </si>
  <si>
    <t>DIANA SAMPER VILLAGRASA</t>
  </si>
  <si>
    <t>17759283V</t>
  </si>
  <si>
    <t>ELENA SUAREZ PARIENTE</t>
  </si>
  <si>
    <t>50552596E</t>
  </si>
  <si>
    <t>EVA PILARTE LOPEZ</t>
  </si>
  <si>
    <t>52365776C</t>
  </si>
  <si>
    <t>HADRIEN JULIEN HAIE</t>
  </si>
  <si>
    <t>Y3366044P</t>
  </si>
  <si>
    <t>Mª BELEN SANZ RODRIGUEZ</t>
  </si>
  <si>
    <t>51474398F</t>
  </si>
  <si>
    <t>PILAR MELGUIZO PEREZ DE MUÑOZ</t>
  </si>
  <si>
    <t>2638524X</t>
  </si>
  <si>
    <t>SILVIA PALACIOS EUGENIA</t>
  </si>
  <si>
    <t>50324189M</t>
  </si>
  <si>
    <t>DANIEL MONRAS BLASI</t>
  </si>
  <si>
    <t>44996294Z</t>
  </si>
  <si>
    <t>VICTORIA DIAZ MARTINEZ</t>
  </si>
  <si>
    <t>47418153L</t>
  </si>
  <si>
    <t>AGUSTINA MONCZAR</t>
  </si>
  <si>
    <t>Y1235823R</t>
  </si>
  <si>
    <t>FRANCESCA MERISIO</t>
  </si>
  <si>
    <t>X2716541B</t>
  </si>
  <si>
    <t>JORGELINA PAPPALARDO</t>
  </si>
  <si>
    <t>39523262Q</t>
  </si>
  <si>
    <t>JORGE MARTIN DENDA</t>
  </si>
  <si>
    <t>X2832564E</t>
  </si>
  <si>
    <t>ROGER DE LAS CUEVAS MILLAN</t>
  </si>
  <si>
    <t>53290758B</t>
  </si>
  <si>
    <t>JUAN BIBILONI JALFEN</t>
  </si>
  <si>
    <t>23820334Q</t>
  </si>
  <si>
    <t>BERNAT RENAU CASADO</t>
  </si>
  <si>
    <t>47925911Y</t>
  </si>
  <si>
    <t>ISIDORA JULIETA URRUTIA ALEGRIA</t>
  </si>
  <si>
    <t>26322549S</t>
  </si>
  <si>
    <t>SAMANTA CID LOPEZ</t>
  </si>
  <si>
    <t>39432753N</t>
  </si>
  <si>
    <t>SAMUEL MORAÑO MENES</t>
  </si>
  <si>
    <t>48268858T</t>
  </si>
  <si>
    <t>ANDREA GARRIGA GONZALEZ</t>
  </si>
  <si>
    <t>46977922P</t>
  </si>
  <si>
    <t>MYRIAM NADINE TAMISIER</t>
  </si>
  <si>
    <t>X8431165D</t>
  </si>
  <si>
    <t>JORGE ANDRES GAREIS</t>
  </si>
  <si>
    <t>Y0525440L</t>
  </si>
  <si>
    <t xml:space="preserve">ESCENOGRAFO </t>
  </si>
  <si>
    <t>RAMON BLANC LANDINEZ</t>
  </si>
  <si>
    <t>40958986B</t>
  </si>
  <si>
    <t>CATERINA ROMA TREPAT</t>
  </si>
  <si>
    <t>47640071X</t>
  </si>
  <si>
    <t>DEREK HERNANDEZ PEDROS</t>
  </si>
  <si>
    <t>78709781D</t>
  </si>
  <si>
    <t>FOTOGRAFO</t>
  </si>
  <si>
    <t>MARTA GIL POLO</t>
  </si>
  <si>
    <t>46138707V</t>
  </si>
  <si>
    <t>GORA JONAS CASADO PULIDO</t>
  </si>
  <si>
    <t>78570313J</t>
  </si>
  <si>
    <t>JAIME BLANCO PAEZ</t>
  </si>
  <si>
    <t>52152075N</t>
  </si>
  <si>
    <t>PAULA ASVIN LOPEZ ECHARRI</t>
  </si>
  <si>
    <t>MARIA MAGDALENA RIBOT ESTELRICH</t>
  </si>
  <si>
    <t>37338874F</t>
  </si>
  <si>
    <t>SERGIO JOSE PLA ROIG</t>
  </si>
  <si>
    <t>26744265A</t>
  </si>
  <si>
    <t>NURIA BONILLA GARCIA BONILLA</t>
  </si>
  <si>
    <t>47275901E</t>
  </si>
  <si>
    <t>JUAN IGNACIO ZABALA</t>
  </si>
  <si>
    <t>Y3000970J</t>
  </si>
  <si>
    <t>ITZIAR SANCHEZ PRIETO</t>
  </si>
  <si>
    <t>46974949W</t>
  </si>
  <si>
    <t>ANDRES ORTIZ MASSO</t>
  </si>
  <si>
    <t>46997472P</t>
  </si>
  <si>
    <t>PABLO RODRIGO HERNANDEZ ALTESOR</t>
  </si>
  <si>
    <t>Y4367855P</t>
  </si>
  <si>
    <t>SOLENE ALBORES MANTOY</t>
  </si>
  <si>
    <t>Y4340114M</t>
  </si>
  <si>
    <t>NADINE GERSPACHER</t>
  </si>
  <si>
    <t>X9613117Z</t>
  </si>
  <si>
    <t>ALVARO ARIAS FERNANDEZ</t>
  </si>
  <si>
    <t>53496996P</t>
  </si>
  <si>
    <t>JOSE ANGEL CALVE JARQUE</t>
  </si>
  <si>
    <t>18448849c</t>
  </si>
  <si>
    <t>NELSON NESTOR LIZANA GONZALEZ</t>
  </si>
  <si>
    <t>22585194E</t>
  </si>
  <si>
    <t>UGO BOULARD</t>
  </si>
  <si>
    <t>X2957215J</t>
  </si>
  <si>
    <t>IERA-ELFRIEDE DELP ARREGUI</t>
  </si>
  <si>
    <t>72491054E</t>
  </si>
  <si>
    <t>LIDIA MORAÑO ESCOLA</t>
  </si>
  <si>
    <t>46946341y</t>
  </si>
  <si>
    <t>ELENA MARTINEZ VICENTE</t>
  </si>
  <si>
    <t>2905096N</t>
  </si>
  <si>
    <t>SARA COMPTE DURAN</t>
  </si>
  <si>
    <t>38137751W</t>
  </si>
  <si>
    <t>AGUSTI MARGARIT SOLE</t>
  </si>
  <si>
    <t>1162368042</t>
  </si>
  <si>
    <t>47708560M</t>
  </si>
  <si>
    <t>PAU SEGUI SUÑOL</t>
  </si>
  <si>
    <t>1111721211</t>
  </si>
  <si>
    <t>14268835A</t>
  </si>
  <si>
    <t>CARPINTERO/ ESCENOGRAFO</t>
  </si>
  <si>
    <t>BRUNO MARTIN GAGLIARDINI</t>
  </si>
  <si>
    <t>1032349264</t>
  </si>
  <si>
    <t>X9276911E</t>
  </si>
  <si>
    <t>DENIS MOLINA BUELGA</t>
  </si>
  <si>
    <t>1153292377</t>
  </si>
  <si>
    <t>41005472Z</t>
  </si>
  <si>
    <t>CLARE LOUISE BAKER</t>
  </si>
  <si>
    <t>1145309681</t>
  </si>
  <si>
    <t>X4623298E</t>
  </si>
  <si>
    <t>EDUARD CANAL GUARNE</t>
  </si>
  <si>
    <t>0518595570</t>
  </si>
  <si>
    <t>46238162C</t>
  </si>
  <si>
    <t>ANASTASIA BROUZIOTI</t>
  </si>
  <si>
    <t>081194040158</t>
  </si>
  <si>
    <t>1194040158</t>
  </si>
  <si>
    <t>X9636489H</t>
  </si>
  <si>
    <t>KAREN JULIETA GASCON ROQUE</t>
  </si>
  <si>
    <t>1325684215</t>
  </si>
  <si>
    <t>Y2075636S</t>
  </si>
  <si>
    <t>JOSE ANTONIO PUCHADES MARTINEZ</t>
  </si>
  <si>
    <t>1035495551</t>
  </si>
  <si>
    <t>53208964M</t>
  </si>
  <si>
    <t xml:space="preserve">FRANCISCO GALAN GARCIA </t>
  </si>
  <si>
    <t>1437064535</t>
  </si>
  <si>
    <t>50620033T</t>
  </si>
  <si>
    <t>BERNAT FUGAROLAS FERRER</t>
  </si>
  <si>
    <t>081181416721</t>
  </si>
  <si>
    <t>1181416721</t>
  </si>
  <si>
    <t>47721769N</t>
  </si>
  <si>
    <t>PABLO GARCIA-MADICO PORTABELLA</t>
  </si>
  <si>
    <t>1102398501</t>
  </si>
  <si>
    <t>46352440B</t>
  </si>
  <si>
    <t>ARCADI POCH MACIAS</t>
  </si>
  <si>
    <t>1020488481</t>
  </si>
  <si>
    <t>46724925B</t>
  </si>
  <si>
    <t>YEVGENI GASTON MAYORGA ANDRADE</t>
  </si>
  <si>
    <t>1047098064</t>
  </si>
  <si>
    <t>26759553L</t>
  </si>
  <si>
    <t>PABLO MARIN ROJAS</t>
  </si>
  <si>
    <t>1078249945</t>
  </si>
  <si>
    <t>41003637L</t>
  </si>
  <si>
    <t>JOAN COLOMER MIGUEL</t>
  </si>
  <si>
    <t>1073289104</t>
  </si>
  <si>
    <t>38152080W</t>
  </si>
  <si>
    <t>JOSEP Mª GONZALEZ FARRE</t>
  </si>
  <si>
    <t>1136665567</t>
  </si>
  <si>
    <t>43456401V</t>
  </si>
  <si>
    <t>JAVIER LOPEZ GARCIA</t>
  </si>
  <si>
    <t>1069710107</t>
  </si>
  <si>
    <t>41002367Z</t>
  </si>
  <si>
    <t>JOSE XORTO PRADOS</t>
  </si>
  <si>
    <t>1118895470</t>
  </si>
  <si>
    <t>46985696P</t>
  </si>
  <si>
    <t>DANIEL FORNAGUERA BALDRICH</t>
  </si>
  <si>
    <t>1014830133</t>
  </si>
  <si>
    <t>46743939G</t>
  </si>
  <si>
    <t>EULALIA ALVAREZ GARRIGA</t>
  </si>
  <si>
    <t>1065021771</t>
  </si>
  <si>
    <t>47645923C</t>
  </si>
  <si>
    <t>PAU MATAS NOGUE</t>
  </si>
  <si>
    <t>1282206084</t>
  </si>
  <si>
    <t>46417903Q</t>
  </si>
  <si>
    <t>ENRIC GARCIA VALENCIA</t>
  </si>
  <si>
    <t>1247130480</t>
  </si>
  <si>
    <t>47930076P</t>
  </si>
  <si>
    <t>EVA BREGEL GRANEL</t>
  </si>
  <si>
    <t>1215379754</t>
  </si>
  <si>
    <t>21782243R</t>
  </si>
  <si>
    <t>AIDA MACAYO LUQUE</t>
  </si>
  <si>
    <t>1268085009</t>
  </si>
  <si>
    <t>77122617Y</t>
  </si>
  <si>
    <t>PAULA RODRIGUEZ MARTINEZ</t>
  </si>
  <si>
    <t>1234997093</t>
  </si>
  <si>
    <t>47995914C</t>
  </si>
  <si>
    <t>GABRIEL PEREZ POUS</t>
  </si>
  <si>
    <t>1075601138</t>
  </si>
  <si>
    <t>44017511L</t>
  </si>
  <si>
    <t>JUAN TERRASA GINARD</t>
  </si>
  <si>
    <t>1040368835</t>
  </si>
  <si>
    <t>41516077L</t>
  </si>
  <si>
    <t>DANIEL ALEJANDRO MENDEZ PIÑA</t>
  </si>
  <si>
    <t>1165296533</t>
  </si>
  <si>
    <t>Y2113777E</t>
  </si>
  <si>
    <t>MOHAMED L'GHACHAM OSFOR</t>
  </si>
  <si>
    <t>1226028132</t>
  </si>
  <si>
    <t>39987595W</t>
  </si>
  <si>
    <t>SIMONE FALLANCA</t>
  </si>
  <si>
    <t>081203933451</t>
  </si>
  <si>
    <t>1203933451</t>
  </si>
  <si>
    <t>X9288900M</t>
  </si>
  <si>
    <t>CESAR LOPEZ TORRES</t>
  </si>
  <si>
    <t>1023735542</t>
  </si>
  <si>
    <t>78682678T</t>
  </si>
  <si>
    <t>ANNA PASCUAL FERNANDEZ</t>
  </si>
  <si>
    <t>1064813324</t>
  </si>
  <si>
    <t>46243238J</t>
  </si>
  <si>
    <t>NICOLETTA BATTAGLIA</t>
  </si>
  <si>
    <t>1025657645</t>
  </si>
  <si>
    <t>Y0744999C</t>
  </si>
  <si>
    <t>MONICA MONGE SAURA</t>
  </si>
  <si>
    <t>1006059212</t>
  </si>
  <si>
    <t>38131005H</t>
  </si>
  <si>
    <t>CLARA PEDROL CLUSELLAS</t>
  </si>
  <si>
    <t>1147891400</t>
  </si>
  <si>
    <t>43560423X</t>
  </si>
  <si>
    <t>STEFANO FRANZINI</t>
  </si>
  <si>
    <t>1312280128</t>
  </si>
  <si>
    <t>Y3951413G</t>
  </si>
  <si>
    <t>IRENE MARTINEZ SANESTEBAN</t>
  </si>
  <si>
    <t>1263119720</t>
  </si>
  <si>
    <t>21764238M</t>
  </si>
  <si>
    <t>MARTA TEJADA PIZARRO</t>
  </si>
  <si>
    <t>1180906560</t>
  </si>
  <si>
    <t>47887606L</t>
  </si>
  <si>
    <t>GUILLERMO ANDRES CARRIZO</t>
  </si>
  <si>
    <t>1180346485</t>
  </si>
  <si>
    <t>X3986905Q</t>
  </si>
  <si>
    <t>MARIA TERESA VICENS MORENO</t>
  </si>
  <si>
    <t>1312483020</t>
  </si>
  <si>
    <t>47947358V</t>
  </si>
  <si>
    <t>JOAN LIGROS ROF</t>
  </si>
  <si>
    <t>1188716575</t>
  </si>
  <si>
    <t>47808258K</t>
  </si>
  <si>
    <t>GUSTAVO IGNACIO TRONCOSO HUELVA</t>
  </si>
  <si>
    <t>1090908517</t>
  </si>
  <si>
    <t>47020982N</t>
  </si>
  <si>
    <t>XAVIER ELIÇAGARAY</t>
  </si>
  <si>
    <t>1196928940</t>
  </si>
  <si>
    <t>X7552246N</t>
  </si>
  <si>
    <t>GUILLEM BARLEYCORN CASTILLEJO</t>
  </si>
  <si>
    <t>1182178573</t>
  </si>
  <si>
    <t>47917207L</t>
  </si>
  <si>
    <t>ROBIN MICHIE</t>
  </si>
  <si>
    <t>1197636232</t>
  </si>
  <si>
    <t>X8318137A</t>
  </si>
  <si>
    <t>21/01/2022</t>
  </si>
  <si>
    <t>JAVIER GAMA TINOCO</t>
  </si>
  <si>
    <t>1164892264</t>
  </si>
  <si>
    <t>46459125E</t>
  </si>
  <si>
    <t>JORDI SOLER COMPANY</t>
  </si>
  <si>
    <t>1076592255</t>
  </si>
  <si>
    <t>33951105T</t>
  </si>
  <si>
    <t>GISELA RIBA VEGAS</t>
  </si>
  <si>
    <t>081119371174</t>
  </si>
  <si>
    <t>1119371174</t>
  </si>
  <si>
    <t>46364579Y</t>
  </si>
  <si>
    <t>CLAUDIO PATRICIO DE LA CRUZ LUCERO</t>
  </si>
  <si>
    <t>1137539678</t>
  </si>
  <si>
    <t>X6449575F</t>
  </si>
  <si>
    <t>15/03/2220</t>
  </si>
  <si>
    <t>MARIANA CLAUDIA GONZALEZ GIORDANO</t>
  </si>
  <si>
    <t>1034548905</t>
  </si>
  <si>
    <t>X5954729Y</t>
  </si>
  <si>
    <t>JOSEP LLUIS PASCUAL CARNERO</t>
  </si>
  <si>
    <t>0530682477</t>
  </si>
  <si>
    <t>39348534L</t>
  </si>
  <si>
    <t>MARTA MENDEZ ALVAREZ</t>
  </si>
  <si>
    <t>1033320745</t>
  </si>
  <si>
    <t>10893865F</t>
  </si>
  <si>
    <t>NINA LOPEZ LE GALLIARD</t>
  </si>
  <si>
    <t>Y2590241H</t>
  </si>
  <si>
    <t>OSCAR GONZALEZ FERNANDEZ</t>
  </si>
  <si>
    <t>1294001587</t>
  </si>
  <si>
    <t>76036031D</t>
  </si>
  <si>
    <t>ANNA MATAS NOGUE</t>
  </si>
  <si>
    <t>1203759962</t>
  </si>
  <si>
    <t>46412298T</t>
  </si>
  <si>
    <t>RAFAEL OLMOS GARCIA-DUARTE</t>
  </si>
  <si>
    <t>1025932526</t>
  </si>
  <si>
    <t>77150479S</t>
  </si>
  <si>
    <t>EDUARDO JOSE NAVAS ALGABA</t>
  </si>
  <si>
    <t>1043702181</t>
  </si>
  <si>
    <t>39428825V</t>
  </si>
  <si>
    <t>FERNANDO DANIEL CAPUZZI</t>
  </si>
  <si>
    <t>1044850406</t>
  </si>
  <si>
    <t>Y3268767K</t>
  </si>
  <si>
    <t>02/02/2017/ NIE CADUCADO</t>
  </si>
  <si>
    <t>081006059212</t>
  </si>
  <si>
    <t>CECILIA MAZZUFERO</t>
  </si>
  <si>
    <t>1345306608</t>
  </si>
  <si>
    <t>Y5166003X</t>
  </si>
  <si>
    <t>ANN MARIE UTRATEL</t>
  </si>
  <si>
    <t>1342425574</t>
  </si>
  <si>
    <t>Y1653548T</t>
  </si>
  <si>
    <t>28/04/2026</t>
  </si>
  <si>
    <t>CRISTIAN ANDRES ROMAN GARCIA</t>
  </si>
  <si>
    <t>1016101842</t>
  </si>
  <si>
    <t>Y0006136D</t>
  </si>
  <si>
    <t>EVA CRISTINA GUTIERREZ MARIN</t>
  </si>
  <si>
    <t>1013872963</t>
  </si>
  <si>
    <t>47099800D</t>
  </si>
  <si>
    <t>INES GOMEZ TOLOSA</t>
  </si>
  <si>
    <t>1013153042</t>
  </si>
  <si>
    <t>47086139X</t>
  </si>
  <si>
    <t>JUAN CARLOS SOTO NAVARRETE</t>
  </si>
  <si>
    <t>1001726240</t>
  </si>
  <si>
    <t>47061507B</t>
  </si>
  <si>
    <t>LUIS JAEN TEVAR</t>
  </si>
  <si>
    <t>1023476468</t>
  </si>
  <si>
    <t>49310136E</t>
  </si>
  <si>
    <t>MANUEL MORENO GOMEZ</t>
  </si>
  <si>
    <t>1006067901</t>
  </si>
  <si>
    <t>47067370D</t>
  </si>
  <si>
    <t>MARIA DE LOS LLANOS VAZQUEZ COLMENERO</t>
  </si>
  <si>
    <t>1014052920</t>
  </si>
  <si>
    <t>47094266H</t>
  </si>
  <si>
    <t>MARIA INMACULADA GARCIA ROBLES</t>
  </si>
  <si>
    <t>1010937200</t>
  </si>
  <si>
    <t>47095159Z</t>
  </si>
  <si>
    <t>SAMUEL MORENO GOMEZ</t>
  </si>
  <si>
    <t>1000939025</t>
  </si>
  <si>
    <t>44398173P</t>
  </si>
  <si>
    <t>SANDRA MARTINEZ PRIETO</t>
  </si>
  <si>
    <t>1023110292</t>
  </si>
  <si>
    <t>49430934R</t>
  </si>
  <si>
    <t>UNAI BATTELLI MARTIN</t>
  </si>
  <si>
    <t>1221035662</t>
  </si>
  <si>
    <t>53298578B</t>
  </si>
  <si>
    <t>ADOLFO ADRIAN PONZ TOMAS</t>
  </si>
  <si>
    <t>0018655267</t>
  </si>
  <si>
    <t>18949664X</t>
  </si>
  <si>
    <t>MIGUEL ANGEL PINO GARCIA</t>
  </si>
  <si>
    <t>1193978827</t>
  </si>
  <si>
    <t>77125385Z</t>
  </si>
  <si>
    <t>DEBORA YAEL ELYASY</t>
  </si>
  <si>
    <t>1196987746</t>
  </si>
  <si>
    <t>X8605011K</t>
  </si>
  <si>
    <t>DOLORES MENOR MARTIN</t>
  </si>
  <si>
    <t>1098599737</t>
  </si>
  <si>
    <t>47162389S</t>
  </si>
  <si>
    <t xml:space="preserve">VERA GLEBOVA </t>
  </si>
  <si>
    <t>1172824440</t>
  </si>
  <si>
    <t>X6570673X</t>
  </si>
  <si>
    <t>EDGAR AMOR PRADAS</t>
  </si>
  <si>
    <t>1148227765</t>
  </si>
  <si>
    <t>46992037R</t>
  </si>
  <si>
    <t>ENRIC GONZALEZ MARONDA</t>
  </si>
  <si>
    <t>1035462538</t>
  </si>
  <si>
    <t>41642902E</t>
  </si>
  <si>
    <t>JUAN PABLO ALVAREZ</t>
  </si>
  <si>
    <t>1027476750</t>
  </si>
  <si>
    <t>X3659241X</t>
  </si>
  <si>
    <t>VAL 16/07/2024</t>
  </si>
  <si>
    <t>IGNACIO ENCINAS VACAS</t>
  </si>
  <si>
    <t>1233191883</t>
  </si>
  <si>
    <t>46416027A</t>
  </si>
  <si>
    <t>KATARZYNA SZCZEPANSKA</t>
  </si>
  <si>
    <t>1253543089</t>
  </si>
  <si>
    <t>Y1694472F</t>
  </si>
  <si>
    <t>BORIS MUÑOZ COCA</t>
  </si>
  <si>
    <t>1185316424</t>
  </si>
  <si>
    <t>47910005Q</t>
  </si>
  <si>
    <t>JANA ZORTES OSTA</t>
  </si>
  <si>
    <t>1147251503</t>
  </si>
  <si>
    <t>47884797Q</t>
  </si>
  <si>
    <t>BANIA URIMA MOGOLLON QUIROGA</t>
  </si>
  <si>
    <t>1142268296</t>
  </si>
  <si>
    <t>53422033W</t>
  </si>
  <si>
    <t>JULIA PEDRON NICOLAU</t>
  </si>
  <si>
    <t>1352770727</t>
  </si>
  <si>
    <t>50758257V</t>
  </si>
  <si>
    <t>MARGARITA URU MOGOLLON QUIROGA</t>
  </si>
  <si>
    <t>1212859341</t>
  </si>
  <si>
    <t>53422034A</t>
  </si>
  <si>
    <t>VICTOR SANCHEZ HEREDERO</t>
  </si>
  <si>
    <t>1285134748</t>
  </si>
  <si>
    <t>53456511A</t>
  </si>
  <si>
    <t xml:space="preserve">WILLIAM FERNEY PEDRAZO CASTELLANOS </t>
  </si>
  <si>
    <t>1025077375</t>
  </si>
  <si>
    <t>52028077F</t>
  </si>
  <si>
    <t>JUANA ORTEGA KIPPES</t>
  </si>
  <si>
    <t>1323263053</t>
  </si>
  <si>
    <t>Y1583404Y</t>
  </si>
  <si>
    <t>SERGIO BENITEZ OLIVEROS</t>
  </si>
  <si>
    <t>1001939663</t>
  </si>
  <si>
    <t>77786809G</t>
  </si>
  <si>
    <t>CARMEN GONZALEZ RUEDA</t>
  </si>
  <si>
    <t>1019797813</t>
  </si>
  <si>
    <t>77438985D</t>
  </si>
  <si>
    <t>DIANA ROSA JIMENEZ CORTES</t>
  </si>
  <si>
    <t>1035305793</t>
  </si>
  <si>
    <t>34856187D</t>
  </si>
  <si>
    <t>FELIPE CAYUELA ALARCON</t>
  </si>
  <si>
    <t>0038121922</t>
  </si>
  <si>
    <t>27535266B</t>
  </si>
  <si>
    <t>JOSE MARIA CAYUELA ALARCON</t>
  </si>
  <si>
    <t>0038120710</t>
  </si>
  <si>
    <t>34847051G</t>
  </si>
  <si>
    <t>JULIANA RAMIREZ PINZON</t>
  </si>
  <si>
    <t>1053790825</t>
  </si>
  <si>
    <t>Y0403544T</t>
  </si>
  <si>
    <t>NURIA ALASTRUE HERNANDEZ</t>
  </si>
  <si>
    <t>1005705332</t>
  </si>
  <si>
    <t>46808834Q</t>
  </si>
  <si>
    <t>CLAUDIA CID LOPEZ</t>
  </si>
  <si>
    <t>1318295441</t>
  </si>
  <si>
    <t>39432774X</t>
  </si>
  <si>
    <t>MARINA ROMERO RINCON</t>
  </si>
  <si>
    <t>1224934052</t>
  </si>
  <si>
    <t>53868246S</t>
  </si>
  <si>
    <t>SOPHIE THIRON</t>
  </si>
  <si>
    <t>1184788176</t>
  </si>
  <si>
    <t>X7616654C</t>
  </si>
  <si>
    <t>VIRGINIA RINCON FERNANDEZ</t>
  </si>
  <si>
    <t>1194846066</t>
  </si>
  <si>
    <t>53297427X</t>
  </si>
  <si>
    <t>ELISABETH MARIA GONZALEZ OLIVAS</t>
  </si>
  <si>
    <t>1019251191</t>
  </si>
  <si>
    <t>74238513X</t>
  </si>
  <si>
    <t>FRANCISCO JAVER QUESADO RODRIGUEZ</t>
  </si>
  <si>
    <t>1212518831</t>
  </si>
  <si>
    <t>53730678X</t>
  </si>
  <si>
    <t>JOANA ALCOBA KAIT</t>
  </si>
  <si>
    <t>1211713457</t>
  </si>
  <si>
    <t>46066399K</t>
  </si>
  <si>
    <t>JUAN MARIA SOLER RUBIO</t>
  </si>
  <si>
    <t>00088477688</t>
  </si>
  <si>
    <t>74438308G</t>
  </si>
  <si>
    <t xml:space="preserve">SERGIO FABIAN ZARATE </t>
  </si>
  <si>
    <t>1053890396</t>
  </si>
  <si>
    <t>X5724296X</t>
  </si>
  <si>
    <t>ALBA PAÑELLA SANCHEZ</t>
  </si>
  <si>
    <t>1285202071</t>
  </si>
  <si>
    <t>46406446J</t>
  </si>
  <si>
    <t>BERTA MARISTANY CORBELLA</t>
  </si>
  <si>
    <t>1210787210</t>
  </si>
  <si>
    <t>77619106V</t>
  </si>
  <si>
    <t>LAIA RAUSI ROSSET</t>
  </si>
  <si>
    <t>1260117063</t>
  </si>
  <si>
    <t>38879343M</t>
  </si>
  <si>
    <t>MARC SALA CASTELLS</t>
  </si>
  <si>
    <t>1230641591</t>
  </si>
  <si>
    <t>47876646F</t>
  </si>
  <si>
    <t>POL GARCIA CARMONA</t>
  </si>
  <si>
    <t>1199191464</t>
  </si>
  <si>
    <t>47966229M</t>
  </si>
  <si>
    <t>KLARA LOPEZ DE LARRUZEA LOBO</t>
  </si>
  <si>
    <t>1036602329</t>
  </si>
  <si>
    <t>45667760H</t>
  </si>
  <si>
    <t>MADDI MALATSETXEBARRIA ARRIETA</t>
  </si>
  <si>
    <t>1055497727</t>
  </si>
  <si>
    <t>46367367B</t>
  </si>
  <si>
    <t>OIHANE HERNANDEZ SABADA</t>
  </si>
  <si>
    <t>1010340664</t>
  </si>
  <si>
    <t>72828923K</t>
  </si>
  <si>
    <t>ERICK IVAN BOUCHAIN PEREZ</t>
  </si>
  <si>
    <t>1139816956</t>
  </si>
  <si>
    <t>X4390453Y</t>
  </si>
  <si>
    <t>01/02/2025</t>
  </si>
  <si>
    <t>ALBERTO MUNILLA PARDAL</t>
  </si>
  <si>
    <t>1001188805</t>
  </si>
  <si>
    <t>16567941Y</t>
  </si>
  <si>
    <t>ALBERT GINER MESADO</t>
  </si>
  <si>
    <t>1156916339</t>
  </si>
  <si>
    <t>46982013M</t>
  </si>
  <si>
    <t>MANUEL JORGE ROBERTO ZOCCHI</t>
  </si>
  <si>
    <t>1347398269</t>
  </si>
  <si>
    <t>Y2789351V</t>
  </si>
  <si>
    <t>01/01/2018 NIE CADUCADO</t>
  </si>
  <si>
    <t>LAIA TAFUR SANTAMARIA</t>
  </si>
  <si>
    <t>1033884607</t>
  </si>
  <si>
    <t>75149400M</t>
  </si>
  <si>
    <t>DAVID VILLAR VICENTE</t>
  </si>
  <si>
    <t>1195247911</t>
  </si>
  <si>
    <t>41008857H</t>
  </si>
  <si>
    <t>PAULA FERNANDEZ FRAILE</t>
  </si>
  <si>
    <t>1245205335   </t>
  </si>
  <si>
    <t>48104290C</t>
  </si>
  <si>
    <t>MARTA SOLDEVILA I CASANOVAS</t>
  </si>
  <si>
    <t>1195022181</t>
  </si>
  <si>
    <t>47868014T</t>
  </si>
  <si>
    <t>ROBERT ARRONIS ESTELLE</t>
  </si>
  <si>
    <t>1238096851</t>
  </si>
  <si>
    <t>46991127B</t>
  </si>
  <si>
    <t>BRU CORTACANS I FARRAS</t>
  </si>
  <si>
    <t>1328598255</t>
  </si>
  <si>
    <t>48104093F</t>
  </si>
  <si>
    <t>JAVIER CASTRO LOPEZ</t>
  </si>
  <si>
    <t>081074726623</t>
  </si>
  <si>
    <t>45785995X</t>
  </si>
  <si>
    <t>DANIEL MARTI BERTRAN</t>
  </si>
  <si>
    <t>52592812T</t>
  </si>
  <si>
    <t>NATALIA RUIZ FONS</t>
  </si>
  <si>
    <t>47725135C</t>
  </si>
  <si>
    <t>MANUEL IGNACIO BENITEZ MULET</t>
  </si>
  <si>
    <t>X2992970A</t>
  </si>
  <si>
    <t>CLARA GISPERT TORRAS</t>
  </si>
  <si>
    <t>47952386P</t>
  </si>
  <si>
    <t>MARTA RIBA USTRELL</t>
  </si>
  <si>
    <t>48197489T</t>
  </si>
  <si>
    <t>EDUARD FERNANDEZ MASSOT</t>
  </si>
  <si>
    <t>43446294F</t>
  </si>
  <si>
    <t>EDUARDO SILVEIRA NETO</t>
  </si>
  <si>
    <t>Y0716079B</t>
  </si>
  <si>
    <t>21/07/2024</t>
  </si>
  <si>
    <t>CHIARA FORTUNATO</t>
  </si>
  <si>
    <t>X4064281C</t>
  </si>
  <si>
    <t>SANDRA PALMA JUAREZ</t>
  </si>
  <si>
    <t>47963286Y</t>
  </si>
  <si>
    <t>FABRIZIO PAPARELLO</t>
  </si>
  <si>
    <t>Y2343273R</t>
  </si>
  <si>
    <t>VICTOR MANUEL PEREZ DIAZ</t>
  </si>
  <si>
    <t>47223029G</t>
  </si>
  <si>
    <t>ARTURO GARCIA DOMINGUEZ</t>
  </si>
  <si>
    <t>22741592C</t>
  </si>
  <si>
    <t>PATRICIA ARIZMENDI MARTINEZ ARROYO</t>
  </si>
  <si>
    <t>44139529E​</t>
  </si>
  <si>
    <t>FRANCISCO MARTINEZ MARQUEZ</t>
  </si>
  <si>
    <t>02882612E</t>
  </si>
  <si>
    <t>MARIA RIBERA SALVADOR</t>
  </si>
  <si>
    <t>45647595R</t>
  </si>
  <si>
    <t>KLAUS STROINK IZARD</t>
  </si>
  <si>
    <t>47843756F</t>
  </si>
  <si>
    <t>PILAR GOMEZ RABAZA</t>
  </si>
  <si>
    <t>52646832Q</t>
  </si>
  <si>
    <t>RONAN TULLY</t>
  </si>
  <si>
    <t>Y1644937Z</t>
  </si>
  <si>
    <t>MIRIAM APARICIO RODRIGUEZ</t>
  </si>
  <si>
    <t>38143805F</t>
  </si>
  <si>
    <t>FEDOR DE PABLOS PUIG</t>
  </si>
  <si>
    <t>35097559L</t>
  </si>
  <si>
    <t>MATTEO RIVOLTA</t>
  </si>
  <si>
    <t>X9257091M</t>
  </si>
  <si>
    <t>JULIO VALLEJO VAZQUEZ</t>
  </si>
  <si>
    <t>0444125034</t>
  </si>
  <si>
    <t>35075307P</t>
  </si>
  <si>
    <t>OLIVIER RENE GILBERT ROCQUE</t>
  </si>
  <si>
    <t>1054035412</t>
  </si>
  <si>
    <t>X2267339E</t>
  </si>
  <si>
    <t>ALBA DELLA-CASA BARTOLOME</t>
  </si>
  <si>
    <t>1007286784</t>
  </si>
  <si>
    <t>45720205T</t>
  </si>
  <si>
    <t>GABRIEL HEREDERO SERRA</t>
  </si>
  <si>
    <t>1182188879</t>
  </si>
  <si>
    <t>46357556K</t>
  </si>
  <si>
    <t>CARLES JOSEP MEDINA ESTELRICH</t>
  </si>
  <si>
    <t>1334847681</t>
  </si>
  <si>
    <t>41572707T</t>
  </si>
  <si>
    <t>JOFRE ALEMANY CASANOVAS</t>
  </si>
  <si>
    <t>1315378670</t>
  </si>
  <si>
    <t>45991037F</t>
  </si>
  <si>
    <t>PABLO ALVAREZ LUCIONI</t>
  </si>
  <si>
    <t>1128585669</t>
  </si>
  <si>
    <t>47913467M</t>
  </si>
  <si>
    <t>EDUARDO TORRES GARCIA</t>
  </si>
  <si>
    <t>1070020979</t>
  </si>
  <si>
    <t>50977615R</t>
  </si>
  <si>
    <t>SAIOA FERNANDEZ CAMARZON</t>
  </si>
  <si>
    <t>1016799272</t>
  </si>
  <si>
    <t>72397528Z</t>
  </si>
  <si>
    <t>DAVID SAMANIEGO SANCHEZ</t>
  </si>
  <si>
    <t>1027742853</t>
  </si>
  <si>
    <t>44853427T</t>
  </si>
  <si>
    <t>VICTOR SOLANA MITJANS</t>
  </si>
  <si>
    <t>1153149911</t>
  </si>
  <si>
    <t>77123403X</t>
  </si>
  <si>
    <t>RAFAEL GUERAO CALERO</t>
  </si>
  <si>
    <t>0470287954</t>
  </si>
  <si>
    <t>46515681K</t>
  </si>
  <si>
    <t>MARIO BERMUDEZ GIL</t>
  </si>
  <si>
    <t>1023256050</t>
  </si>
  <si>
    <t>26246495E</t>
  </si>
  <si>
    <t>MATEJ BACA</t>
  </si>
  <si>
    <t>1041130916</t>
  </si>
  <si>
    <t>X7645628Z</t>
  </si>
  <si>
    <t>ADRIANA URDANOZ GOMEZ</t>
  </si>
  <si>
    <t>011007657202</t>
  </si>
  <si>
    <t>1007657202</t>
  </si>
  <si>
    <t>44678035Y</t>
  </si>
  <si>
    <t>NOEMI SILLAH XIBERTA</t>
  </si>
  <si>
    <t>1283089794</t>
  </si>
  <si>
    <t>77618994C</t>
  </si>
  <si>
    <t>280390376692</t>
  </si>
  <si>
    <t>0390376692</t>
  </si>
  <si>
    <t>CRISTINA NARANJO PEREZ</t>
  </si>
  <si>
    <t>1037793322</t>
  </si>
  <si>
    <t>44745494Y</t>
  </si>
  <si>
    <t>JOSE ORIOL AUBETS COLLADOS</t>
  </si>
  <si>
    <t>1000875523</t>
  </si>
  <si>
    <t>39364168J</t>
  </si>
  <si>
    <t>SHEILA FERRER LOPEZ</t>
  </si>
  <si>
    <t>1009491126</t>
  </si>
  <si>
    <t>73391841Z</t>
  </si>
  <si>
    <t>RAUL PEREZ ARMERO</t>
  </si>
  <si>
    <t>1152731700</t>
  </si>
  <si>
    <t>46354389M</t>
  </si>
  <si>
    <t>DANIEL NUNES</t>
  </si>
  <si>
    <t>509010152</t>
  </si>
  <si>
    <t>44000103E</t>
  </si>
  <si>
    <t>MARC THIO I LLUCH</t>
  </si>
  <si>
    <t>0472556542</t>
  </si>
  <si>
    <t>43689775X</t>
  </si>
  <si>
    <t>FERNANDO JAVIER TEJERO VÉLEZ</t>
  </si>
  <si>
    <t>23891477C</t>
  </si>
  <si>
    <t>CRISTINA HARO CARNERO</t>
  </si>
  <si>
    <t>1083863619</t>
  </si>
  <si>
    <t>53328419K</t>
  </si>
  <si>
    <t>MARTA RABANEDA ESPINALT</t>
  </si>
  <si>
    <t>1192071967</t>
  </si>
  <si>
    <t>39393053X</t>
  </si>
  <si>
    <t>IRATI MUSITU PASTOR</t>
  </si>
  <si>
    <t>1007982251</t>
  </si>
  <si>
    <t>72492005F</t>
  </si>
  <si>
    <t>EDUARDO SOLAS RIOCEREZO</t>
  </si>
  <si>
    <t>13161337R</t>
  </si>
  <si>
    <t>ISIDORO FERNANDEZ RIVAS</t>
  </si>
  <si>
    <t>280456785320</t>
  </si>
  <si>
    <t>0456785320</t>
  </si>
  <si>
    <t>33506153Y</t>
  </si>
  <si>
    <t>MIREIA ALEGRE SALA</t>
  </si>
  <si>
    <t>081175836793</t>
  </si>
  <si>
    <t>1175836793</t>
  </si>
  <si>
    <t>43567512S</t>
  </si>
  <si>
    <t>MARTA GARCIA MINCHERO</t>
  </si>
  <si>
    <t xml:space="preserve">201007756916 </t>
  </si>
  <si>
    <t>44551090K</t>
  </si>
  <si>
    <t>TAMARA PATRICIA CASELLAS CHAMORRO</t>
  </si>
  <si>
    <t>41 10908577 77</t>
  </si>
  <si>
    <t>1090857777</t>
  </si>
  <si>
    <t>28821602A</t>
  </si>
  <si>
    <t>ANDRES SOTO GALIAN</t>
  </si>
  <si>
    <t xml:space="preserve">301097832564 </t>
  </si>
  <si>
    <t>23299998D</t>
  </si>
  <si>
    <t>JULIAN PAREJA ESCUDERO</t>
  </si>
  <si>
    <t xml:space="preserve">031052582011 </t>
  </si>
  <si>
    <t xml:space="preserve">074238973X </t>
  </si>
  <si>
    <t>MARIA BETLEM BURCET  TORRES</t>
  </si>
  <si>
    <t>171020250867</t>
  </si>
  <si>
    <t>1020250867</t>
  </si>
  <si>
    <t>45548114H</t>
  </si>
  <si>
    <t>NICOLAS FLORS GALLO ALCANTARA</t>
  </si>
  <si>
    <t>121002969995</t>
  </si>
  <si>
    <t>1002969995</t>
  </si>
  <si>
    <t>20242126X</t>
  </si>
  <si>
    <t>XAVIER BOTIAS SANCHEZ</t>
  </si>
  <si>
    <t>081108805046</t>
  </si>
  <si>
    <t>1108805046</t>
  </si>
  <si>
    <t>47879146T</t>
  </si>
  <si>
    <t>IGNACIO VALBUENA GARCIA</t>
  </si>
  <si>
    <t>471015342470</t>
  </si>
  <si>
    <t>1015342470</t>
  </si>
  <si>
    <t>71126983N</t>
  </si>
  <si>
    <t>YASMINA AZLOR CELMA</t>
  </si>
  <si>
    <t xml:space="preserve">081083602830 </t>
  </si>
  <si>
    <t>46970670R</t>
  </si>
  <si>
    <t>MARIANO SOBOT DE MARIA</t>
  </si>
  <si>
    <t>081099434543</t>
  </si>
  <si>
    <t>1099434543</t>
  </si>
  <si>
    <t>47700480K</t>
  </si>
  <si>
    <t>LETICIA VESCOVI</t>
  </si>
  <si>
    <t xml:space="preserve">081192991447 </t>
  </si>
  <si>
    <t>X8258622N  </t>
  </si>
  <si>
    <t>MARCELO ALBERTO CONTIGNOLA</t>
  </si>
  <si>
    <t>081141182333</t>
  </si>
  <si>
    <t>ROSA VICENTE GARGALLO</t>
  </si>
  <si>
    <t xml:space="preserve">430043881756 </t>
  </si>
  <si>
    <t>18751624T</t>
  </si>
  <si>
    <t>ALBERTO BARBERA DUELO</t>
  </si>
  <si>
    <t xml:space="preserve">461030378193 </t>
  </si>
  <si>
    <t>23021241N</t>
  </si>
  <si>
    <t>JOHANNA KERGROACH</t>
  </si>
  <si>
    <t xml:space="preserve">081119088763 </t>
  </si>
  <si>
    <t>X4611941G</t>
  </si>
  <si>
    <t>DIEGO LOPEZ BUENO</t>
  </si>
  <si>
    <t>031051772059</t>
  </si>
  <si>
    <t>048330014E</t>
  </si>
  <si>
    <t>XENIA IRINA TARTARI</t>
  </si>
  <si>
    <t xml:space="preserve">151044850507 </t>
  </si>
  <si>
    <t>Y3268696L</t>
  </si>
  <si>
    <t>NURIA MARTINEZ MIRANDA</t>
  </si>
  <si>
    <t xml:space="preserve">081055691078 </t>
  </si>
  <si>
    <t>77308655C</t>
  </si>
  <si>
    <t>EVA  VERDE CONTRERAS</t>
  </si>
  <si>
    <t>081260613581</t>
  </si>
  <si>
    <t>46364682V</t>
  </si>
  <si>
    <t>CLAUDIA VILÀ PEREMIQUEL</t>
  </si>
  <si>
    <t xml:space="preserve">081149577176 </t>
  </si>
  <si>
    <t>46412344T</t>
  </si>
  <si>
    <t>JAUME BARBOSA FERRER</t>
  </si>
  <si>
    <t>411035492100</t>
  </si>
  <si>
    <t>1035492100</t>
  </si>
  <si>
    <t>28787117H</t>
  </si>
  <si>
    <t>MARCOS CABAÑAS BARRUECO</t>
  </si>
  <si>
    <t>471015218087</t>
  </si>
  <si>
    <t>1015218087</t>
  </si>
  <si>
    <t>11974518M</t>
  </si>
  <si>
    <t xml:space="preserve">LOURDES LOPEZ VAZQUEZ </t>
  </si>
  <si>
    <t>171005266185</t>
  </si>
  <si>
    <t>1005266185</t>
  </si>
  <si>
    <t>79350178V</t>
  </si>
  <si>
    <t>FERRAN IRZO DULSAT</t>
  </si>
  <si>
    <t>08 1004988269</t>
  </si>
  <si>
    <t> 1004988269</t>
  </si>
  <si>
    <t>38836566P</t>
  </si>
  <si>
    <t>FERRAN AGUILO COLL</t>
  </si>
  <si>
    <t>081088279038</t>
  </si>
  <si>
    <t>1088279038</t>
  </si>
  <si>
    <t>38854800A</t>
  </si>
  <si>
    <t>ALFONSO MILLAN RUIZ</t>
  </si>
  <si>
    <t>081082720231</t>
  </si>
  <si>
    <t>38866701J</t>
  </si>
  <si>
    <t>REMI LUC PATRICK MEURICE</t>
  </si>
  <si>
    <t xml:space="preserve">081302237796 </t>
  </si>
  <si>
    <t xml:space="preserve">1302237796 </t>
  </si>
  <si>
    <t>Y3616320K</t>
  </si>
  <si>
    <t>MARIA ESTELA PALACIO MONTEJO</t>
  </si>
  <si>
    <t>1001842327</t>
  </si>
  <si>
    <t>13981442H</t>
  </si>
  <si>
    <t>VANESA TORRES CORRO</t>
  </si>
  <si>
    <t>1036902149</t>
  </si>
  <si>
    <t>50976710Q</t>
  </si>
  <si>
    <t>JOAQUIN EVIA PARGA</t>
  </si>
  <si>
    <t>1022744712</t>
  </si>
  <si>
    <t>46903985Q</t>
  </si>
  <si>
    <t>PABLO CAROD ESPADAS</t>
  </si>
  <si>
    <t>1020277919</t>
  </si>
  <si>
    <t>48007389H</t>
  </si>
  <si>
    <t>SANTIAGO VAAMONDE JUANATEY</t>
  </si>
  <si>
    <t>1020589187</t>
  </si>
  <si>
    <t>34898091F</t>
  </si>
  <si>
    <t>ROBERTO GRANADO GONZALEZ</t>
  </si>
  <si>
    <t>1018241505</t>
  </si>
  <si>
    <t>72495016M</t>
  </si>
  <si>
    <t>LEA JULIDE OSMANOGLU</t>
  </si>
  <si>
    <t>Y2534293Y</t>
  </si>
  <si>
    <t>MANUEL PAREDES ANDRES</t>
  </si>
  <si>
    <t>280438828394</t>
  </si>
  <si>
    <t>02623258Q</t>
  </si>
  <si>
    <t>EVA MARIA RUIZ GARCIA</t>
  </si>
  <si>
    <t>281445169893</t>
  </si>
  <si>
    <t>49098417H</t>
  </si>
  <si>
    <t>LAURA GAYA GABÁS</t>
  </si>
  <si>
    <t>081171245461</t>
  </si>
  <si>
    <t>46981004P</t>
  </si>
  <si>
    <t>YEXZABETH VIOLETA LARA BRICEÑO</t>
  </si>
  <si>
    <t>301064419300</t>
  </si>
  <si>
    <t>X9427141Q</t>
  </si>
  <si>
    <t>MIGUEL ANGEL GUILLEN POZUELO</t>
  </si>
  <si>
    <t>461051905224</t>
  </si>
  <si>
    <t>053355474M</t>
  </si>
  <si>
    <t>GEMA GARCIA MORESCO</t>
  </si>
  <si>
    <t>281086278583</t>
  </si>
  <si>
    <t>002665075L</t>
  </si>
  <si>
    <t>MARIA LUISA PONS GARCIA</t>
  </si>
  <si>
    <t>501020556776 </t>
  </si>
  <si>
    <t>1020556776 </t>
  </si>
  <si>
    <t>17745328T</t>
  </si>
  <si>
    <t>JON IRULEGUI SEMPERE</t>
  </si>
  <si>
    <t>201020449869</t>
  </si>
  <si>
    <t>1020449869</t>
  </si>
  <si>
    <t xml:space="preserve">072503609L </t>
  </si>
  <si>
    <t>FRANCISCO JAVIER CEBALLOS CHAMORRO</t>
  </si>
  <si>
    <t>47776725K</t>
  </si>
  <si>
    <t>JOEL MARTI MELERO</t>
  </si>
  <si>
    <t>43558535P</t>
  </si>
  <si>
    <t xml:space="preserve">JACK TARRADELLAS ESCOUDE </t>
  </si>
  <si>
    <t>081085377122</t>
  </si>
  <si>
    <t>36580067Q</t>
  </si>
  <si>
    <t>ALEJANDRA SOTO CARVAJAL</t>
  </si>
  <si>
    <t>Y4069480N </t>
  </si>
  <si>
    <t>Roger Lozano Serret</t>
  </si>
  <si>
    <t>081052738541</t>
  </si>
  <si>
    <t>45495152W</t>
  </si>
  <si>
    <t>Ramon Oliva Valenti - El Popos</t>
  </si>
  <si>
    <t>170059296131</t>
  </si>
  <si>
    <t>37328754F</t>
  </si>
  <si>
    <t>Petete" Jonathan Mala Romagosa"</t>
  </si>
  <si>
    <t>46826299R</t>
  </si>
  <si>
    <t>Juan Antonio Giménez Castro</t>
  </si>
  <si>
    <t>251009458271</t>
  </si>
  <si>
    <t>47901007B</t>
  </si>
  <si>
    <t>Israel Giménez Juan</t>
  </si>
  <si>
    <t>46987654B</t>
  </si>
  <si>
    <t>Thais Hernández Panadero</t>
  </si>
  <si>
    <t>44421430N</t>
  </si>
  <si>
    <t>Ivan Santaeulalia Tort</t>
  </si>
  <si>
    <t>081010498475</t>
  </si>
  <si>
    <t>45483608G</t>
  </si>
  <si>
    <t>Antonio Reyes Vallés</t>
  </si>
  <si>
    <t>081162901441</t>
  </si>
  <si>
    <t>46986745E</t>
  </si>
  <si>
    <t>Jaime Ximenez Jimenez</t>
  </si>
  <si>
    <t>46960391A</t>
  </si>
  <si>
    <t>Ricardo Batista Ximénez</t>
  </si>
  <si>
    <t>41510001S</t>
  </si>
  <si>
    <t>JUDITH NOGUE MARTINEZ</t>
  </si>
  <si>
    <t>43561984F</t>
  </si>
  <si>
    <t>Violeta Paulina Villegas</t>
  </si>
  <si>
    <t>081302152823</t>
  </si>
  <si>
    <t>0Y1958226C</t>
  </si>
  <si>
    <t>VAL 14/05/2019</t>
  </si>
  <si>
    <t>pepi Josefina Izquierdo Martinez</t>
  </si>
  <si>
    <t>171010556729</t>
  </si>
  <si>
    <t>40356397E</t>
  </si>
  <si>
    <t>Mireia Pla Codina</t>
  </si>
  <si>
    <t>081158545737</t>
  </si>
  <si>
    <t>47793786Q</t>
  </si>
  <si>
    <t>Raúl Pérez Mazariegos</t>
  </si>
  <si>
    <t>081057082929</t>
  </si>
  <si>
    <t>46684444X</t>
  </si>
  <si>
    <t>Alberto Perez Jordana</t>
  </si>
  <si>
    <t>53061908B</t>
  </si>
  <si>
    <t>ELBIA MARIA CEDRES UMPIERREZ</t>
  </si>
  <si>
    <t>78545716A</t>
  </si>
  <si>
    <t>Pere Masafret Marce</t>
  </si>
  <si>
    <t>46731510H</t>
  </si>
  <si>
    <t>Rambo" Francisco Batista Clota"</t>
  </si>
  <si>
    <t>46984486V</t>
  </si>
  <si>
    <t xml:space="preserve">Nuria cos becas </t>
  </si>
  <si>
    <t>37328755P</t>
  </si>
  <si>
    <t xml:space="preserve">Ramon Jimenez Valenti /Lito </t>
  </si>
  <si>
    <t>36576871V</t>
  </si>
  <si>
    <t>Paco - Francisco Farre Joaquin</t>
  </si>
  <si>
    <t>46572291M</t>
  </si>
  <si>
    <t>Mami " Maria Lourdes Rivas Becas"</t>
  </si>
  <si>
    <t>38083664B</t>
  </si>
  <si>
    <t>DAVID DE LA ROSA ALEGRE</t>
  </si>
  <si>
    <t>77620216T</t>
  </si>
  <si>
    <t>06/11/1989</t>
  </si>
  <si>
    <t>Carlos Alberto Viñole Donadio</t>
  </si>
  <si>
    <t>47710472P</t>
  </si>
  <si>
    <t>ERIC RUIZ LLAGOSTERA</t>
  </si>
  <si>
    <t>49220286X</t>
  </si>
  <si>
    <t>VERA LIBIA GARCIA</t>
  </si>
  <si>
    <t>X4155686T</t>
  </si>
  <si>
    <t>Yevgeni Gastón Mayorga Andrade</t>
  </si>
  <si>
    <t>461047098064</t>
  </si>
  <si>
    <t>ANTONIO RAMON TREJO SANCHEZ</t>
  </si>
  <si>
    <t xml:space="preserve">351001168748 </t>
  </si>
  <si>
    <t>44306039N</t>
  </si>
  <si>
    <t>JUAN LUIS GARCÍA PACHON</t>
  </si>
  <si>
    <t xml:space="preserve">061030185871 </t>
  </si>
  <si>
    <t>45876919S</t>
  </si>
  <si>
    <t>MATTEO FRAU</t>
  </si>
  <si>
    <t>081357844664</t>
  </si>
  <si>
    <t>1357844664</t>
  </si>
  <si>
    <t>Y5781874X</t>
  </si>
  <si>
    <t>Jose Maria Aladid Romera</t>
  </si>
  <si>
    <t xml:space="preserve">031031826334 </t>
  </si>
  <si>
    <t>48331020Q</t>
  </si>
  <si>
    <t>Jesus Ximenez Malla</t>
  </si>
  <si>
    <t>23820917R</t>
  </si>
  <si>
    <t>BEATRIZ PEREZ SANCHEZ</t>
  </si>
  <si>
    <t>43440697E</t>
  </si>
  <si>
    <t>08/04/1974</t>
  </si>
  <si>
    <t>AARON COMINO SERRANO</t>
  </si>
  <si>
    <t>381027998900</t>
  </si>
  <si>
    <t>78531760P</t>
  </si>
  <si>
    <t>08/12/1983</t>
  </si>
  <si>
    <t>ROMAIN CHAT</t>
  </si>
  <si>
    <t xml:space="preserve">08 1190173696 </t>
  </si>
  <si>
    <t>X7698772M</t>
  </si>
  <si>
    <t>25/03/1980</t>
  </si>
  <si>
    <t>HELENA GISPERT TORRAS</t>
  </si>
  <si>
    <t>47952388X</t>
  </si>
  <si>
    <t>06/05/1994</t>
  </si>
  <si>
    <t>PABLO EMILIANO MANDARAS HERRERA</t>
  </si>
  <si>
    <t>X8295720B</t>
  </si>
  <si>
    <t>26/06/1980</t>
  </si>
  <si>
    <t>VAL 12/10/2020</t>
  </si>
  <si>
    <t>MURALI SIMON BARO</t>
  </si>
  <si>
    <t>36581139F</t>
  </si>
  <si>
    <t>24/10/1985</t>
  </si>
  <si>
    <t>ADRIAN LOPEZ GOMEZ</t>
  </si>
  <si>
    <t>48130479N</t>
  </si>
  <si>
    <t>16/05/1994</t>
  </si>
  <si>
    <t>CARLA BLANCH RODRIGUEZ</t>
  </si>
  <si>
    <t xml:space="preserve">46066748W </t>
  </si>
  <si>
    <t>04/11/1983</t>
  </si>
  <si>
    <t>MERCEDES  MORENO TARRES</t>
  </si>
  <si>
    <t>43696546L</t>
  </si>
  <si>
    <t>02/08/1975</t>
  </si>
  <si>
    <t>CARLOS GARCIA SANCHEZ</t>
  </si>
  <si>
    <t>46716106R</t>
  </si>
  <si>
    <t>03/10/1980</t>
  </si>
  <si>
    <t>ALBERTO MARTINEZ BLANCAFORT</t>
  </si>
  <si>
    <t>047976826E</t>
  </si>
  <si>
    <t>15/02/1990</t>
  </si>
  <si>
    <t>IGNASI CASTAÑE ALTES</t>
  </si>
  <si>
    <t>77613022M</t>
  </si>
  <si>
    <t>23/12/1981</t>
  </si>
  <si>
    <t>REG ARTISTAS</t>
  </si>
  <si>
    <t>ALESANDRO CHINDAMO</t>
  </si>
  <si>
    <t>1331679118</t>
  </si>
  <si>
    <t>Y4611323K</t>
  </si>
  <si>
    <t>ANA JOSEFINA GRACIAN</t>
  </si>
  <si>
    <t>Y2587369K</t>
  </si>
  <si>
    <t>RAIMON CABIRO BERENGUER</t>
  </si>
  <si>
    <t>46710280V</t>
  </si>
  <si>
    <t xml:space="preserve">JERONIMO BRAVO RIBO </t>
  </si>
  <si>
    <t>38086759R</t>
  </si>
  <si>
    <t>FERNANDO SANTA OLALLA GONZALEZ</t>
  </si>
  <si>
    <t>53561829G</t>
  </si>
  <si>
    <t>LUIS MIGUEL SEGURADO BLAZQUEZ</t>
  </si>
  <si>
    <t>70894656P</t>
  </si>
  <si>
    <t>12/08/1986 </t>
  </si>
  <si>
    <t>MARC BOSCH BERNAL</t>
  </si>
  <si>
    <t>47856886G</t>
  </si>
  <si>
    <t>MARIA INMACULADA VILARO CASALS</t>
  </si>
  <si>
    <t>33945279Q</t>
  </si>
  <si>
    <t xml:space="preserve">NICOLETTA VALENTE </t>
  </si>
  <si>
    <t>Andrea del Pilar Mora</t>
  </si>
  <si>
    <t>Y5722343A</t>
  </si>
  <si>
    <t>VAL 10/10/2018</t>
  </si>
  <si>
    <t>Santi Alvarez Tabares </t>
  </si>
  <si>
    <t>46049173E </t>
  </si>
  <si>
    <t>Nacara Huélamo i Orellana</t>
  </si>
  <si>
    <t>77633922K </t>
  </si>
  <si>
    <t>Maria Jesús Camps de la Maza</t>
  </si>
  <si>
    <t>Y3908007E</t>
  </si>
  <si>
    <t>VAL 04/02/2020</t>
  </si>
  <si>
    <t>Mauricio Javier Riobó Araya</t>
  </si>
  <si>
    <t>X7937439R </t>
  </si>
  <si>
    <t>Melina Gutierrez </t>
  </si>
  <si>
    <t>Y0443476G</t>
  </si>
  <si>
    <t>Gemma Guinovart Codorniu</t>
  </si>
  <si>
    <t>47861133L</t>
  </si>
  <si>
    <t>Laia Merino Olmo</t>
  </si>
  <si>
    <t>1275713754</t>
  </si>
  <si>
    <t>48177660C </t>
  </si>
  <si>
    <t>Ariadna Jobami Puiguriguer</t>
  </si>
  <si>
    <t>48234652H</t>
  </si>
  <si>
    <t>MARIA MORA ALCOLEA</t>
  </si>
  <si>
    <t>Cristina Fuentes Avila</t>
  </si>
  <si>
    <t>47858242A</t>
  </si>
  <si>
    <t>Ignacio Encinas Vacas </t>
  </si>
  <si>
    <t>Marc Codony i Corbera </t>
  </si>
  <si>
    <t>39423307L </t>
  </si>
  <si>
    <t>Carlos Herrero Soto</t>
  </si>
  <si>
    <t>48262203S</t>
  </si>
  <si>
    <t>Ruben Romero Trenado</t>
  </si>
  <si>
    <t>38876926A </t>
  </si>
  <si>
    <t>Inés Mesa Fernández </t>
  </si>
  <si>
    <t xml:space="preserve">046874943T </t>
  </si>
  <si>
    <t>1127310828</t>
  </si>
  <si>
    <t>Mireia Fernández Vázquez</t>
  </si>
  <si>
    <t>43458833B</t>
  </si>
  <si>
    <t>Juliana Ramírez Pinzon</t>
  </si>
  <si>
    <t>val 02/03/2024</t>
  </si>
  <si>
    <t>Estela Santos Cabarbayen</t>
  </si>
  <si>
    <t>49370746G</t>
  </si>
  <si>
    <t>José Antonio Villegas Marín</t>
  </si>
  <si>
    <t xml:space="preserve">023950181M </t>
  </si>
  <si>
    <t>Ferran Gomez Garrido </t>
  </si>
  <si>
    <t>38874647R</t>
  </si>
  <si>
    <t>Sara Fanlo Bayo</t>
  </si>
  <si>
    <t>43458603B</t>
  </si>
  <si>
    <t>Gerard Miralles Carrillo</t>
  </si>
  <si>
    <t>0X9637376P</t>
  </si>
  <si>
    <t>Alejandra Valeria Monroy Balbuena</t>
  </si>
  <si>
    <t>54019558X</t>
  </si>
  <si>
    <t>Azul Chiara Castelluchio Monroy</t>
  </si>
  <si>
    <t>20971177F</t>
  </si>
  <si>
    <t>Sandra Arroyo Amaro</t>
  </si>
  <si>
    <t>20473569G</t>
  </si>
  <si>
    <t>Adriana Lorenzo Iglesias</t>
  </si>
  <si>
    <t>77403947 T</t>
  </si>
  <si>
    <t>(PARA PODER HACER 2 CONTRATOS EN EL MISMO TIEMPO EN NOMINASOL, SÓLO SE PUEDE HACER CON CÓDIGOS DE TRABAJADORES DISTINTOS)</t>
  </si>
  <si>
    <t>Tamara Garcia Martin</t>
  </si>
  <si>
    <t>28826293W </t>
  </si>
  <si>
    <t>Helena Sanz Requejo</t>
  </si>
  <si>
    <t>12419557V</t>
  </si>
  <si>
    <t>Anna Salomó Roig </t>
  </si>
  <si>
    <t>39914439D</t>
  </si>
  <si>
    <t>Valentina Rapalo Pereyra</t>
  </si>
  <si>
    <t>0Y1313221G</t>
  </si>
  <si>
    <t>val 29/07/2018</t>
  </si>
  <si>
    <t>Monika Wiktoria Budzinska</t>
  </si>
  <si>
    <t>X07117149Y</t>
  </si>
  <si>
    <t>Estela Cruz Garcia</t>
  </si>
  <si>
    <t>Lucia Cordero Valle</t>
  </si>
  <si>
    <t>48106667M</t>
  </si>
  <si>
    <t>Maria Acosta Colubi</t>
  </si>
  <si>
    <t>47320066G</t>
  </si>
  <si>
    <t>Miguel Angel Florez Velez </t>
  </si>
  <si>
    <t>Y5263266Y </t>
  </si>
  <si>
    <t>VAL 26/01/2022</t>
  </si>
  <si>
    <t>Ivette Casanova Jansá</t>
  </si>
  <si>
    <t>47946787K</t>
  </si>
  <si>
    <t>Alba Martínez Garcia</t>
  </si>
  <si>
    <t>46874022E</t>
  </si>
  <si>
    <t>Arantxa Abión Cerezo</t>
  </si>
  <si>
    <t>47726416J </t>
  </si>
  <si>
    <t>María Miguel Correira Costa da Ponte</t>
  </si>
  <si>
    <t>Y0189467F</t>
  </si>
  <si>
    <t>Bruna Hernández Guillen</t>
  </si>
  <si>
    <t>33880110Y </t>
  </si>
  <si>
    <t>Mariela Vanesa Puebla </t>
  </si>
  <si>
    <t>Y3416899X</t>
  </si>
  <si>
    <t>VAL 31/03/2019</t>
  </si>
  <si>
    <t>Judith Fernández Martínez</t>
  </si>
  <si>
    <t>38871206X   </t>
  </si>
  <si>
    <t>Sandra Reina Martínez</t>
  </si>
  <si>
    <t>20576587M</t>
  </si>
  <si>
    <t>Sandra Rico Martínez</t>
  </si>
  <si>
    <t>38842943Z</t>
  </si>
  <si>
    <t>Carolina Touceda Barros</t>
  </si>
  <si>
    <t>11869590A</t>
  </si>
  <si>
    <t>Julia Fournier Úbeda</t>
  </si>
  <si>
    <t>47291528D </t>
  </si>
  <si>
    <t>Laura Fidalgo Herrera</t>
  </si>
  <si>
    <t>54209682Q</t>
  </si>
  <si>
    <t>MARIA SOL VAZQUEZ NICOLOFF</t>
  </si>
  <si>
    <t>Adrià Draper i Vilar</t>
  </si>
  <si>
    <t>26067430N</t>
  </si>
  <si>
    <t>Marina Andreu Borrego</t>
  </si>
  <si>
    <t>25634514W </t>
  </si>
  <si>
    <t>Liliana Fernandes Paz</t>
  </si>
  <si>
    <t>47369303K </t>
  </si>
  <si>
    <t>Antia del Río Fernández </t>
  </si>
  <si>
    <t>47361780L </t>
  </si>
  <si>
    <t>Maria Vanessa Souto de la Fuente </t>
  </si>
  <si>
    <t>46903897C</t>
  </si>
  <si>
    <t>Maria Cristina Alvarez Tuset</t>
  </si>
  <si>
    <t>79318486L</t>
  </si>
  <si>
    <t>Neyret Franco Nova </t>
  </si>
  <si>
    <t>58004352P </t>
  </si>
  <si>
    <t>Gemma Tria Albert </t>
  </si>
  <si>
    <t>39966927B </t>
  </si>
  <si>
    <t>Ruth Margüenda i Pomar </t>
  </si>
  <si>
    <t xml:space="preserve">39947177H </t>
  </si>
  <si>
    <t>Nicolás Alonso Pesquera</t>
  </si>
  <si>
    <t>71289888P</t>
  </si>
  <si>
    <t>Laura Arjona Fuentes</t>
  </si>
  <si>
    <t>54189446C </t>
  </si>
  <si>
    <t>Irene Martínez Virseda</t>
  </si>
  <si>
    <t>5459869Z</t>
  </si>
  <si>
    <t>HELENA CANAS  ESTREMERA</t>
  </si>
  <si>
    <t>Luís Alejandro Dos Santos Mesa</t>
  </si>
  <si>
    <t>53816457E</t>
  </si>
  <si>
    <t>Marco Rodríguez González</t>
  </si>
  <si>
    <t>71301874B</t>
  </si>
  <si>
    <t>Bernardo Guillén Garcia</t>
  </si>
  <si>
    <t>51121561J</t>
  </si>
  <si>
    <t>1024515581</t>
  </si>
  <si>
    <t>Gianluca Fricano Alvarez</t>
  </si>
  <si>
    <t>50489369E</t>
  </si>
  <si>
    <t>rc fcu</t>
  </si>
  <si>
    <t>Vera Glegoba </t>
  </si>
  <si>
    <t>Romina Pacileo</t>
  </si>
  <si>
    <t>Y1824351M </t>
  </si>
  <si>
    <t>OSCAR LOZANO AGRAZ</t>
  </si>
  <si>
    <t xml:space="preserve">1089817702 </t>
  </si>
  <si>
    <t>43696907N</t>
  </si>
  <si>
    <t>Abel Hererra Ramirez</t>
  </si>
  <si>
    <t>X2075374S</t>
  </si>
  <si>
    <t>VAL 25/06/2022</t>
  </si>
  <si>
    <t>NAC.CUBA</t>
  </si>
  <si>
    <t>"Santi " Jaime  Ximenez Gimenez</t>
  </si>
  <si>
    <t>Esther Gonzalez Frago</t>
  </si>
  <si>
    <t>43562748N</t>
  </si>
  <si>
    <t xml:space="preserve">NATALIA TUDELA IBAÑEZ </t>
  </si>
  <si>
    <t>1052619515</t>
  </si>
  <si>
    <t>46627613N</t>
  </si>
  <si>
    <t>Maria Dolores Carrasco Escorza</t>
  </si>
  <si>
    <t>1169107825</t>
  </si>
  <si>
    <t>43563698L</t>
  </si>
  <si>
    <t>Ana Campos Ferreira</t>
  </si>
  <si>
    <t>1193274868</t>
  </si>
  <si>
    <t>46471786X</t>
  </si>
  <si>
    <t>Marta Hervas Sarciat</t>
  </si>
  <si>
    <t>1077886193</t>
  </si>
  <si>
    <t>47653207J</t>
  </si>
  <si>
    <t xml:space="preserve">EMILIANO PINO </t>
  </si>
  <si>
    <t>Y0014709A</t>
  </si>
  <si>
    <t>YOLANDA PATERNOY MILÁN</t>
  </si>
  <si>
    <t>1058720108</t>
  </si>
  <si>
    <t xml:space="preserve">46770266L </t>
  </si>
  <si>
    <t>ANDREA SPEROTTO</t>
  </si>
  <si>
    <t>1349497715</t>
  </si>
  <si>
    <t>Y5322253K</t>
  </si>
  <si>
    <t>IGNACIO CARCABA PALACIO</t>
  </si>
  <si>
    <t>1028209148</t>
  </si>
  <si>
    <t>76958687C</t>
  </si>
  <si>
    <t>JAUME RIERA MESTRE</t>
  </si>
  <si>
    <t>1049741055</t>
  </si>
  <si>
    <t>43172697H</t>
  </si>
  <si>
    <t xml:space="preserve">RAQUEL LOUREIRO TORRES MARQUES </t>
  </si>
  <si>
    <t>081201339208</t>
  </si>
  <si>
    <t>X7768040C</t>
  </si>
  <si>
    <t xml:space="preserve">ALEKSANDRA MUCHIN </t>
  </si>
  <si>
    <t>Y5546068T</t>
  </si>
  <si>
    <t>SANTIAGO GIACOMETTI</t>
  </si>
  <si>
    <t>X4627874K</t>
  </si>
  <si>
    <t>MARISOL CORDERO MONDACA</t>
  </si>
  <si>
    <t>Y1739815V</t>
  </si>
  <si>
    <t>FELICITA ANAHI CALFAT</t>
  </si>
  <si>
    <t>Y5832416K</t>
  </si>
  <si>
    <t>SARA GUERRERO ALFARO</t>
  </si>
  <si>
    <t>Y5827991N</t>
  </si>
  <si>
    <t>MONICA YURIRA MARTINEZ HERRERA</t>
  </si>
  <si>
    <t>251025701529</t>
  </si>
  <si>
    <t>Y2723323E</t>
  </si>
  <si>
    <t>CARLES MAS DE XUXARS JURNET</t>
  </si>
  <si>
    <t>43539154Q</t>
  </si>
  <si>
    <t>JUAN PABLO QUIROGA VICUÑA</t>
  </si>
  <si>
    <t>44008076Z</t>
  </si>
  <si>
    <t>HELGA MARTIN REDONDO</t>
  </si>
  <si>
    <t>47604485M</t>
  </si>
  <si>
    <t>DÚNIA PULIDO GALLART</t>
  </si>
  <si>
    <t>46998822R</t>
  </si>
  <si>
    <t>HELENA PELLISE VENDRELL</t>
  </si>
  <si>
    <t>47725233A</t>
  </si>
  <si>
    <t>MARIA JOSE VILAFRAINA</t>
  </si>
  <si>
    <t>46817206Q</t>
  </si>
  <si>
    <t>JULIO MARTIN MACIAS</t>
  </si>
  <si>
    <t>49050971K</t>
  </si>
  <si>
    <t>HECTOR FRANCISCO ODUARDO REYES</t>
  </si>
  <si>
    <t>49735348X</t>
  </si>
  <si>
    <t>MARIA FERNANDEZ MESA</t>
  </si>
  <si>
    <t>29499243H</t>
  </si>
  <si>
    <t>GUILLERMO MAXIMO PASTOR LOPEZ BELTRAN</t>
  </si>
  <si>
    <t>28 1366084480</t>
  </si>
  <si>
    <t>53732759K</t>
  </si>
  <si>
    <t>DANIEL ALEXIS PERILLAT</t>
  </si>
  <si>
    <t>17 1033670819</t>
  </si>
  <si>
    <t>X2951909C</t>
  </si>
  <si>
    <t>EVA MAGRANE SANCHEZ</t>
  </si>
  <si>
    <t>29 1024719236</t>
  </si>
  <si>
    <t>46141143S</t>
  </si>
  <si>
    <t>ELISA STRABIOLI</t>
  </si>
  <si>
    <t>Y5545288W</t>
  </si>
  <si>
    <t>ROCIO FRANCISCA AHUMADA HONORATO</t>
  </si>
  <si>
    <t>08 1141786258</t>
  </si>
  <si>
    <t>49747267S</t>
  </si>
  <si>
    <t>LAIA MONTOYA BARRANCO</t>
  </si>
  <si>
    <t>17 1024498457</t>
  </si>
  <si>
    <t>77920699B</t>
  </si>
  <si>
    <t>BEÑAT LEGORBURU LABOA</t>
  </si>
  <si>
    <t>20 1023104841</t>
  </si>
  <si>
    <t>72511786P</t>
  </si>
  <si>
    <t>FRANCESCA FRIGERI</t>
  </si>
  <si>
    <t>X7738007W</t>
  </si>
  <si>
    <t>EDMAR ALEX MATOS MORILLO</t>
  </si>
  <si>
    <t>28 1327234768</t>
  </si>
  <si>
    <t>03180405B</t>
  </si>
  <si>
    <t>LAURA VADILLO RAMIREZ</t>
  </si>
  <si>
    <t>47798484E</t>
  </si>
  <si>
    <t>ANDRES MELERO DEIROS</t>
  </si>
  <si>
    <t>38460288X</t>
  </si>
  <si>
    <t>JORDI BERNI GUTIERREZ</t>
  </si>
  <si>
    <t>43546480M</t>
  </si>
  <si>
    <t>ARMANDO ROBERTO SUAREZ CORRIA</t>
  </si>
  <si>
    <t>X2075447L</t>
  </si>
  <si>
    <t>CUBA VAL 04/08/2020</t>
  </si>
  <si>
    <t>ELISABETH SANCHEZ ABELLA</t>
  </si>
  <si>
    <t>43440032R</t>
  </si>
  <si>
    <t>PATRICIA GARCIA VELASCO</t>
  </si>
  <si>
    <t>48270544F</t>
  </si>
  <si>
    <t>FERRAN GRANELL SANTIDRIAN</t>
  </si>
  <si>
    <t>44021059W</t>
  </si>
  <si>
    <t>LAURE BARTHE</t>
  </si>
  <si>
    <t>X7726506R</t>
  </si>
  <si>
    <t>JOSE MANUEL SANCHEZ PERIS</t>
  </si>
  <si>
    <t>37731063T</t>
  </si>
  <si>
    <t>RAUL MORENO DE LA TORRE</t>
  </si>
  <si>
    <t>47235437S</t>
  </si>
  <si>
    <t>MIREIA ROELAS GARCIA</t>
  </si>
  <si>
    <t>46404297A</t>
  </si>
  <si>
    <t xml:space="preserve">MARTA IZQUIERDO CASTRODEZA </t>
  </si>
  <si>
    <t>8 11589578884</t>
  </si>
  <si>
    <t>43563616Y</t>
  </si>
  <si>
    <t>ONA GETE ALONSO MARTIN</t>
  </si>
  <si>
    <t>43456131T</t>
  </si>
  <si>
    <t xml:space="preserve">MATIAS MUÑOZ </t>
  </si>
  <si>
    <t>Y3454841W</t>
  </si>
  <si>
    <t>ARGENTINA 08-04-2020</t>
  </si>
  <si>
    <t>MARTA MILLAN MARTINEZ</t>
  </si>
  <si>
    <t>46406997N</t>
  </si>
  <si>
    <t>OLGA LLADO VALLS</t>
  </si>
  <si>
    <t>77315901K</t>
  </si>
  <si>
    <t>JOAN TORNE PALAU</t>
  </si>
  <si>
    <t>48273348M</t>
  </si>
  <si>
    <t>GERMAN IVAN VILLAVICENCIO SALAZAR</t>
  </si>
  <si>
    <t>Y0107062B</t>
  </si>
  <si>
    <t>VAL 02/11/2021 ARGENTINA</t>
  </si>
  <si>
    <t>SERGIO DANIEL ORTIZ CABRERA</t>
  </si>
  <si>
    <t>Y4917084C</t>
  </si>
  <si>
    <t xml:space="preserve">VAL 02 /08/2021 ARGENTINA </t>
  </si>
  <si>
    <t>JUAN  SANCHEZ PERIS</t>
  </si>
  <si>
    <t>RAQUEL MORENO RIVERA</t>
  </si>
  <si>
    <t>17 1019929959</t>
  </si>
  <si>
    <t>40372082K</t>
  </si>
  <si>
    <t>PUNTUAL TIENE TRABAJO FIJO DE MAÑANAS</t>
  </si>
  <si>
    <t>ANGEL FERNANDEZ MATEO</t>
  </si>
  <si>
    <t>26911831Z</t>
  </si>
  <si>
    <t>PUNTUAL DE GRANER</t>
  </si>
  <si>
    <t>MARIA VELEZ COTO</t>
  </si>
  <si>
    <t>11 1025174527</t>
  </si>
  <si>
    <t>76087630L</t>
  </si>
  <si>
    <t>TIRSO ORIVE LIARTE</t>
  </si>
  <si>
    <t>52279433L</t>
  </si>
  <si>
    <t>BONAVENTURA GARRIGA COCA</t>
  </si>
  <si>
    <t>43 1003811662</t>
  </si>
  <si>
    <t>39889141B</t>
  </si>
  <si>
    <t>JAVIERA ALEJANDRA TARRAGO DIEZ</t>
  </si>
  <si>
    <t>26857417H</t>
  </si>
  <si>
    <t>DIEGO GOMEZ FERNANDO</t>
  </si>
  <si>
    <t>12378357X</t>
  </si>
  <si>
    <t>MIREIA ARAGON RODRIGUEZ</t>
  </si>
  <si>
    <t>08 11946047 78</t>
  </si>
  <si>
    <t>47911434L</t>
  </si>
  <si>
    <t>MARTA BASSOLS RODENAS</t>
  </si>
  <si>
    <t>53088457H</t>
  </si>
  <si>
    <t>DIEGO ALBERTO GOMEZ BERNARDEZ</t>
  </si>
  <si>
    <t>MAURICIO CARDENAS CONTRERAS</t>
  </si>
  <si>
    <t>Y5713001E</t>
  </si>
  <si>
    <t>AMANDA RUBIO SANCHEZ</t>
  </si>
  <si>
    <t>76636426N</t>
  </si>
  <si>
    <t>ANNA PONS AGULLO</t>
  </si>
  <si>
    <t>17 1037023884</t>
  </si>
  <si>
    <t>40564298A</t>
  </si>
  <si>
    <t>PUNTUAL DOS PILARES</t>
  </si>
  <si>
    <t>LAURA CORTES  SALES</t>
  </si>
  <si>
    <t>7 10244466087</t>
  </si>
  <si>
    <t>47250551H</t>
  </si>
  <si>
    <t>PUNTUAL ZERO CONDUCTA</t>
  </si>
  <si>
    <t>VICENTE MARTINEZ ANDREU</t>
  </si>
  <si>
    <t>41 1011634140</t>
  </si>
  <si>
    <t>JORDI CORTES MOLINA</t>
  </si>
  <si>
    <t>8 04939999101</t>
  </si>
  <si>
    <t>37291248Z</t>
  </si>
  <si>
    <t xml:space="preserve">PUNTUAL </t>
  </si>
  <si>
    <t>ALBA TOMAS MASSANA</t>
  </si>
  <si>
    <t>17 1035798755</t>
  </si>
  <si>
    <t>77923752M</t>
  </si>
  <si>
    <t>PUNTUAL PILAR DE DOS</t>
  </si>
  <si>
    <t>RITA BAULIDA PALOMERAS</t>
  </si>
  <si>
    <t>17 1041688978</t>
  </si>
  <si>
    <t>41647715M</t>
  </si>
  <si>
    <t xml:space="preserve">ROSER SERRANO PLANA </t>
  </si>
  <si>
    <t>17 1027608925</t>
  </si>
  <si>
    <t>41552005K</t>
  </si>
  <si>
    <t>FRANCISCA VALLES CORRUANA</t>
  </si>
  <si>
    <t>461029394857</t>
  </si>
  <si>
    <t>48293005C</t>
  </si>
  <si>
    <t>MANU GABRIEL</t>
  </si>
  <si>
    <t>EVA MARIA EXPOSITO SAEZ</t>
  </si>
  <si>
    <t>071053280545</t>
  </si>
  <si>
    <t>43189733B</t>
  </si>
  <si>
    <t>ENRIQUE CALDERON HEREDIA</t>
  </si>
  <si>
    <t>290092715195</t>
  </si>
  <si>
    <t>0092715195</t>
  </si>
  <si>
    <t>27389759W</t>
  </si>
  <si>
    <t>MONICA CARDONA CORRALES</t>
  </si>
  <si>
    <t>411046618101</t>
  </si>
  <si>
    <t>1046618101</t>
  </si>
  <si>
    <t>48962391Z</t>
  </si>
  <si>
    <t>PUNTUAL PATXO</t>
  </si>
  <si>
    <t>FRANCESC RUIZ SENTIS</t>
  </si>
  <si>
    <t>080527715186</t>
  </si>
  <si>
    <t>0527715186</t>
  </si>
  <si>
    <t>46135048S</t>
  </si>
  <si>
    <t>NOEMI LAVIANA GONZALEZ</t>
  </si>
  <si>
    <t>461058011877</t>
  </si>
  <si>
    <t>1058011877</t>
  </si>
  <si>
    <t>44214605A</t>
  </si>
  <si>
    <t>PUNTUAL (EL CLIMA MOLA)</t>
  </si>
  <si>
    <t>SANTA ESMERALDA ELIZALDE RAMIREZ</t>
  </si>
  <si>
    <t>1263640789</t>
  </si>
  <si>
    <t>Y0274197M</t>
  </si>
  <si>
    <t>MARISOL SALCEDO ESCOBEDO</t>
  </si>
  <si>
    <t>1226308624</t>
  </si>
  <si>
    <t>X7240782Z</t>
  </si>
  <si>
    <t>NADIA ZUÑIGA GUTIERREZ</t>
  </si>
  <si>
    <t>1323434724</t>
  </si>
  <si>
    <t>Y4256049M</t>
  </si>
  <si>
    <t>MONICA YURIRIA MARTINEZ HERRERA</t>
  </si>
  <si>
    <t>1025701529</t>
  </si>
  <si>
    <t>YESICA MERLENE JUAREZ AVENDAÑO</t>
  </si>
  <si>
    <t>251028646992</t>
  </si>
  <si>
    <t>1028646992</t>
  </si>
  <si>
    <t>Y3864386D</t>
  </si>
  <si>
    <t>ADRIANA MASCORT MARTINEZ</t>
  </si>
  <si>
    <t>081273012104</t>
  </si>
  <si>
    <t>1273012104</t>
  </si>
  <si>
    <t>53299306A</t>
  </si>
  <si>
    <t>DAVID TORRELLA LOPEZ</t>
  </si>
  <si>
    <t>081085253143</t>
  </si>
  <si>
    <t>1085253143</t>
  </si>
  <si>
    <t>77121553T</t>
  </si>
  <si>
    <t>GUILLERMO PLANAS GARCIA</t>
  </si>
  <si>
    <t>171008243580</t>
  </si>
  <si>
    <t>1008243580</t>
  </si>
  <si>
    <t>41001845K</t>
  </si>
  <si>
    <t>JORDI SOLANELL BANEGAS</t>
  </si>
  <si>
    <t>081062200990</t>
  </si>
  <si>
    <t>1062200990</t>
  </si>
  <si>
    <t>47636113P</t>
  </si>
  <si>
    <t>SELMA AGUILAR PALACIOS</t>
  </si>
  <si>
    <t>261002602173</t>
  </si>
  <si>
    <t>1002602173</t>
  </si>
  <si>
    <t>16624823D</t>
  </si>
  <si>
    <t>47 1020535307</t>
  </si>
  <si>
    <t>AGUSTIN MARKL</t>
  </si>
  <si>
    <t>x8663745J</t>
  </si>
  <si>
    <t>ANNA CANTURRI ISERTE</t>
  </si>
  <si>
    <t>47174392N</t>
  </si>
  <si>
    <t>BRU UYA GARSOT</t>
  </si>
  <si>
    <t>47180186X</t>
  </si>
  <si>
    <t>GEMMA BONFILL MARTINEZ</t>
  </si>
  <si>
    <t>38862793S</t>
  </si>
  <si>
    <t>INES MESA FERNANDEZ</t>
  </si>
  <si>
    <t>46874943T</t>
  </si>
  <si>
    <t>LAURA BERGADA FERNANDEZ</t>
  </si>
  <si>
    <t>41008589A</t>
  </si>
  <si>
    <t>LEOPOLDO LANDRY GONZALEZ</t>
  </si>
  <si>
    <t>48196432R</t>
  </si>
  <si>
    <t>LUCIANA RODRIGUEZ</t>
  </si>
  <si>
    <t>Y0650041Y</t>
  </si>
  <si>
    <t>MARIA CAVAGNERO</t>
  </si>
  <si>
    <t>X6662611V</t>
  </si>
  <si>
    <t>RUTH MARTIN TORRAS</t>
  </si>
  <si>
    <t>47182746V</t>
  </si>
  <si>
    <t>SARA ALEJANDRA GARCIA FREY</t>
  </si>
  <si>
    <t>50129293B</t>
  </si>
  <si>
    <t>VAL 31/10/2017</t>
  </si>
  <si>
    <t>MARTIN MIGUEL PUYOL</t>
  </si>
  <si>
    <t>X9165003D</t>
  </si>
  <si>
    <t>DAMIAN FIORE</t>
  </si>
  <si>
    <t>x7199443Y</t>
  </si>
  <si>
    <t>ENEKO IZAGUIRRE ARRIEN</t>
  </si>
  <si>
    <t>72315273F</t>
  </si>
  <si>
    <t>ELOI MARTIN BALCELLS</t>
  </si>
  <si>
    <t>47154637Z</t>
  </si>
  <si>
    <t>JORDI DIAZ SEGURA</t>
  </si>
  <si>
    <t>53329581x</t>
  </si>
  <si>
    <t>ADRIAN QUINTANA MORENO</t>
  </si>
  <si>
    <t>47182900X</t>
  </si>
  <si>
    <t>RICARDO GALVEZ CASTRO</t>
  </si>
  <si>
    <t>47603503N</t>
  </si>
  <si>
    <t>DIANA KERBELIS PLADEVAL</t>
  </si>
  <si>
    <t>40367170P</t>
  </si>
  <si>
    <t>NURIA CORDERAS SANS</t>
  </si>
  <si>
    <t>0507407632</t>
  </si>
  <si>
    <t>77303563B</t>
  </si>
  <si>
    <t>EULALIA SANTANACH GRANEL</t>
  </si>
  <si>
    <t>1123221468</t>
  </si>
  <si>
    <t>38869924Q</t>
  </si>
  <si>
    <t>validez</t>
  </si>
  <si>
    <t>situación</t>
  </si>
  <si>
    <t>AIXA GONZALEZ</t>
  </si>
  <si>
    <t>1114931157</t>
  </si>
  <si>
    <t>76138178J</t>
  </si>
  <si>
    <t>FRANCISCO RAMIREZ BARBA</t>
  </si>
  <si>
    <t>_0051067400</t>
  </si>
  <si>
    <t>40515652W</t>
  </si>
  <si>
    <t>ALEX GUIRAO LOPEZ</t>
  </si>
  <si>
    <t>081301105728</t>
  </si>
  <si>
    <t>47968771V</t>
  </si>
  <si>
    <t>NEUS VILLA JURGUENS</t>
  </si>
  <si>
    <t>46715971G</t>
  </si>
  <si>
    <t>HAIZEA ARRIZABALAGA</t>
  </si>
  <si>
    <t>53294851x</t>
  </si>
  <si>
    <t>ANDREU CASADELLA OLLER</t>
  </si>
  <si>
    <t>1034078825</t>
  </si>
  <si>
    <t>41590952Y</t>
  </si>
  <si>
    <t>Hodei Arrastoa</t>
  </si>
  <si>
    <t>72556970C</t>
  </si>
  <si>
    <t>puntual!!! Andreu casadella</t>
  </si>
  <si>
    <t>FEDERICO ADRIAN MARTINEZ</t>
  </si>
  <si>
    <t>X5455539P</t>
  </si>
  <si>
    <t>Puntual//Manu Gabriel</t>
  </si>
  <si>
    <t>GEORGINA MAJENC PUEYO</t>
  </si>
  <si>
    <t>1010432090</t>
  </si>
  <si>
    <t>35086497C</t>
  </si>
  <si>
    <t>Puntual! Natalia</t>
  </si>
  <si>
    <t>ANAIS DUVAL BONNET</t>
  </si>
  <si>
    <t>081334898407</t>
  </si>
  <si>
    <t>X4657799T</t>
  </si>
  <si>
    <t>LLUIS FERRER GONZALEZ-SOLIS</t>
  </si>
  <si>
    <t>43699266W</t>
  </si>
  <si>
    <t>JUDIT ORTIZ PARRA</t>
  </si>
  <si>
    <t>43551031W</t>
  </si>
  <si>
    <t>DANIEL SANCHEZ ORTIZ</t>
  </si>
  <si>
    <t>39435101Z</t>
  </si>
  <si>
    <t>MARCOS ZARAVIA</t>
  </si>
  <si>
    <t>0Y0559621E</t>
  </si>
  <si>
    <t>puntual pablo</t>
  </si>
  <si>
    <t>GUILLERMO SANCHEZ BLANCO</t>
  </si>
  <si>
    <t>0490136578</t>
  </si>
  <si>
    <t>46673086Z</t>
  </si>
  <si>
    <t>Laurent Bertrandjean</t>
  </si>
  <si>
    <t>Y5769033A</t>
  </si>
  <si>
    <t>Miguel Angel Gallego Navarrete</t>
  </si>
  <si>
    <t>71129736M</t>
  </si>
  <si>
    <t>EMILIANO MANUEL GONZALEZ FROLA</t>
  </si>
  <si>
    <t>46964170X</t>
  </si>
  <si>
    <t>ZOCCHI MANUEL JORGE ROBERTO</t>
  </si>
  <si>
    <t xml:space="preserve">LIDIA AYALA REBULL </t>
  </si>
  <si>
    <t>46977745s</t>
  </si>
  <si>
    <t>David Peralta Benítez </t>
  </si>
  <si>
    <t>39368081Q</t>
  </si>
  <si>
    <t>Xavier Silveira Fornés</t>
  </si>
  <si>
    <t>20058365L</t>
  </si>
  <si>
    <t>puntual</t>
  </si>
  <si>
    <t>Bruno Valls Fernandez</t>
  </si>
  <si>
    <t>47637853T</t>
  </si>
  <si>
    <t>Maimouna Mohamed Fadel Jatri</t>
  </si>
  <si>
    <t>41666286S</t>
  </si>
  <si>
    <t>DAVID BADIA HERNANDEZ</t>
  </si>
  <si>
    <t>77122238H</t>
  </si>
  <si>
    <t>Manon Charlotte Dao Yi Almellones</t>
  </si>
  <si>
    <t>X8712100E</t>
  </si>
  <si>
    <t>PUNTUAL ANA BARROSO</t>
  </si>
  <si>
    <t>MARTA REGUERA VARELA</t>
  </si>
  <si>
    <t>11 1055231894</t>
  </si>
  <si>
    <t>76088612N</t>
  </si>
  <si>
    <t>ROSALIA ZANÓN SEIJO</t>
  </si>
  <si>
    <t>08/13383656-50</t>
  </si>
  <si>
    <t>46179262T</t>
  </si>
  <si>
    <t>SIVGIN ARDA DALKILINC</t>
  </si>
  <si>
    <t>08-1394346572</t>
  </si>
  <si>
    <t>X7497344B</t>
  </si>
  <si>
    <t>Matias Muñoz</t>
  </si>
  <si>
    <t>08 1340564015</t>
  </si>
  <si>
    <t>MARTÍ FABREGAT COROMINAS</t>
  </si>
  <si>
    <t>46351353M</t>
  </si>
  <si>
    <t>JUAN CARLOS CAROZO CASARES</t>
  </si>
  <si>
    <t>101006192249</t>
  </si>
  <si>
    <t>76023497X</t>
  </si>
  <si>
    <t>PUNTUAL</t>
  </si>
  <si>
    <t>ANDREU BRESCA CENDOYA</t>
  </si>
  <si>
    <t>46317136N</t>
  </si>
  <si>
    <t>Deborah Cobos Triano</t>
  </si>
  <si>
    <t>50221264M</t>
  </si>
  <si>
    <t>PUNTUAL CECILIA</t>
  </si>
  <si>
    <t>Jordi Serra i Baleri</t>
  </si>
  <si>
    <t>43631699D</t>
  </si>
  <si>
    <t>CELESTE LUCIA FLORES</t>
  </si>
  <si>
    <t>XDC604764</t>
  </si>
  <si>
    <t>MARTA ESPIA MUROS</t>
  </si>
  <si>
    <t>47640515V</t>
  </si>
  <si>
    <t>PUNTUAL JONATHAN GUISADO</t>
  </si>
  <si>
    <t>EDUARD ALDEMAR TAMAYO RUIZ</t>
  </si>
  <si>
    <t>Y2047691S</t>
  </si>
  <si>
    <t>VALENTINA AZZATI</t>
  </si>
  <si>
    <t>Y6225391H</t>
  </si>
  <si>
    <t>MANUEL REYES RODRIGUEZ</t>
  </si>
  <si>
    <t>44361391A</t>
  </si>
  <si>
    <t>Martin Ernesto Lledo Ricci</t>
  </si>
  <si>
    <t>49415436M</t>
  </si>
  <si>
    <t>XAVIER CASALS GIL</t>
  </si>
  <si>
    <t>080537218964</t>
  </si>
  <si>
    <t>0537218964</t>
  </si>
  <si>
    <t>33940106H</t>
  </si>
  <si>
    <t>30/05/72</t>
  </si>
  <si>
    <t>CYNTHIA PAMELA MORO</t>
  </si>
  <si>
    <t>VANESA DE MESAS JURADO</t>
  </si>
  <si>
    <t>52437327H</t>
  </si>
  <si>
    <t>ANNA CARULLA LLUCIA</t>
  </si>
  <si>
    <t>081316789113</t>
  </si>
  <si>
    <t>49299819D</t>
  </si>
  <si>
    <t>PUNTUAL Albert Artigas</t>
  </si>
  <si>
    <t>Carla Mir López</t>
  </si>
  <si>
    <t>081352748730</t>
  </si>
  <si>
    <t>23899734C</t>
  </si>
  <si>
    <t>Judit Batchelli Planagumà</t>
  </si>
  <si>
    <t>0060344741</t>
  </si>
  <si>
    <t>43638364G</t>
  </si>
  <si>
    <t>Marta Marín Simón</t>
  </si>
  <si>
    <t>39927710D</t>
  </si>
  <si>
    <t>Aina Hernandez Lluch</t>
  </si>
  <si>
    <t>081290651855</t>
  </si>
  <si>
    <t>48103590X</t>
  </si>
  <si>
    <t xml:space="preserve">Albeni Teresa Aranda Remón </t>
  </si>
  <si>
    <t>45833374D</t>
  </si>
  <si>
    <t>Manu Barandiaran Mendizabal</t>
  </si>
  <si>
    <t>201017971723</t>
  </si>
  <si>
    <t>72504874L</t>
  </si>
  <si>
    <t>PUNTUAL RAPHAEL GIRAUD</t>
  </si>
  <si>
    <t>FRANCESCO BRUGHI</t>
  </si>
  <si>
    <t>Y2636527M</t>
  </si>
  <si>
    <t>ROBERTO ESCUDERO DE LA VIUDA</t>
  </si>
  <si>
    <t>471016429880</t>
  </si>
  <si>
    <t>71135696P</t>
  </si>
  <si>
    <t xml:space="preserve">RAMON JESUS REY QUINTANA </t>
  </si>
  <si>
    <t>0040790131</t>
  </si>
  <si>
    <t>37734757Z</t>
  </si>
  <si>
    <t>puntual patxo</t>
  </si>
  <si>
    <t>Uxía Pérez Dios</t>
  </si>
  <si>
    <t>33558723K</t>
  </si>
  <si>
    <t>PUNTUAL Ana Barroso Garcia</t>
  </si>
  <si>
    <t>Immaculada López Pérez</t>
  </si>
  <si>
    <t>251005367804</t>
  </si>
  <si>
    <t>47684074Z</t>
  </si>
  <si>
    <t>PUNTUAL Cynthia Pamela Moro</t>
  </si>
  <si>
    <t>KATARZYNA KINGA KEDZIERSKA</t>
  </si>
  <si>
    <t>Y2517506D</t>
  </si>
  <si>
    <t>Bruna Artigal Garcia</t>
  </si>
  <si>
    <t>INMACULADA LOPEZ PEREZ</t>
  </si>
  <si>
    <t>puntual cynthia moro</t>
  </si>
  <si>
    <t>ANDRES ANTONIO AREVALO</t>
  </si>
  <si>
    <t>Y3208584Y</t>
  </si>
  <si>
    <t>AMAIUR LULUAGA REDONDO</t>
  </si>
  <si>
    <t>72539787H</t>
  </si>
  <si>
    <t>puntual ana barroso</t>
  </si>
  <si>
    <t xml:space="preserve">PAU MILLA RODRIGUEZ </t>
  </si>
  <si>
    <t>38129728Y</t>
  </si>
  <si>
    <t>Y0958585M</t>
  </si>
  <si>
    <t>VASSIL LAMBRINOV ASSENOV</t>
  </si>
  <si>
    <t>47867936Z</t>
  </si>
  <si>
    <t>PRISCILA GARRIDO GALVEZ</t>
  </si>
  <si>
    <t>ROMINA ANDREA HERRERA MONASTERIO</t>
  </si>
  <si>
    <t>081394756602</t>
  </si>
  <si>
    <t>Y7070676F</t>
  </si>
  <si>
    <t>GONZALO MUNILLA PETREÑAS</t>
  </si>
  <si>
    <t>281107139142</t>
  </si>
  <si>
    <t>02659280C</t>
  </si>
  <si>
    <t>JOSE LUIS VALLADOLID BARINGO</t>
  </si>
  <si>
    <t>281014437858</t>
  </si>
  <si>
    <t>05284412R</t>
  </si>
  <si>
    <t>NEUS MASDEU RUBIES</t>
  </si>
  <si>
    <t>171040553674</t>
  </si>
  <si>
    <t>77621905X</t>
  </si>
  <si>
    <t>FERRAN ENDAFAQUE MORENO</t>
  </si>
  <si>
    <t>081204675196</t>
  </si>
  <si>
    <t>43569033H</t>
  </si>
  <si>
    <t>CRISTINA GASULLA</t>
  </si>
  <si>
    <t>081215370660</t>
  </si>
  <si>
    <t>46481851R</t>
  </si>
  <si>
    <t>CANDID ANDREU COLL GARCIA</t>
  </si>
  <si>
    <t>081076617618</t>
  </si>
  <si>
    <t>79303283L</t>
  </si>
  <si>
    <t>FEDERICO SZEINFELD</t>
  </si>
  <si>
    <t>081419760875</t>
  </si>
  <si>
    <t>Y8635680E</t>
  </si>
  <si>
    <t>RAUL ESTANY ALDOMA</t>
  </si>
  <si>
    <t>48050708M</t>
  </si>
  <si>
    <t>CLARA BELLAVISTA NAVARRO ( AMORS)</t>
  </si>
  <si>
    <t>081183145240</t>
  </si>
  <si>
    <t>77620946V</t>
  </si>
  <si>
    <t>DAVID PRUNA LEDESMA ( AMORS )</t>
  </si>
  <si>
    <t>081238884975</t>
  </si>
  <si>
    <t>38883195Q</t>
  </si>
  <si>
    <t>MINERVA PRAT DIAZ ( AMORS )</t>
  </si>
  <si>
    <t>081216231031</t>
  </si>
  <si>
    <t>39402352V</t>
  </si>
  <si>
    <t>NEREA FERRER LOPEZ ( AMORS )</t>
  </si>
  <si>
    <t>081276422056</t>
  </si>
  <si>
    <t>39415659F</t>
  </si>
  <si>
    <t>POL MARTINEZ PAREDES ( AMORS )</t>
  </si>
  <si>
    <t>081208802649</t>
  </si>
  <si>
    <t>38880444W</t>
  </si>
  <si>
    <t>RAQUEL AYLLON GARCIA ( AMORS )</t>
  </si>
  <si>
    <t>081184433320</t>
  </si>
  <si>
    <t>38874053M</t>
  </si>
  <si>
    <t>MAIDER LASA SANTAMARIA</t>
  </si>
  <si>
    <t>011015972021</t>
  </si>
  <si>
    <t>72831080Q</t>
  </si>
  <si>
    <t>ALEXANDER AGRANOV AGRANOV</t>
  </si>
  <si>
    <t>081246001240</t>
  </si>
  <si>
    <t>39481501T</t>
  </si>
  <si>
    <t>JORDI LORENTE MORALES</t>
  </si>
  <si>
    <t>081090340993</t>
  </si>
  <si>
    <t>46365382G</t>
  </si>
  <si>
    <t>ENRIC MALTAS SOSA</t>
  </si>
  <si>
    <t>081217323592</t>
  </si>
  <si>
    <t>43455697A</t>
  </si>
  <si>
    <t>MANUEL OSORIO RAMIREZ</t>
  </si>
  <si>
    <t>081034009154</t>
  </si>
  <si>
    <t>53034438A</t>
  </si>
  <si>
    <t>ORIOL MORGADES CLOPES</t>
  </si>
  <si>
    <t>081217108071</t>
  </si>
  <si>
    <t>38869948V</t>
  </si>
  <si>
    <t>PILAR DE GEA DIAZ</t>
  </si>
  <si>
    <t>080323683366</t>
  </si>
  <si>
    <t>0323683366</t>
  </si>
  <si>
    <t>38778427J</t>
  </si>
  <si>
    <t>REGIDORA TEATRO</t>
  </si>
  <si>
    <t>FLORENCIA JULIETA DELORENZI</t>
  </si>
  <si>
    <t>291141249780</t>
  </si>
  <si>
    <t>Y8123649V</t>
  </si>
  <si>
    <t>MARTA SANTACATALINA GARCIA</t>
  </si>
  <si>
    <t>031094866634</t>
  </si>
  <si>
    <t>21682806Q</t>
  </si>
  <si>
    <t>HUGO MARTINEZ</t>
  </si>
  <si>
    <t>171004320740</t>
  </si>
  <si>
    <t>45539805N</t>
  </si>
  <si>
    <t>ANA ISABEL ALFARO ALVAREZ</t>
  </si>
  <si>
    <t>021004509635</t>
  </si>
  <si>
    <t>53145647F</t>
  </si>
  <si>
    <t>ROMINA ANDREA KRAUSE</t>
  </si>
  <si>
    <t>451026275719</t>
  </si>
  <si>
    <t>X9170659F</t>
  </si>
  <si>
    <t>301097832564</t>
  </si>
  <si>
    <t>MARTA SANTACATALINA</t>
  </si>
  <si>
    <t>FAUSTO SILVA</t>
  </si>
  <si>
    <t>081398237989</t>
  </si>
  <si>
    <t>Y6284562X</t>
  </si>
  <si>
    <t>ARNAU GUIMERA COLL</t>
  </si>
  <si>
    <t>081285794680</t>
  </si>
  <si>
    <t>48039464P</t>
  </si>
  <si>
    <t>LAURA ARAGO CREHUET</t>
  </si>
  <si>
    <t>081020901020</t>
  </si>
  <si>
    <t>1020901020</t>
  </si>
  <si>
    <t>52391443L</t>
  </si>
  <si>
    <t>181025932526</t>
  </si>
  <si>
    <t>FRANCISCO DE ASIS OLMOS GARCIA-DURANTE</t>
  </si>
  <si>
    <t>181025932627</t>
  </si>
  <si>
    <t>77560122M</t>
  </si>
  <si>
    <t>DANIEL RICO ESPIÑEIRA</t>
  </si>
  <si>
    <t>281334444494</t>
  </si>
  <si>
    <t>51118836W</t>
  </si>
  <si>
    <t>JOAQUIN EMMANUEL GARCIA</t>
  </si>
  <si>
    <t>031120969637</t>
  </si>
  <si>
    <t>Y4991270P</t>
  </si>
  <si>
    <t>ALBERTO SERRANO DELGADO</t>
  </si>
  <si>
    <t>081404969890</t>
  </si>
  <si>
    <t>Y4257521M</t>
  </si>
  <si>
    <t>MARTI FORCADA LLOS</t>
  </si>
  <si>
    <t>171049725935</t>
  </si>
  <si>
    <t>40564654Z</t>
  </si>
  <si>
    <t>BAILARIN</t>
  </si>
  <si>
    <t>JULIA ROMERO SORIANO</t>
  </si>
  <si>
    <t>501050313952</t>
  </si>
  <si>
    <t>25204470N</t>
  </si>
  <si>
    <t xml:space="preserve">MARIONA MORANTA CAPLLONCH </t>
  </si>
  <si>
    <t>071087443945</t>
  </si>
  <si>
    <t>45188357G</t>
  </si>
  <si>
    <t>MARINA CAPEL DORADO</t>
  </si>
  <si>
    <t>181015027302</t>
  </si>
  <si>
    <t>76065489G</t>
  </si>
  <si>
    <t>ESTER GARCIA GUNTIN</t>
  </si>
  <si>
    <t>081182440271</t>
  </si>
  <si>
    <t>47235682F</t>
  </si>
  <si>
    <t>IGNACIO ALEJANDRO JIMENEZ CABELLO</t>
  </si>
  <si>
    <t>461155526482</t>
  </si>
  <si>
    <t>Y4290779M</t>
  </si>
  <si>
    <t>RITA MOLINA I VALLICROSA</t>
  </si>
  <si>
    <t>081226051067</t>
  </si>
  <si>
    <t>47599111J</t>
  </si>
  <si>
    <t>ONA GARCIA LOPEZ</t>
  </si>
  <si>
    <t>081270996726</t>
  </si>
  <si>
    <t>47595626R</t>
  </si>
  <si>
    <t>MARCOS RODRIGUEZ GUTIERREZ</t>
  </si>
  <si>
    <t>081026568648</t>
  </si>
  <si>
    <t>40996545B</t>
  </si>
  <si>
    <t>AINA AGUILÓ RODRIGUEZ</t>
  </si>
  <si>
    <t>081201931110</t>
  </si>
  <si>
    <t>47993636L</t>
  </si>
  <si>
    <t>EMMA ARQUILLÉ RIUS</t>
  </si>
  <si>
    <t>081189602006</t>
  </si>
  <si>
    <t>45881743D</t>
  </si>
  <si>
    <t>NURIA CRESPO PEREZ</t>
  </si>
  <si>
    <t>461114941682</t>
  </si>
  <si>
    <t>20864740Z</t>
  </si>
  <si>
    <t>BERNAT SANJUAN BORONAT</t>
  </si>
  <si>
    <t>461113144556</t>
  </si>
  <si>
    <t>20859176Q</t>
  </si>
  <si>
    <t>PAULA JORNET FARGAS</t>
  </si>
  <si>
    <t>081162431902</t>
  </si>
  <si>
    <t>53296886K</t>
  </si>
  <si>
    <t>GLORIA MATAMALA BATLLORI</t>
  </si>
  <si>
    <t>081000022475</t>
  </si>
  <si>
    <t>46688610J</t>
  </si>
  <si>
    <t>JAVIER ARA SAUCO</t>
  </si>
  <si>
    <t>221009562393</t>
  </si>
  <si>
    <t>18055629P</t>
  </si>
  <si>
    <t>IRENE FERRER PANICOT</t>
  </si>
  <si>
    <t>081166406070</t>
  </si>
  <si>
    <t>33955666F</t>
  </si>
  <si>
    <t>ENRIQUE LOPEZ FLORES</t>
  </si>
  <si>
    <t>081246334878</t>
  </si>
  <si>
    <t>49296536S</t>
  </si>
  <si>
    <t>CLAUDIA BOSCH FERNANDEZ</t>
  </si>
  <si>
    <t>081246336494</t>
  </si>
  <si>
    <t>23876616V</t>
  </si>
  <si>
    <t>NAHOMI ITZEL MONJARAZ GONZALEZ</t>
  </si>
  <si>
    <t>501075637521</t>
  </si>
  <si>
    <t>Y5703559X</t>
  </si>
  <si>
    <t>ERICA SANCHEZ JIMENEZ</t>
  </si>
  <si>
    <t>081147773784</t>
  </si>
  <si>
    <t>39434739C</t>
  </si>
  <si>
    <t>EMMA SOLDEVILA ALCOVERRO</t>
  </si>
  <si>
    <t>081442498281</t>
  </si>
  <si>
    <t>49288067X</t>
  </si>
  <si>
    <t>MARIA ANGELES GIMENO BUREU</t>
  </si>
  <si>
    <t>081427419835</t>
  </si>
  <si>
    <t>47442330T</t>
  </si>
  <si>
    <t>NURA FARLETE IBARRA</t>
  </si>
  <si>
    <t>081377695615</t>
  </si>
  <si>
    <t>49463093Y</t>
  </si>
  <si>
    <t>CLAUDIA COTE LOPEZ</t>
  </si>
  <si>
    <t>081406867959</t>
  </si>
  <si>
    <t>49456463T</t>
  </si>
  <si>
    <t>JAIR VICTOR CODINA ARNERO</t>
  </si>
  <si>
    <t>081455771925</t>
  </si>
  <si>
    <t>48219467J</t>
  </si>
  <si>
    <t>IGNACIO RIVAROLA CARRANZA</t>
  </si>
  <si>
    <t>171064042933</t>
  </si>
  <si>
    <t>46198066J</t>
  </si>
  <si>
    <t>ELENA AYALA CUADRADO</t>
  </si>
  <si>
    <t>411033063662</t>
  </si>
  <si>
    <t>77862302B</t>
  </si>
  <si>
    <t>ANDRES SERRANO ROMEO</t>
  </si>
  <si>
    <t>501072534531</t>
  </si>
  <si>
    <t>73017397X</t>
  </si>
  <si>
    <t>LAURA CACERES MARTIN</t>
  </si>
  <si>
    <t>181030630053</t>
  </si>
  <si>
    <t>75162992G</t>
  </si>
  <si>
    <t>LUIS PORTILLA VALLET</t>
  </si>
  <si>
    <t>081189285542</t>
  </si>
  <si>
    <t>47964697Z</t>
  </si>
  <si>
    <t>MARIA GORETTI PIÉ GONZALEZ</t>
  </si>
  <si>
    <t>431024811152</t>
  </si>
  <si>
    <t>47757948N</t>
  </si>
  <si>
    <t>OLGA PASTOR PIQUE</t>
  </si>
  <si>
    <t>081217099684</t>
  </si>
  <si>
    <t>38856319G</t>
  </si>
  <si>
    <t>MILAGRO MARTINEZ VILLARROYA</t>
  </si>
  <si>
    <t>081136196937</t>
  </si>
  <si>
    <t>47772355K</t>
  </si>
  <si>
    <t>MARTA ALBERT GONZALEZ</t>
  </si>
  <si>
    <t>081160369943</t>
  </si>
  <si>
    <t>47923216W</t>
  </si>
  <si>
    <t>LUCIANA DIAZ GARCIA</t>
  </si>
  <si>
    <t>081312933260</t>
  </si>
  <si>
    <t>RACHIDA AHARRAT EL ALLOUCH</t>
  </si>
  <si>
    <t>081037514793</t>
  </si>
  <si>
    <t>47881372H</t>
  </si>
  <si>
    <t>NAGORE AZNAREZ TORRELLAS</t>
  </si>
  <si>
    <t>081396951630</t>
  </si>
  <si>
    <t>16095392S</t>
  </si>
  <si>
    <t>1er AYUDANTE PRODUCCION</t>
  </si>
  <si>
    <t>DANA CALDERON DIAZ</t>
  </si>
  <si>
    <t>281376994253</t>
  </si>
  <si>
    <t>05289059W</t>
  </si>
  <si>
    <t>INES FRAILE BERNABEU</t>
  </si>
  <si>
    <t>301078492279</t>
  </si>
  <si>
    <t>72172404Z</t>
  </si>
  <si>
    <t>ALEXANDRE DURAN DAVINS</t>
  </si>
  <si>
    <t>081256058928</t>
  </si>
  <si>
    <t>39959559A</t>
  </si>
  <si>
    <t>SUSANA GONZALEZ BLANCO</t>
  </si>
  <si>
    <t>281456302867</t>
  </si>
  <si>
    <t>06020910Q</t>
  </si>
  <si>
    <t>GIULIA Lupelli</t>
  </si>
  <si>
    <t>081350128215</t>
  </si>
  <si>
    <t>Y5372193M</t>
  </si>
  <si>
    <t>JOSE LUIS GAY ESPAÑA</t>
  </si>
  <si>
    <t>081247924163</t>
  </si>
  <si>
    <t>47925283E</t>
  </si>
  <si>
    <t>DECORADOR</t>
  </si>
  <si>
    <t>MARIA ELISA VALENTE</t>
  </si>
  <si>
    <t>461181765689</t>
  </si>
  <si>
    <t>Y8623531V</t>
  </si>
  <si>
    <t>EMILIANO RON</t>
  </si>
  <si>
    <t>081356162625</t>
  </si>
  <si>
    <t>Y1329807F</t>
  </si>
  <si>
    <t>PABLO FRAILE RUIZ</t>
  </si>
  <si>
    <t>391024532950</t>
  </si>
  <si>
    <r>
      <t>72152047</t>
    </r>
    <r>
      <rPr>
        <b/>
        <sz val="11"/>
        <color rgb="FF000000"/>
        <rFont val="Calibri"/>
        <family val="2"/>
      </rPr>
      <t>N</t>
    </r>
  </si>
  <si>
    <t>JOSE LUIS YBOT RODRIGUEZ</t>
  </si>
  <si>
    <t>280435936885</t>
  </si>
  <si>
    <t>0435936885</t>
  </si>
  <si>
    <t>00806286K</t>
  </si>
  <si>
    <t>ARANTXA BLASCO</t>
  </si>
  <si>
    <t>461104321495</t>
  </si>
  <si>
    <t>29217813Q</t>
  </si>
  <si>
    <t>DORIANA ROSSI</t>
  </si>
  <si>
    <t>461083635338</t>
  </si>
  <si>
    <t>X4015814Z</t>
  </si>
  <si>
    <t>NOELIA GRASSO</t>
  </si>
  <si>
    <t>461187340967</t>
  </si>
  <si>
    <t>Y9545519G</t>
  </si>
  <si>
    <t>NOELIA SANCHEZ</t>
  </si>
  <si>
    <t>461158170239</t>
  </si>
  <si>
    <t>49248840K</t>
  </si>
  <si>
    <t>TERESA PEREZ GIRAU</t>
  </si>
  <si>
    <t>461044513218</t>
  </si>
  <si>
    <t>20050060V</t>
  </si>
  <si>
    <t>ANGELA AMAYA VAZQUEZ</t>
  </si>
  <si>
    <t>181037427430</t>
  </si>
  <si>
    <t>80050990L</t>
  </si>
  <si>
    <t>RUBEN CAMACHO CEBALLOS</t>
  </si>
  <si>
    <t>061000391919</t>
  </si>
  <si>
    <t>09181599E</t>
  </si>
  <si>
    <t>JESUS GABRIEL PEREZ TORRES</t>
  </si>
  <si>
    <t>431006615871</t>
  </si>
  <si>
    <t>39896593B</t>
  </si>
  <si>
    <t>DANIEL MENDEZ RODRIGUEZ</t>
  </si>
  <si>
    <t>331011229502</t>
  </si>
  <si>
    <t>76941228H</t>
  </si>
  <si>
    <t>TECNICO MAQUINARIA ESCENICA</t>
  </si>
  <si>
    <t>AZUCENA MOYA MORCILLO</t>
  </si>
  <si>
    <t>17 1029227815</t>
  </si>
  <si>
    <t>40594268G</t>
  </si>
  <si>
    <t>MARTIN PEÑASCO LARA,CARLOS</t>
  </si>
  <si>
    <t>DIRECTOR</t>
  </si>
  <si>
    <t>EMMA ROMEU FERRER</t>
  </si>
  <si>
    <t>461083481754</t>
  </si>
  <si>
    <t>21004338W</t>
  </si>
  <si>
    <t>bailarina</t>
  </si>
  <si>
    <t>ALBERTO MANZANO DELGADO</t>
  </si>
  <si>
    <t>081026225209</t>
  </si>
  <si>
    <t>38129738Q</t>
  </si>
  <si>
    <t>CARLES GARCIA LLIDO</t>
  </si>
  <si>
    <t>081164679066</t>
  </si>
  <si>
    <t>46991874E</t>
  </si>
  <si>
    <t>JORDI DUELT RIBO</t>
  </si>
  <si>
    <t>080495474410</t>
  </si>
  <si>
    <t>0495474410</t>
  </si>
  <si>
    <t>33923603Y</t>
  </si>
  <si>
    <t xml:space="preserve">AYUDANTE DE LA PRODUCION </t>
  </si>
  <si>
    <t>FLORENCIA GONZALEZ</t>
  </si>
  <si>
    <t>081400751404</t>
  </si>
  <si>
    <t>Y7522792N</t>
  </si>
  <si>
    <t>LAURA OJER BLASI</t>
  </si>
  <si>
    <t>250046106682</t>
  </si>
  <si>
    <t>0046106682</t>
  </si>
  <si>
    <t>43723811Y</t>
  </si>
  <si>
    <t>MUSIC</t>
  </si>
  <si>
    <t xml:space="preserve">MARIA CARBONELL GARCIA </t>
  </si>
  <si>
    <t>391008361030</t>
  </si>
  <si>
    <t>72127600Z</t>
  </si>
  <si>
    <t>HELENA CLOS CATURLA</t>
  </si>
  <si>
    <t>081128378636</t>
  </si>
  <si>
    <t>38863272B</t>
  </si>
  <si>
    <t>IRENEU TRANIS CORDON</t>
  </si>
  <si>
    <t>081089155270</t>
  </si>
  <si>
    <t>46407055R</t>
  </si>
  <si>
    <t>MARTINA TRESSERRA PI</t>
  </si>
  <si>
    <t>081161514442</t>
  </si>
  <si>
    <t>047798254E</t>
  </si>
  <si>
    <t xml:space="preserve">ESTHER PORCEL FAUQUET </t>
  </si>
  <si>
    <t>081166778512</t>
  </si>
  <si>
    <t>045880195W</t>
  </si>
  <si>
    <t>ELENI CHAIDEMENAKI</t>
  </si>
  <si>
    <t>281337049047</t>
  </si>
  <si>
    <t>1337049047</t>
  </si>
  <si>
    <t>TECNICO ILUMINACION</t>
  </si>
  <si>
    <t>ANNA CLIMENT SEMPRE</t>
  </si>
  <si>
    <t>081283306935</t>
  </si>
  <si>
    <t>48037679V</t>
  </si>
  <si>
    <t>GLORIA GARCIA GARRIDO</t>
  </si>
  <si>
    <t>081349961800</t>
  </si>
  <si>
    <t>48064746J</t>
  </si>
  <si>
    <t>ISSAC VERDURA BRESOLI</t>
  </si>
  <si>
    <t>081377786147</t>
  </si>
  <si>
    <t>39401059N</t>
  </si>
  <si>
    <t>JUAN GALLO LOMBARDO</t>
  </si>
  <si>
    <t>081392739103</t>
  </si>
  <si>
    <t>Y6626636M</t>
  </si>
  <si>
    <t>JAVIER VALLS TIENDA</t>
  </si>
  <si>
    <t>121030581552</t>
  </si>
  <si>
    <t>20915973A</t>
  </si>
  <si>
    <t>ONA PEREZ CROS</t>
  </si>
  <si>
    <t>081290591938</t>
  </si>
  <si>
    <t>53866060Z</t>
  </si>
  <si>
    <t>LAIA CAMPS MOLL</t>
  </si>
  <si>
    <t>071080419327</t>
  </si>
  <si>
    <t>41747688C</t>
  </si>
  <si>
    <t>DANI MALLORQUI CORTES</t>
  </si>
  <si>
    <t>081259511118</t>
  </si>
  <si>
    <t>49272680X</t>
  </si>
  <si>
    <t>JUDIT MENGUAL PEREGRIN</t>
  </si>
  <si>
    <t>071087091816</t>
  </si>
  <si>
    <t>43473679E</t>
  </si>
  <si>
    <t>SEBASTIAN ESCOBAR GALVIS</t>
  </si>
  <si>
    <t>071058015054</t>
  </si>
  <si>
    <t>49898414Y</t>
  </si>
  <si>
    <t>MIGUEL GUERRA GUERRERO</t>
  </si>
  <si>
    <t>081480248964</t>
  </si>
  <si>
    <t>Z0084626Z</t>
  </si>
  <si>
    <t>MUSIC PERCUSIONISTA</t>
  </si>
  <si>
    <t>ANGLARILL QUESADA, NINA</t>
  </si>
  <si>
    <t>081162132313</t>
  </si>
  <si>
    <t>47889306V</t>
  </si>
  <si>
    <t>TECNICA sastreria</t>
  </si>
  <si>
    <t>RODRIGUEZ RIBES, LAIA</t>
  </si>
  <si>
    <t>171040157186</t>
  </si>
  <si>
    <t>45170343E</t>
  </si>
  <si>
    <t>ESCENOGRAFO</t>
  </si>
  <si>
    <t>ROIG VALLDOSERA,POL</t>
  </si>
  <si>
    <t>26070406K</t>
  </si>
  <si>
    <t>ANA MARIA SANCHEZ TARIFA</t>
  </si>
  <si>
    <t>081275101139</t>
  </si>
  <si>
    <t>77632792H</t>
  </si>
  <si>
    <t>PERIS CERVIAN, ARAM</t>
  </si>
  <si>
    <t>171043743459</t>
  </si>
  <si>
    <t>41631021D</t>
  </si>
  <si>
    <t>DUCH RENOM, XAVI</t>
  </si>
  <si>
    <t>081107299021</t>
  </si>
  <si>
    <t>47165530M</t>
  </si>
  <si>
    <t>MALTEZOU, DANAI</t>
  </si>
  <si>
    <t>081486622167</t>
  </si>
  <si>
    <t>Z2175221R</t>
  </si>
  <si>
    <t>PROFESORA CIRCO</t>
  </si>
  <si>
    <t>BERENGUER ALBERO, ANNA</t>
  </si>
  <si>
    <t>031035033293</t>
  </si>
  <si>
    <t>15421386R</t>
  </si>
  <si>
    <t>ACTRIZ DE TEATRO</t>
  </si>
  <si>
    <t>RODRIGUEZ GERADA, JORGE LUIS</t>
  </si>
  <si>
    <t>081151558707</t>
  </si>
  <si>
    <t>X4340917N</t>
  </si>
  <si>
    <t xml:space="preserve">ARTISTA PLATICO </t>
  </si>
  <si>
    <t>RIBAS ESCANDON, ANDREU</t>
  </si>
  <si>
    <t>081155301489</t>
  </si>
  <si>
    <t>43458870W</t>
  </si>
  <si>
    <t>GARCIA, AUDREY GHISLAINE</t>
  </si>
  <si>
    <t>081174093019</t>
  </si>
  <si>
    <t>X7521089C</t>
  </si>
  <si>
    <t>CANTIZANO SANCHEZ, ISABEL</t>
  </si>
  <si>
    <t>081167812671</t>
  </si>
  <si>
    <t>47852607A</t>
  </si>
  <si>
    <t>ARSTISTA PLÁSTICA</t>
  </si>
  <si>
    <t xml:space="preserve">PEREZ MITCHELL, ABRIL </t>
  </si>
  <si>
    <t>0'171045758635</t>
  </si>
  <si>
    <t>41564270G</t>
  </si>
  <si>
    <t>MEDIADORA CULTURAL</t>
  </si>
  <si>
    <t>081224081058</t>
  </si>
  <si>
    <t>39413290F</t>
  </si>
  <si>
    <t>RODRIGUEZ LATORRE, SERGIO</t>
  </si>
  <si>
    <t xml:space="preserve">ESCENOGRAFA </t>
  </si>
  <si>
    <t>VALCI MAZZARA, ELISABETTA</t>
  </si>
  <si>
    <t>Y3432337S</t>
  </si>
  <si>
    <t>PELAEZ I VIÑAS, ROGER</t>
  </si>
  <si>
    <t>080546480141</t>
  </si>
  <si>
    <t>0546480141</t>
  </si>
  <si>
    <t>52159101T</t>
  </si>
  <si>
    <t>RENAU AMADO, ANDREU</t>
  </si>
  <si>
    <t>081080415671</t>
  </si>
  <si>
    <t>53120132E</t>
  </si>
  <si>
    <t>DECORADORA/ARTISTA PLASTICO</t>
  </si>
  <si>
    <t>NESPOLO ALVAREZ, MATIAS</t>
  </si>
  <si>
    <t>10238852B</t>
  </si>
  <si>
    <t>FERNANDEZ BERRETTA, LULA</t>
  </si>
  <si>
    <t>Z0170759N</t>
  </si>
  <si>
    <t>ALVAREZ PINAZO, ISABEL INMACULADA</t>
  </si>
  <si>
    <t>24387156A</t>
  </si>
  <si>
    <t>DUBROCA MENDEZ, ISABELLA</t>
  </si>
  <si>
    <t>081484729354</t>
  </si>
  <si>
    <t>461088580116</t>
  </si>
  <si>
    <t>361070507362</t>
  </si>
  <si>
    <t>141059853793</t>
  </si>
  <si>
    <t>35735357G</t>
  </si>
  <si>
    <t>SANCHEZ PLAZA, JUAN</t>
  </si>
  <si>
    <t>461083225918</t>
  </si>
  <si>
    <t>21004244T</t>
  </si>
  <si>
    <t>LUQUE RAMIREZ, RICARDO</t>
  </si>
  <si>
    <t>201047488015</t>
  </si>
  <si>
    <t>Y4891098R</t>
  </si>
  <si>
    <t>30377660L</t>
  </si>
  <si>
    <t>ARTISTA PLASTICO</t>
  </si>
  <si>
    <t>081272074739</t>
  </si>
  <si>
    <t>PEREIRA GONZALVEZ, ALEX</t>
  </si>
  <si>
    <t>081229754649</t>
  </si>
  <si>
    <t>47838578G</t>
  </si>
  <si>
    <t xml:space="preserve">FERNANDEZ ALBERDI, FACUNDO </t>
  </si>
  <si>
    <t>30362955B</t>
  </si>
  <si>
    <t>081487506281</t>
  </si>
  <si>
    <t>GAMBIN MARTINEZ, MARIA</t>
  </si>
  <si>
    <t>031056309134</t>
  </si>
  <si>
    <t>53244830Z</t>
  </si>
  <si>
    <t>CACCITTO, AGATHA</t>
  </si>
  <si>
    <t>081349742740</t>
  </si>
  <si>
    <t>Y5374032G</t>
  </si>
  <si>
    <t>CUETO DUEÑAS, ESTEVEN</t>
  </si>
  <si>
    <t>081131905796</t>
  </si>
  <si>
    <t>47722629K</t>
  </si>
  <si>
    <t>CARDONA PONS, BERTA</t>
  </si>
  <si>
    <t>171059737648</t>
  </si>
  <si>
    <t>41749707S</t>
  </si>
  <si>
    <t xml:space="preserve">ACTRIZ </t>
  </si>
  <si>
    <t>FONT SALES, CARLA</t>
  </si>
  <si>
    <t>251032261355</t>
  </si>
  <si>
    <t>48050714B</t>
  </si>
  <si>
    <t>ROCH CLOSA, JULIA</t>
  </si>
  <si>
    <t>081393668683</t>
  </si>
  <si>
    <t>48061293X</t>
  </si>
  <si>
    <t>DIEZ HERMOSO, RAQUEL VICTORIA</t>
  </si>
  <si>
    <t>081328630082</t>
  </si>
  <si>
    <t>48223712A</t>
  </si>
  <si>
    <t>MORAN MARTIN, LAURA</t>
  </si>
  <si>
    <t>481061267106</t>
  </si>
  <si>
    <t>45948822C</t>
  </si>
  <si>
    <t>CAPEL DORADO, MARINA</t>
  </si>
  <si>
    <t>CAPOBIANCO, MILENA</t>
  </si>
  <si>
    <t>Z0168044B</t>
  </si>
  <si>
    <t>PEREZ DIOS, UXIA</t>
  </si>
  <si>
    <t>271015645829</t>
  </si>
  <si>
    <t>081447396781</t>
  </si>
  <si>
    <t>026540562B</t>
  </si>
  <si>
    <t>461032152889</t>
  </si>
  <si>
    <t>171045758635</t>
  </si>
  <si>
    <t>081170573737</t>
  </si>
  <si>
    <t>AGUSTINA, ZABALLA TORRESSI</t>
  </si>
  <si>
    <t>ABRIL, PEREZ MITCHELL</t>
  </si>
  <si>
    <t>SAVERIO, ABATE</t>
  </si>
  <si>
    <t>MAREIKE, FRANZ</t>
  </si>
  <si>
    <t>Y9332549Z</t>
  </si>
  <si>
    <t>181064880147</t>
  </si>
  <si>
    <t>171067351037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</si>
</sst>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0000"/>
    <numFmt numFmtId="165" formatCode="dd\-mmmm\-yyyy"/>
  </numFmts>
  <fonts count="4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trike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FAC090"/>
      <name val="Calibri"/>
      <family val="2"/>
      <charset val="1"/>
    </font>
    <font>
      <sz val="12"/>
      <color theme="1"/>
      <name val="Calibri"/>
      <family val="2"/>
    </font>
    <font>
      <sz val="12"/>
      <color rgb="FF123456"/>
      <name val="Arial"/>
      <family val="2"/>
    </font>
    <font>
      <sz val="12"/>
      <name val="Verdana"/>
      <family val="2"/>
    </font>
    <font>
      <u/>
      <sz val="12"/>
      <color theme="10"/>
      <name val="Calibri"/>
      <family val="2"/>
      <charset val="1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name val="Verdana"/>
      <family val="2"/>
    </font>
    <font>
      <sz val="11"/>
      <color rgb="FF000000"/>
      <name val="Arial"/>
      <family val="2"/>
    </font>
    <font>
      <sz val="11"/>
      <color rgb="FF006100"/>
      <name val="Calibri"/>
      <family val="2"/>
      <scheme val="minor"/>
    </font>
    <font>
      <b/>
      <sz val="12"/>
      <color rgb="FFFF0000"/>
      <name val="Calibri"/>
      <family val="2"/>
    </font>
    <font>
      <b/>
      <strike/>
      <sz val="12"/>
      <color rgb="FFFF0000"/>
      <name val="Calibri"/>
      <family val="2"/>
    </font>
    <font>
      <sz val="11"/>
      <name val="Calibri"/>
      <family val="2"/>
      <charset val="1"/>
      <scheme val="minor"/>
    </font>
    <font>
      <sz val="11"/>
      <name val="Calibri"/>
      <family val="2"/>
    </font>
    <font>
      <u/>
      <sz val="10"/>
      <color theme="10"/>
      <name val="Verdana"/>
      <family val="2"/>
    </font>
    <font>
      <u/>
      <sz val="11"/>
      <color theme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7" fillId="10" borderId="0" applyNumberFormat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5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21">
    <xf numFmtId="0" fontId="0" fillId="0" borderId="0" xfId="0"/>
    <xf numFmtId="0" fontId="11" fillId="0" borderId="1" xfId="0" applyFont="1" applyBorder="1"/>
    <xf numFmtId="0" fontId="12" fillId="0" borderId="1" xfId="0" applyFont="1" applyBorder="1"/>
    <xf numFmtId="0" fontId="11" fillId="6" borderId="1" xfId="0" applyFont="1" applyFill="1" applyBorder="1"/>
    <xf numFmtId="0" fontId="11" fillId="7" borderId="1" xfId="0" applyFont="1" applyFill="1" applyBorder="1"/>
    <xf numFmtId="0" fontId="16" fillId="0" borderId="1" xfId="0" applyFont="1" applyBorder="1"/>
    <xf numFmtId="0" fontId="15" fillId="0" borderId="1" xfId="0" applyFont="1" applyBorder="1"/>
    <xf numFmtId="0" fontId="11" fillId="4" borderId="1" xfId="0" applyFont="1" applyFill="1" applyBorder="1"/>
    <xf numFmtId="0" fontId="11" fillId="8" borderId="1" xfId="0" applyFont="1" applyFill="1" applyBorder="1"/>
    <xf numFmtId="0" fontId="28" fillId="0" borderId="1" xfId="0" applyFont="1" applyBorder="1"/>
    <xf numFmtId="0" fontId="27" fillId="0" borderId="1" xfId="6" applyFill="1" applyBorder="1"/>
    <xf numFmtId="0" fontId="0" fillId="0" borderId="1" xfId="0" applyBorder="1"/>
    <xf numFmtId="0" fontId="9" fillId="0" borderId="1" xfId="0" applyFont="1" applyBorder="1"/>
    <xf numFmtId="0" fontId="0" fillId="4" borderId="1" xfId="0" applyFill="1" applyBorder="1"/>
    <xf numFmtId="0" fontId="0" fillId="4" borderId="0" xfId="0" quotePrefix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4" borderId="0" xfId="0" applyFill="1" applyAlignment="1">
      <alignment horizontal="left"/>
    </xf>
    <xf numFmtId="1" fontId="30" fillId="4" borderId="4" xfId="6" applyNumberFormat="1" applyFont="1" applyFill="1" applyBorder="1" applyAlignment="1">
      <alignment horizontal="left"/>
    </xf>
    <xf numFmtId="0" fontId="30" fillId="0" borderId="4" xfId="6" applyFont="1" applyFill="1" applyBorder="1"/>
    <xf numFmtId="1" fontId="30" fillId="0" borderId="4" xfId="6" applyNumberFormat="1" applyFont="1" applyFill="1" applyBorder="1"/>
    <xf numFmtId="0" fontId="13" fillId="0" borderId="4" xfId="0" applyFont="1" applyBorder="1"/>
    <xf numFmtId="0" fontId="10" fillId="11" borderId="4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9" fillId="4" borderId="4" xfId="0" applyFont="1" applyFill="1" applyBorder="1"/>
    <xf numFmtId="0" fontId="9" fillId="0" borderId="4" xfId="0" applyFont="1" applyBorder="1"/>
    <xf numFmtId="0" fontId="30" fillId="4" borderId="4" xfId="6" applyFont="1" applyFill="1" applyBorder="1"/>
    <xf numFmtId="0" fontId="0" fillId="4" borderId="4" xfId="0" applyFill="1" applyBorder="1"/>
    <xf numFmtId="0" fontId="0" fillId="0" borderId="4" xfId="0" applyBorder="1"/>
    <xf numFmtId="0" fontId="28" fillId="0" borderId="4" xfId="0" applyFont="1" applyBorder="1"/>
    <xf numFmtId="0" fontId="28" fillId="4" borderId="4" xfId="0" applyFont="1" applyFill="1" applyBorder="1"/>
    <xf numFmtId="0" fontId="15" fillId="4" borderId="4" xfId="0" applyFont="1" applyFill="1" applyBorder="1"/>
    <xf numFmtId="0" fontId="15" fillId="0" borderId="4" xfId="0" applyFont="1" applyBorder="1"/>
    <xf numFmtId="0" fontId="29" fillId="0" borderId="4" xfId="0" applyFont="1" applyBorder="1"/>
    <xf numFmtId="0" fontId="13" fillId="4" borderId="4" xfId="0" applyFont="1" applyFill="1" applyBorder="1"/>
    <xf numFmtId="0" fontId="11" fillId="4" borderId="4" xfId="0" applyFont="1" applyFill="1" applyBorder="1"/>
    <xf numFmtId="0" fontId="14" fillId="0" borderId="4" xfId="0" applyFont="1" applyBorder="1"/>
    <xf numFmtId="0" fontId="11" fillId="0" borderId="4" xfId="0" applyFont="1" applyBorder="1"/>
    <xf numFmtId="0" fontId="11" fillId="6" borderId="4" xfId="0" applyFont="1" applyFill="1" applyBorder="1"/>
    <xf numFmtId="49" fontId="11" fillId="4" borderId="4" xfId="0" applyNumberFormat="1" applyFont="1" applyFill="1" applyBorder="1" applyAlignment="1">
      <alignment horizontal="left"/>
    </xf>
    <xf numFmtId="0" fontId="11" fillId="9" borderId="4" xfId="0" applyFont="1" applyFill="1" applyBorder="1"/>
    <xf numFmtId="0" fontId="11" fillId="8" borderId="4" xfId="0" applyFont="1" applyFill="1" applyBorder="1"/>
    <xf numFmtId="49" fontId="13" fillId="4" borderId="4" xfId="0" applyNumberFormat="1" applyFont="1" applyFill="1" applyBorder="1"/>
    <xf numFmtId="0" fontId="35" fillId="4" borderId="4" xfId="0" applyFont="1" applyFill="1" applyBorder="1"/>
    <xf numFmtId="14" fontId="11" fillId="4" borderId="4" xfId="0" applyNumberFormat="1" applyFont="1" applyFill="1" applyBorder="1"/>
    <xf numFmtId="0" fontId="34" fillId="4" borderId="4" xfId="0" applyFont="1" applyFill="1" applyBorder="1"/>
    <xf numFmtId="0" fontId="31" fillId="4" borderId="4" xfId="0" applyFont="1" applyFill="1" applyBorder="1"/>
    <xf numFmtId="164" fontId="11" fillId="4" borderId="4" xfId="0" applyNumberFormat="1" applyFont="1" applyFill="1" applyBorder="1" applyAlignment="1">
      <alignment horizontal="left"/>
    </xf>
    <xf numFmtId="0" fontId="11" fillId="4" borderId="4" xfId="0" applyFont="1" applyFill="1" applyBorder="1" applyAlignment="1">
      <alignment horizontal="left"/>
    </xf>
    <xf numFmtId="1" fontId="0" fillId="4" borderId="4" xfId="0" applyNumberFormat="1" applyFill="1" applyBorder="1" applyAlignment="1">
      <alignment horizontal="left"/>
    </xf>
    <xf numFmtId="0" fontId="12" fillId="4" borderId="4" xfId="0" applyFont="1" applyFill="1" applyBorder="1"/>
    <xf numFmtId="164" fontId="12" fillId="4" borderId="4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1" fontId="36" fillId="4" borderId="4" xfId="0" applyNumberFormat="1" applyFont="1" applyFill="1" applyBorder="1" applyAlignment="1">
      <alignment horizontal="left"/>
    </xf>
    <xf numFmtId="1" fontId="11" fillId="4" borderId="4" xfId="0" applyNumberFormat="1" applyFont="1" applyFill="1" applyBorder="1" applyAlignment="1">
      <alignment horizontal="left"/>
    </xf>
    <xf numFmtId="1" fontId="13" fillId="4" borderId="4" xfId="0" applyNumberFormat="1" applyFont="1" applyFill="1" applyBorder="1" applyAlignment="1">
      <alignment horizontal="left"/>
    </xf>
    <xf numFmtId="49" fontId="13" fillId="4" borderId="4" xfId="0" applyNumberFormat="1" applyFont="1" applyFill="1" applyBorder="1" applyAlignment="1">
      <alignment horizontal="left"/>
    </xf>
    <xf numFmtId="1" fontId="31" fillId="4" borderId="4" xfId="0" applyNumberFormat="1" applyFont="1" applyFill="1" applyBorder="1" applyAlignment="1">
      <alignment horizontal="left"/>
    </xf>
    <xf numFmtId="0" fontId="17" fillId="4" borderId="4" xfId="0" quotePrefix="1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49" fontId="17" fillId="4" borderId="4" xfId="0" applyNumberFormat="1" applyFont="1" applyFill="1" applyBorder="1" applyAlignment="1">
      <alignment horizontal="left"/>
    </xf>
    <xf numFmtId="0" fontId="18" fillId="4" borderId="4" xfId="0" applyFont="1" applyFill="1" applyBorder="1"/>
    <xf numFmtId="0" fontId="19" fillId="4" borderId="4" xfId="0" applyFont="1" applyFill="1" applyBorder="1" applyAlignment="1">
      <alignment horizontal="left"/>
    </xf>
    <xf numFmtId="0" fontId="11" fillId="4" borderId="4" xfId="0" quotePrefix="1" applyFont="1" applyFill="1" applyBorder="1" applyAlignment="1">
      <alignment horizontal="left"/>
    </xf>
    <xf numFmtId="0" fontId="21" fillId="4" borderId="4" xfId="0" applyFont="1" applyFill="1" applyBorder="1"/>
    <xf numFmtId="0" fontId="11" fillId="4" borderId="4" xfId="0" applyFont="1" applyFill="1" applyBorder="1" applyAlignment="1">
      <alignment wrapText="1"/>
    </xf>
    <xf numFmtId="0" fontId="21" fillId="4" borderId="4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23" fillId="4" borderId="4" xfId="0" applyFont="1" applyFill="1" applyBorder="1" applyAlignment="1">
      <alignment horizontal="left"/>
    </xf>
    <xf numFmtId="0" fontId="11" fillId="2" borderId="4" xfId="0" applyFont="1" applyFill="1" applyBorder="1"/>
    <xf numFmtId="12" fontId="11" fillId="4" borderId="4" xfId="0" applyNumberFormat="1" applyFont="1" applyFill="1" applyBorder="1" applyAlignment="1">
      <alignment horizontal="left"/>
    </xf>
    <xf numFmtId="0" fontId="22" fillId="4" borderId="4" xfId="0" applyFont="1" applyFill="1" applyBorder="1" applyAlignment="1">
      <alignment horizontal="left"/>
    </xf>
    <xf numFmtId="0" fontId="13" fillId="4" borderId="4" xfId="0" applyFont="1" applyFill="1" applyBorder="1" applyAlignment="1">
      <alignment horizontal="left"/>
    </xf>
    <xf numFmtId="0" fontId="24" fillId="4" borderId="4" xfId="0" applyFont="1" applyFill="1" applyBorder="1" applyAlignment="1">
      <alignment horizontal="left"/>
    </xf>
    <xf numFmtId="0" fontId="26" fillId="4" borderId="4" xfId="0" applyFont="1" applyFill="1" applyBorder="1" applyAlignment="1">
      <alignment horizontal="left"/>
    </xf>
    <xf numFmtId="0" fontId="0" fillId="4" borderId="4" xfId="0" quotePrefix="1" applyFill="1" applyBorder="1" applyAlignment="1">
      <alignment horizontal="left"/>
    </xf>
    <xf numFmtId="0" fontId="30" fillId="4" borderId="4" xfId="6" applyFont="1" applyFill="1" applyBorder="1" applyAlignment="1">
      <alignment horizontal="left"/>
    </xf>
    <xf numFmtId="0" fontId="30" fillId="4" borderId="4" xfId="6" quotePrefix="1" applyFont="1" applyFill="1" applyBorder="1" applyAlignment="1">
      <alignment horizontal="left"/>
    </xf>
    <xf numFmtId="1" fontId="31" fillId="4" borderId="4" xfId="11" applyNumberFormat="1" applyFont="1" applyFill="1" applyBorder="1" applyAlignment="1">
      <alignment horizontal="left"/>
    </xf>
    <xf numFmtId="0" fontId="31" fillId="4" borderId="4" xfId="11" applyFont="1" applyFill="1" applyBorder="1" applyAlignment="1">
      <alignment horizontal="left"/>
    </xf>
    <xf numFmtId="1" fontId="0" fillId="4" borderId="4" xfId="0" quotePrefix="1" applyNumberForma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14" fontId="30" fillId="0" borderId="4" xfId="6" applyNumberFormat="1" applyFont="1" applyFill="1" applyBorder="1"/>
    <xf numFmtId="1" fontId="28" fillId="0" borderId="4" xfId="0" applyNumberFormat="1" applyFont="1" applyBorder="1"/>
    <xf numFmtId="14" fontId="28" fillId="0" borderId="4" xfId="0" applyNumberFormat="1" applyFont="1" applyBorder="1"/>
    <xf numFmtId="14" fontId="13" fillId="0" borderId="4" xfId="0" applyNumberFormat="1" applyFont="1" applyBorder="1"/>
    <xf numFmtId="1" fontId="29" fillId="0" borderId="4" xfId="0" applyNumberFormat="1" applyFont="1" applyBorder="1"/>
    <xf numFmtId="14" fontId="29" fillId="0" borderId="4" xfId="0" applyNumberFormat="1" applyFont="1" applyBorder="1"/>
    <xf numFmtId="1" fontId="14" fillId="0" borderId="4" xfId="0" applyNumberFormat="1" applyFont="1" applyBorder="1"/>
    <xf numFmtId="14" fontId="14" fillId="0" borderId="4" xfId="0" applyNumberFormat="1" applyFont="1" applyBorder="1"/>
    <xf numFmtId="1" fontId="11" fillId="0" borderId="4" xfId="0" applyNumberFormat="1" applyFont="1" applyBorder="1"/>
    <xf numFmtId="49" fontId="11" fillId="0" borderId="4" xfId="0" applyNumberFormat="1" applyFont="1" applyBorder="1" applyAlignment="1">
      <alignment horizontal="left"/>
    </xf>
    <xf numFmtId="14" fontId="11" fillId="0" borderId="4" xfId="0" applyNumberFormat="1" applyFont="1" applyBorder="1"/>
    <xf numFmtId="1" fontId="11" fillId="6" borderId="4" xfId="0" applyNumberFormat="1" applyFont="1" applyFill="1" applyBorder="1"/>
    <xf numFmtId="14" fontId="11" fillId="6" borderId="4" xfId="0" applyNumberFormat="1" applyFont="1" applyFill="1" applyBorder="1"/>
    <xf numFmtId="1" fontId="11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right"/>
    </xf>
    <xf numFmtId="1" fontId="13" fillId="0" borderId="4" xfId="0" applyNumberFormat="1" applyFont="1" applyBorder="1"/>
    <xf numFmtId="0" fontId="16" fillId="0" borderId="4" xfId="0" applyFont="1" applyBorder="1"/>
    <xf numFmtId="1" fontId="11" fillId="0" borderId="4" xfId="0" applyNumberFormat="1" applyFont="1" applyBorder="1" applyAlignment="1">
      <alignment horizontal="right"/>
    </xf>
    <xf numFmtId="14" fontId="11" fillId="2" borderId="4" xfId="0" applyNumberFormat="1" applyFont="1" applyFill="1" applyBorder="1"/>
    <xf numFmtId="49" fontId="11" fillId="0" borderId="4" xfId="0" applyNumberFormat="1" applyFont="1" applyBorder="1" applyAlignment="1">
      <alignment horizontal="right"/>
    </xf>
    <xf numFmtId="1" fontId="11" fillId="6" borderId="4" xfId="0" applyNumberFormat="1" applyFont="1" applyFill="1" applyBorder="1" applyAlignment="1">
      <alignment horizontal="right"/>
    </xf>
    <xf numFmtId="14" fontId="11" fillId="0" borderId="4" xfId="0" applyNumberFormat="1" applyFont="1" applyBorder="1" applyAlignment="1">
      <alignment horizontal="right"/>
    </xf>
    <xf numFmtId="164" fontId="11" fillId="0" borderId="4" xfId="0" applyNumberFormat="1" applyFont="1" applyBorder="1" applyAlignment="1">
      <alignment horizontal="right"/>
    </xf>
    <xf numFmtId="164" fontId="11" fillId="6" borderId="4" xfId="0" applyNumberFormat="1" applyFont="1" applyFill="1" applyBorder="1" applyAlignment="1">
      <alignment horizontal="right"/>
    </xf>
    <xf numFmtId="0" fontId="11" fillId="3" borderId="4" xfId="0" applyFont="1" applyFill="1" applyBorder="1"/>
    <xf numFmtId="0" fontId="12" fillId="2" borderId="4" xfId="0" applyFont="1" applyFill="1" applyBorder="1"/>
    <xf numFmtId="0" fontId="12" fillId="0" borderId="4" xfId="0" applyFont="1" applyBorder="1"/>
    <xf numFmtId="1" fontId="12" fillId="0" borderId="4" xfId="0" applyNumberFormat="1" applyFont="1" applyBorder="1" applyAlignment="1">
      <alignment horizontal="right"/>
    </xf>
    <xf numFmtId="14" fontId="12" fillId="0" borderId="4" xfId="0" applyNumberFormat="1" applyFont="1" applyBorder="1"/>
    <xf numFmtId="0" fontId="11" fillId="7" borderId="4" xfId="0" applyFont="1" applyFill="1" applyBorder="1"/>
    <xf numFmtId="1" fontId="11" fillId="7" borderId="4" xfId="0" applyNumberFormat="1" applyFont="1" applyFill="1" applyBorder="1" applyAlignment="1">
      <alignment horizontal="right"/>
    </xf>
    <xf numFmtId="14" fontId="11" fillId="7" borderId="4" xfId="0" applyNumberFormat="1" applyFont="1" applyFill="1" applyBorder="1"/>
    <xf numFmtId="49" fontId="17" fillId="0" borderId="4" xfId="0" applyNumberFormat="1" applyFont="1" applyBorder="1" applyAlignment="1">
      <alignment horizontal="right"/>
    </xf>
    <xf numFmtId="0" fontId="18" fillId="0" borderId="4" xfId="0" applyFont="1" applyBorder="1"/>
    <xf numFmtId="0" fontId="13" fillId="6" borderId="4" xfId="0" applyFont="1" applyFill="1" applyBorder="1"/>
    <xf numFmtId="1" fontId="13" fillId="6" borderId="4" xfId="0" applyNumberFormat="1" applyFont="1" applyFill="1" applyBorder="1"/>
    <xf numFmtId="0" fontId="19" fillId="0" borderId="4" xfId="0" applyFont="1" applyBorder="1" applyAlignment="1">
      <alignment horizontal="left"/>
    </xf>
    <xf numFmtId="0" fontId="11" fillId="0" borderId="4" xfId="0" quotePrefix="1" applyFont="1" applyBorder="1" applyAlignment="1">
      <alignment horizontal="right"/>
    </xf>
    <xf numFmtId="14" fontId="11" fillId="5" borderId="4" xfId="0" applyNumberFormat="1" applyFont="1" applyFill="1" applyBorder="1"/>
    <xf numFmtId="14" fontId="11" fillId="0" borderId="4" xfId="0" quotePrefix="1" applyNumberFormat="1" applyFont="1" applyBorder="1"/>
    <xf numFmtId="0" fontId="21" fillId="0" borderId="4" xfId="0" applyFont="1" applyBorder="1"/>
    <xf numFmtId="0" fontId="11" fillId="0" borderId="4" xfId="0" applyFont="1" applyBorder="1" applyAlignment="1">
      <alignment wrapText="1"/>
    </xf>
    <xf numFmtId="0" fontId="21" fillId="6" borderId="4" xfId="0" applyFont="1" applyFill="1" applyBorder="1"/>
    <xf numFmtId="0" fontId="11" fillId="6" borderId="4" xfId="0" applyFont="1" applyFill="1" applyBorder="1" applyAlignment="1">
      <alignment horizontal="right"/>
    </xf>
    <xf numFmtId="49" fontId="11" fillId="6" borderId="4" xfId="0" applyNumberFormat="1" applyFont="1" applyFill="1" applyBorder="1" applyAlignment="1">
      <alignment horizontal="right"/>
    </xf>
    <xf numFmtId="14" fontId="11" fillId="6" borderId="4" xfId="0" applyNumberFormat="1" applyFont="1" applyFill="1" applyBorder="1" applyAlignment="1">
      <alignment horizontal="right"/>
    </xf>
    <xf numFmtId="0" fontId="11" fillId="6" borderId="4" xfId="0" quotePrefix="1" applyFont="1" applyFill="1" applyBorder="1" applyAlignment="1">
      <alignment horizontal="right"/>
    </xf>
    <xf numFmtId="1" fontId="11" fillId="4" borderId="4" xfId="0" applyNumberFormat="1" applyFont="1" applyFill="1" applyBorder="1"/>
    <xf numFmtId="0" fontId="11" fillId="8" borderId="4" xfId="0" applyFont="1" applyFill="1" applyBorder="1" applyAlignment="1">
      <alignment horizontal="right"/>
    </xf>
    <xf numFmtId="0" fontId="11" fillId="8" borderId="4" xfId="0" applyFont="1" applyFill="1" applyBorder="1" applyAlignment="1">
      <alignment horizontal="left"/>
    </xf>
    <xf numFmtId="1" fontId="11" fillId="8" borderId="4" xfId="0" applyNumberFormat="1" applyFont="1" applyFill="1" applyBorder="1"/>
    <xf numFmtId="14" fontId="11" fillId="8" borderId="4" xfId="0" applyNumberFormat="1" applyFont="1" applyFill="1" applyBorder="1"/>
    <xf numFmtId="49" fontId="11" fillId="8" borderId="4" xfId="0" applyNumberFormat="1" applyFont="1" applyFill="1" applyBorder="1" applyAlignment="1">
      <alignment horizontal="right"/>
    </xf>
    <xf numFmtId="0" fontId="35" fillId="4" borderId="4" xfId="0" quotePrefix="1" applyFont="1" applyFill="1" applyBorder="1" applyAlignment="1">
      <alignment horizontal="left"/>
    </xf>
    <xf numFmtId="0" fontId="35" fillId="4" borderId="4" xfId="0" applyFont="1" applyFill="1" applyBorder="1" applyAlignment="1">
      <alignment horizontal="left"/>
    </xf>
    <xf numFmtId="0" fontId="31" fillId="4" borderId="4" xfId="0" quotePrefix="1" applyFont="1" applyFill="1" applyBorder="1" applyAlignment="1">
      <alignment horizontal="left"/>
    </xf>
    <xf numFmtId="0" fontId="31" fillId="4" borderId="4" xfId="0" applyFont="1" applyFill="1" applyBorder="1" applyAlignment="1">
      <alignment horizontal="left"/>
    </xf>
    <xf numFmtId="0" fontId="31" fillId="4" borderId="2" xfId="0" applyFont="1" applyFill="1" applyBorder="1" applyAlignment="1">
      <alignment horizontal="left"/>
    </xf>
    <xf numFmtId="0" fontId="10" fillId="11" borderId="5" xfId="0" applyFont="1" applyFill="1" applyBorder="1" applyAlignment="1">
      <alignment horizontal="center"/>
    </xf>
    <xf numFmtId="165" fontId="35" fillId="4" borderId="5" xfId="0" applyNumberFormat="1" applyFont="1" applyFill="1" applyBorder="1" applyAlignment="1">
      <alignment horizontal="center"/>
    </xf>
    <xf numFmtId="165" fontId="34" fillId="4" borderId="5" xfId="0" applyNumberFormat="1" applyFont="1" applyFill="1" applyBorder="1" applyAlignment="1">
      <alignment horizontal="center"/>
    </xf>
    <xf numFmtId="165" fontId="31" fillId="4" borderId="5" xfId="0" applyNumberFormat="1" applyFont="1" applyFill="1" applyBorder="1" applyAlignment="1">
      <alignment horizontal="center"/>
    </xf>
    <xf numFmtId="14" fontId="11" fillId="4" borderId="5" xfId="0" applyNumberFormat="1" applyFont="1" applyFill="1" applyBorder="1" applyAlignment="1">
      <alignment horizontal="center"/>
    </xf>
    <xf numFmtId="14" fontId="12" fillId="4" borderId="5" xfId="0" applyNumberFormat="1" applyFont="1" applyFill="1" applyBorder="1" applyAlignment="1">
      <alignment horizontal="center"/>
    </xf>
    <xf numFmtId="14" fontId="11" fillId="4" borderId="5" xfId="0" quotePrefix="1" applyNumberFormat="1" applyFont="1" applyFill="1" applyBorder="1" applyAlignment="1">
      <alignment horizontal="center"/>
    </xf>
    <xf numFmtId="49" fontId="11" fillId="4" borderId="5" xfId="0" applyNumberFormat="1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14" fontId="13" fillId="4" borderId="5" xfId="0" applyNumberFormat="1" applyFon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30" fillId="4" borderId="5" xfId="6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8" fillId="11" borderId="5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center"/>
    </xf>
    <xf numFmtId="0" fontId="28" fillId="4" borderId="1" xfId="0" applyFont="1" applyFill="1" applyBorder="1"/>
    <xf numFmtId="49" fontId="31" fillId="4" borderId="4" xfId="0" quotePrefix="1" applyNumberFormat="1" applyFont="1" applyFill="1" applyBorder="1" applyAlignment="1">
      <alignment horizontal="left"/>
    </xf>
    <xf numFmtId="1" fontId="34" fillId="4" borderId="4" xfId="0" applyNumberFormat="1" applyFont="1" applyFill="1" applyBorder="1" applyAlignment="1">
      <alignment horizontal="left"/>
    </xf>
    <xf numFmtId="0" fontId="34" fillId="4" borderId="4" xfId="0" applyFont="1" applyFill="1" applyBorder="1" applyAlignment="1">
      <alignment horizontal="left"/>
    </xf>
    <xf numFmtId="164" fontId="31" fillId="4" borderId="4" xfId="0" quotePrefix="1" applyNumberFormat="1" applyFont="1" applyFill="1" applyBorder="1" applyAlignment="1">
      <alignment horizontal="left"/>
    </xf>
    <xf numFmtId="165" fontId="35" fillId="4" borderId="4" xfId="0" applyNumberFormat="1" applyFont="1" applyFill="1" applyBorder="1" applyAlignment="1">
      <alignment horizontal="left"/>
    </xf>
    <xf numFmtId="49" fontId="34" fillId="4" borderId="4" xfId="0" applyNumberFormat="1" applyFont="1" applyFill="1" applyBorder="1" applyAlignment="1">
      <alignment horizontal="left"/>
    </xf>
    <xf numFmtId="0" fontId="0" fillId="4" borderId="4" xfId="0" quotePrefix="1" applyFill="1" applyBorder="1"/>
    <xf numFmtId="1" fontId="30" fillId="4" borderId="4" xfId="6" applyNumberFormat="1" applyFont="1" applyFill="1" applyBorder="1"/>
    <xf numFmtId="49" fontId="31" fillId="4" borderId="4" xfId="0" applyNumberFormat="1" applyFont="1" applyFill="1" applyBorder="1" applyAlignment="1">
      <alignment horizontal="left"/>
    </xf>
    <xf numFmtId="14" fontId="13" fillId="4" borderId="4" xfId="0" applyNumberFormat="1" applyFont="1" applyFill="1" applyBorder="1"/>
    <xf numFmtId="165" fontId="31" fillId="4" borderId="4" xfId="0" applyNumberFormat="1" applyFont="1" applyFill="1" applyBorder="1" applyAlignment="1">
      <alignment horizontal="left"/>
    </xf>
    <xf numFmtId="1" fontId="31" fillId="4" borderId="4" xfId="0" quotePrefix="1" applyNumberFormat="1" applyFont="1" applyFill="1" applyBorder="1" applyAlignment="1">
      <alignment horizontal="left"/>
    </xf>
    <xf numFmtId="0" fontId="11" fillId="4" borderId="4" xfId="0" quotePrefix="1" applyFont="1" applyFill="1" applyBorder="1"/>
    <xf numFmtId="49" fontId="11" fillId="4" borderId="4" xfId="0" applyNumberFormat="1" applyFont="1" applyFill="1" applyBorder="1"/>
    <xf numFmtId="0" fontId="11" fillId="2" borderId="1" xfId="0" applyFont="1" applyFill="1" applyBorder="1"/>
    <xf numFmtId="1" fontId="40" fillId="4" borderId="4" xfId="6" applyNumberFormat="1" applyFont="1" applyFill="1" applyBorder="1" applyAlignment="1">
      <alignment horizontal="left"/>
    </xf>
    <xf numFmtId="49" fontId="34" fillId="4" borderId="4" xfId="0" quotePrefix="1" applyNumberFormat="1" applyFont="1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14" fontId="0" fillId="4" borderId="4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 vertical="center"/>
    </xf>
    <xf numFmtId="1" fontId="30" fillId="4" borderId="4" xfId="6" applyNumberFormat="1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1" fontId="11" fillId="2" borderId="4" xfId="0" applyNumberFormat="1" applyFont="1" applyFill="1" applyBorder="1"/>
    <xf numFmtId="1" fontId="30" fillId="4" borderId="4" xfId="6" quotePrefix="1" applyNumberFormat="1" applyFont="1" applyFill="1" applyBorder="1" applyAlignment="1">
      <alignment horizontal="left"/>
    </xf>
    <xf numFmtId="49" fontId="30" fillId="4" borderId="4" xfId="6" applyNumberFormat="1" applyFont="1" applyFill="1" applyBorder="1" applyAlignment="1">
      <alignment horizontal="left"/>
    </xf>
    <xf numFmtId="164" fontId="40" fillId="4" borderId="4" xfId="6" quotePrefix="1" applyNumberFormat="1" applyFont="1" applyFill="1" applyBorder="1" applyAlignment="1">
      <alignment horizontal="left"/>
    </xf>
    <xf numFmtId="49" fontId="40" fillId="4" borderId="4" xfId="6" applyNumberFormat="1" applyFont="1" applyFill="1" applyBorder="1" applyAlignment="1">
      <alignment horizontal="left"/>
    </xf>
    <xf numFmtId="0" fontId="41" fillId="4" borderId="4" xfId="0" applyFont="1" applyFill="1" applyBorder="1"/>
    <xf numFmtId="0" fontId="41" fillId="4" borderId="1" xfId="0" applyFont="1" applyFill="1" applyBorder="1"/>
    <xf numFmtId="14" fontId="0" fillId="4" borderId="4" xfId="0" applyNumberFormat="1" applyFill="1" applyBorder="1"/>
    <xf numFmtId="0" fontId="27" fillId="4" borderId="1" xfId="6" applyFill="1" applyBorder="1"/>
    <xf numFmtId="0" fontId="34" fillId="4" borderId="0" xfId="0" applyFont="1" applyFill="1"/>
    <xf numFmtId="49" fontId="31" fillId="4" borderId="0" xfId="0" quotePrefix="1" applyNumberFormat="1" applyFont="1" applyFill="1" applyAlignment="1">
      <alignment horizontal="left"/>
    </xf>
    <xf numFmtId="49" fontId="34" fillId="4" borderId="0" xfId="0" quotePrefix="1" applyNumberFormat="1" applyFont="1" applyFill="1" applyAlignment="1">
      <alignment horizontal="left"/>
    </xf>
    <xf numFmtId="0" fontId="34" fillId="4" borderId="0" xfId="0" applyFont="1" applyFill="1" applyAlignment="1">
      <alignment horizontal="left"/>
    </xf>
    <xf numFmtId="165" fontId="34" fillId="4" borderId="0" xfId="0" applyNumberFormat="1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3" xfId="0" applyFill="1" applyBorder="1"/>
    <xf numFmtId="0" fontId="15" fillId="4" borderId="1" xfId="0" applyFont="1" applyFill="1" applyBorder="1"/>
    <xf numFmtId="0" fontId="34" fillId="4" borderId="2" xfId="0" applyFont="1" applyFill="1" applyBorder="1"/>
    <xf numFmtId="0" fontId="29" fillId="4" borderId="4" xfId="0" applyFont="1" applyFill="1" applyBorder="1"/>
    <xf numFmtId="164" fontId="30" fillId="4" borderId="4" xfId="6" quotePrefix="1" applyNumberFormat="1" applyFont="1" applyFill="1" applyBorder="1" applyAlignment="1">
      <alignment horizontal="left"/>
    </xf>
    <xf numFmtId="14" fontId="34" fillId="4" borderId="4" xfId="0" quotePrefix="1" applyNumberFormat="1" applyFont="1" applyFill="1" applyBorder="1" applyAlignment="1">
      <alignment horizontal="left"/>
    </xf>
    <xf numFmtId="164" fontId="30" fillId="4" borderId="4" xfId="6" applyNumberFormat="1" applyFont="1" applyFill="1" applyBorder="1" applyAlignment="1">
      <alignment horizontal="left"/>
    </xf>
    <xf numFmtId="0" fontId="13" fillId="4" borderId="4" xfId="0" applyFont="1" applyFill="1" applyBorder="1" applyAlignment="1">
      <alignment horizontal="center"/>
    </xf>
    <xf numFmtId="1" fontId="13" fillId="4" borderId="4" xfId="0" applyNumberFormat="1" applyFont="1" applyFill="1" applyBorder="1" applyAlignment="1">
      <alignment horizontal="right"/>
    </xf>
    <xf numFmtId="14" fontId="30" fillId="4" borderId="4" xfId="6" applyNumberFormat="1" applyFont="1" applyFill="1" applyBorder="1"/>
    <xf numFmtId="0" fontId="30" fillId="4" borderId="4" xfId="6" applyFont="1" applyFill="1" applyBorder="1" applyAlignment="1">
      <alignment horizontal="right"/>
    </xf>
    <xf numFmtId="165" fontId="31" fillId="4" borderId="4" xfId="0" applyNumberFormat="1" applyFont="1" applyFill="1" applyBorder="1" applyAlignment="1">
      <alignment horizontal="center"/>
    </xf>
    <xf numFmtId="15" fontId="0" fillId="4" borderId="4" xfId="0" applyNumberFormat="1" applyFill="1" applyBorder="1" applyAlignment="1">
      <alignment horizontal="center"/>
    </xf>
    <xf numFmtId="1" fontId="30" fillId="4" borderId="3" xfId="6" applyNumberFormat="1" applyFont="1" applyFill="1" applyBorder="1"/>
    <xf numFmtId="0" fontId="38" fillId="11" borderId="5" xfId="0" applyFont="1" applyFill="1" applyBorder="1" applyAlignment="1">
      <alignment horizontal="right"/>
    </xf>
    <xf numFmtId="14" fontId="30" fillId="0" borderId="4" xfId="6" applyNumberFormat="1" applyFont="1" applyFill="1" applyBorder="1" applyAlignment="1">
      <alignment horizontal="right"/>
    </xf>
    <xf numFmtId="14" fontId="28" fillId="0" borderId="4" xfId="0" applyNumberFormat="1" applyFont="1" applyBorder="1" applyAlignment="1">
      <alignment horizontal="right"/>
    </xf>
    <xf numFmtId="14" fontId="13" fillId="0" borderId="4" xfId="0" applyNumberFormat="1" applyFont="1" applyBorder="1" applyAlignment="1">
      <alignment horizontal="right"/>
    </xf>
    <xf numFmtId="14" fontId="29" fillId="0" borderId="4" xfId="0" applyNumberFormat="1" applyFont="1" applyBorder="1" applyAlignment="1">
      <alignment horizontal="right"/>
    </xf>
    <xf numFmtId="0" fontId="28" fillId="0" borderId="4" xfId="0" applyFont="1" applyBorder="1" applyAlignment="1">
      <alignment horizontal="right"/>
    </xf>
    <xf numFmtId="0" fontId="28" fillId="2" borderId="4" xfId="0" applyFont="1" applyFill="1" applyBorder="1" applyAlignment="1">
      <alignment horizontal="right"/>
    </xf>
    <xf numFmtId="0" fontId="30" fillId="0" borderId="4" xfId="6" applyFont="1" applyFill="1" applyBorder="1" applyAlignment="1">
      <alignment horizontal="right"/>
    </xf>
    <xf numFmtId="49" fontId="13" fillId="2" borderId="4" xfId="0" applyNumberFormat="1" applyFont="1" applyFill="1" applyBorder="1" applyAlignment="1">
      <alignment horizontal="right"/>
    </xf>
    <xf numFmtId="14" fontId="11" fillId="2" borderId="4" xfId="0" applyNumberFormat="1" applyFon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15" fillId="0" borderId="4" xfId="0" applyFont="1" applyBorder="1" applyAlignment="1">
      <alignment horizontal="right"/>
    </xf>
    <xf numFmtId="49" fontId="15" fillId="0" borderId="4" xfId="0" applyNumberFormat="1" applyFont="1" applyBorder="1" applyAlignment="1">
      <alignment horizontal="right"/>
    </xf>
    <xf numFmtId="14" fontId="15" fillId="0" borderId="4" xfId="0" applyNumberFormat="1" applyFont="1" applyBorder="1" applyAlignment="1">
      <alignment horizontal="right"/>
    </xf>
    <xf numFmtId="14" fontId="12" fillId="0" borderId="4" xfId="0" applyNumberFormat="1" applyFont="1" applyBorder="1" applyAlignment="1">
      <alignment horizontal="right"/>
    </xf>
    <xf numFmtId="14" fontId="11" fillId="7" borderId="4" xfId="0" applyNumberFormat="1" applyFont="1" applyFill="1" applyBorder="1" applyAlignment="1">
      <alignment horizontal="right"/>
    </xf>
    <xf numFmtId="0" fontId="20" fillId="0" borderId="4" xfId="2" applyFont="1" applyBorder="1" applyAlignment="1" applyProtection="1">
      <alignment horizontal="right"/>
    </xf>
    <xf numFmtId="14" fontId="11" fillId="4" borderId="4" xfId="0" applyNumberFormat="1" applyFont="1" applyFill="1" applyBorder="1" applyAlignment="1">
      <alignment horizontal="right"/>
    </xf>
    <xf numFmtId="14" fontId="11" fillId="8" borderId="4" xfId="0" applyNumberFormat="1" applyFont="1" applyFill="1" applyBorder="1" applyAlignment="1">
      <alignment horizontal="right"/>
    </xf>
    <xf numFmtId="14" fontId="13" fillId="4" borderId="4" xfId="0" applyNumberFormat="1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0" fillId="4" borderId="4" xfId="0" quotePrefix="1" applyFill="1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13" fillId="2" borderId="4" xfId="0" applyNumberFormat="1" applyFont="1" applyFill="1" applyBorder="1" applyAlignment="1">
      <alignment horizontal="right"/>
    </xf>
    <xf numFmtId="0" fontId="29" fillId="0" borderId="4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49" fontId="13" fillId="4" borderId="4" xfId="0" applyNumberFormat="1" applyFont="1" applyFill="1" applyBorder="1" applyAlignment="1">
      <alignment horizontal="right"/>
    </xf>
    <xf numFmtId="14" fontId="0" fillId="4" borderId="4" xfId="0" applyNumberFormat="1" applyFill="1" applyBorder="1" applyAlignment="1">
      <alignment horizontal="right"/>
    </xf>
    <xf numFmtId="0" fontId="10" fillId="0" borderId="4" xfId="0" applyFont="1" applyBorder="1" applyAlignment="1">
      <alignment horizontal="right"/>
    </xf>
    <xf numFmtId="49" fontId="30" fillId="0" borderId="4" xfId="6" applyNumberFormat="1" applyFont="1" applyFill="1" applyBorder="1" applyAlignment="1">
      <alignment horizontal="right"/>
    </xf>
    <xf numFmtId="49" fontId="28" fillId="0" borderId="4" xfId="0" applyNumberFormat="1" applyFont="1" applyBorder="1" applyAlignment="1">
      <alignment horizontal="right"/>
    </xf>
    <xf numFmtId="49" fontId="29" fillId="0" borderId="4" xfId="0" applyNumberFormat="1" applyFont="1" applyBorder="1" applyAlignment="1">
      <alignment horizontal="right"/>
    </xf>
    <xf numFmtId="49" fontId="14" fillId="0" borderId="4" xfId="0" applyNumberFormat="1" applyFont="1" applyBorder="1" applyAlignment="1">
      <alignment horizontal="right"/>
    </xf>
    <xf numFmtId="49" fontId="13" fillId="0" borderId="4" xfId="0" applyNumberFormat="1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1" fillId="7" borderId="4" xfId="0" applyFont="1" applyFill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6" borderId="4" xfId="0" applyFont="1" applyFill="1" applyBorder="1" applyAlignment="1">
      <alignment horizontal="right"/>
    </xf>
    <xf numFmtId="0" fontId="21" fillId="4" borderId="4" xfId="0" applyFont="1" applyFill="1" applyBorder="1" applyAlignment="1">
      <alignment horizontal="right"/>
    </xf>
    <xf numFmtId="0" fontId="21" fillId="6" borderId="4" xfId="0" applyFont="1" applyFill="1" applyBorder="1" applyAlignment="1">
      <alignment horizontal="right"/>
    </xf>
    <xf numFmtId="0" fontId="23" fillId="0" borderId="4" xfId="0" applyFont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31" fillId="4" borderId="4" xfId="11" applyFont="1" applyFill="1" applyBorder="1" applyAlignment="1">
      <alignment horizontal="right"/>
    </xf>
    <xf numFmtId="0" fontId="0" fillId="4" borderId="0" xfId="0" applyFill="1" applyAlignment="1">
      <alignment horizontal="right"/>
    </xf>
    <xf numFmtId="1" fontId="0" fillId="4" borderId="4" xfId="0" applyNumberFormat="1" applyFill="1" applyBorder="1" applyAlignment="1">
      <alignment horizontal="right"/>
    </xf>
    <xf numFmtId="1" fontId="28" fillId="0" borderId="4" xfId="0" applyNumberFormat="1" applyFont="1" applyBorder="1" applyAlignment="1">
      <alignment horizontal="right"/>
    </xf>
    <xf numFmtId="1" fontId="29" fillId="0" borderId="4" xfId="0" applyNumberFormat="1" applyFont="1" applyBorder="1" applyAlignment="1">
      <alignment horizontal="right"/>
    </xf>
    <xf numFmtId="1" fontId="14" fillId="0" borderId="4" xfId="0" applyNumberFormat="1" applyFont="1" applyBorder="1" applyAlignment="1">
      <alignment horizontal="right"/>
    </xf>
    <xf numFmtId="49" fontId="12" fillId="0" borderId="4" xfId="0" applyNumberFormat="1" applyFont="1" applyBorder="1" applyAlignment="1">
      <alignment horizontal="right"/>
    </xf>
    <xf numFmtId="49" fontId="13" fillId="6" borderId="4" xfId="0" applyNumberFormat="1" applyFont="1" applyFill="1" applyBorder="1" applyAlignment="1">
      <alignment horizontal="right"/>
    </xf>
    <xf numFmtId="12" fontId="11" fillId="0" borderId="4" xfId="0" applyNumberFormat="1" applyFont="1" applyBorder="1" applyAlignment="1">
      <alignment horizontal="right"/>
    </xf>
    <xf numFmtId="0" fontId="11" fillId="4" borderId="4" xfId="0" quotePrefix="1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10" fillId="0" borderId="4" xfId="0" applyFont="1" applyBorder="1"/>
    <xf numFmtId="1" fontId="30" fillId="0" borderId="4" xfId="6" applyNumberFormat="1" applyFont="1" applyFill="1" applyBorder="1" applyAlignment="1"/>
    <xf numFmtId="164" fontId="11" fillId="0" borderId="4" xfId="0" applyNumberFormat="1" applyFont="1" applyBorder="1"/>
    <xf numFmtId="49" fontId="11" fillId="0" borderId="4" xfId="0" applyNumberFormat="1" applyFont="1" applyBorder="1"/>
    <xf numFmtId="164" fontId="11" fillId="6" borderId="4" xfId="0" applyNumberFormat="1" applyFont="1" applyFill="1" applyBorder="1"/>
    <xf numFmtId="164" fontId="12" fillId="0" borderId="4" xfId="0" applyNumberFormat="1" applyFont="1" applyBorder="1"/>
    <xf numFmtId="164" fontId="11" fillId="7" borderId="4" xfId="0" applyNumberFormat="1" applyFont="1" applyFill="1" applyBorder="1"/>
    <xf numFmtId="0" fontId="17" fillId="0" borderId="4" xfId="0" quotePrefix="1" applyFont="1" applyBorder="1"/>
    <xf numFmtId="49" fontId="17" fillId="0" borderId="4" xfId="0" applyNumberFormat="1" applyFont="1" applyBorder="1"/>
    <xf numFmtId="49" fontId="17" fillId="6" borderId="4" xfId="0" applyNumberFormat="1" applyFont="1" applyFill="1" applyBorder="1"/>
    <xf numFmtId="0" fontId="11" fillId="0" borderId="4" xfId="0" quotePrefix="1" applyFont="1" applyBorder="1"/>
    <xf numFmtId="0" fontId="11" fillId="6" borderId="4" xfId="0" quotePrefix="1" applyFont="1" applyFill="1" applyBorder="1"/>
    <xf numFmtId="0" fontId="22" fillId="0" borderId="4" xfId="0" applyFont="1" applyBorder="1"/>
    <xf numFmtId="49" fontId="11" fillId="8" borderId="4" xfId="0" applyNumberFormat="1" applyFont="1" applyFill="1" applyBorder="1"/>
    <xf numFmtId="0" fontId="24" fillId="0" borderId="4" xfId="0" applyFont="1" applyBorder="1"/>
    <xf numFmtId="1" fontId="13" fillId="4" borderId="4" xfId="0" applyNumberFormat="1" applyFont="1" applyFill="1" applyBorder="1"/>
    <xf numFmtId="0" fontId="26" fillId="4" borderId="4" xfId="0" applyFont="1" applyFill="1" applyBorder="1"/>
    <xf numFmtId="0" fontId="30" fillId="4" borderId="4" xfId="6" applyFont="1" applyFill="1" applyBorder="1" applyAlignment="1"/>
    <xf numFmtId="0" fontId="30" fillId="4" borderId="4" xfId="6" quotePrefix="1" applyFont="1" applyFill="1" applyBorder="1" applyAlignment="1"/>
    <xf numFmtId="1" fontId="31" fillId="4" borderId="4" xfId="11" applyNumberFormat="1" applyFont="1" applyFill="1" applyBorder="1"/>
    <xf numFmtId="0" fontId="0" fillId="4" borderId="0" xfId="0" quotePrefix="1" applyFill="1"/>
    <xf numFmtId="1" fontId="0" fillId="4" borderId="4" xfId="0" quotePrefix="1" applyNumberFormat="1" applyFill="1" applyBorder="1"/>
    <xf numFmtId="164" fontId="0" fillId="4" borderId="4" xfId="0" quotePrefix="1" applyNumberFormat="1" applyFill="1" applyBorder="1"/>
    <xf numFmtId="0" fontId="0" fillId="0" borderId="4" xfId="0" quotePrefix="1" applyBorder="1"/>
    <xf numFmtId="14" fontId="0" fillId="0" borderId="1" xfId="0" applyNumberFormat="1" applyBorder="1"/>
    <xf numFmtId="49" fontId="11" fillId="2" borderId="4" xfId="0" applyNumberFormat="1" applyFont="1" applyFill="1" applyBorder="1"/>
    <xf numFmtId="49" fontId="11" fillId="2" borderId="4" xfId="0" applyNumberFormat="1" applyFont="1" applyFill="1" applyBorder="1" applyAlignment="1">
      <alignment horizontal="right"/>
    </xf>
    <xf numFmtId="0" fontId="0" fillId="0" borderId="1" xfId="0" quotePrefix="1" applyBorder="1"/>
    <xf numFmtId="0" fontId="34" fillId="4" borderId="6" xfId="0" applyFont="1" applyFill="1" applyBorder="1" applyAlignment="1">
      <alignment horizontal="right"/>
    </xf>
    <xf numFmtId="0" fontId="30" fillId="0" borderId="4" xfId="0" applyFont="1" applyBorder="1"/>
    <xf numFmtId="0" fontId="0" fillId="0" borderId="4" xfId="0" quotePrefix="1" applyBorder="1" applyAlignment="1">
      <alignment horizontal="right"/>
    </xf>
    <xf numFmtId="0" fontId="42" fillId="4" borderId="4" xfId="0" applyFont="1" applyFill="1" applyBorder="1"/>
    <xf numFmtId="0" fontId="43" fillId="4" borderId="4" xfId="6" quotePrefix="1" applyFont="1" applyFill="1" applyBorder="1" applyAlignment="1">
      <alignment horizontal="left"/>
    </xf>
    <xf numFmtId="0" fontId="43" fillId="4" borderId="4" xfId="6" applyFont="1" applyFill="1" applyBorder="1" applyAlignment="1">
      <alignment horizontal="left"/>
    </xf>
    <xf numFmtId="0" fontId="42" fillId="4" borderId="4" xfId="0" applyFont="1" applyFill="1" applyBorder="1" applyAlignment="1">
      <alignment horizontal="left"/>
    </xf>
    <xf numFmtId="1" fontId="43" fillId="4" borderId="4" xfId="6" applyNumberFormat="1" applyFont="1" applyFill="1" applyBorder="1" applyAlignment="1">
      <alignment horizontal="left"/>
    </xf>
    <xf numFmtId="165" fontId="42" fillId="4" borderId="5" xfId="0" applyNumberFormat="1" applyFont="1" applyFill="1" applyBorder="1" applyAlignment="1">
      <alignment horizontal="center"/>
    </xf>
    <xf numFmtId="0" fontId="42" fillId="4" borderId="4" xfId="0" quotePrefix="1" applyFont="1" applyFill="1" applyBorder="1" applyAlignment="1">
      <alignment horizontal="left"/>
    </xf>
    <xf numFmtId="0" fontId="44" fillId="4" borderId="4" xfId="0" applyFont="1" applyFill="1" applyBorder="1"/>
    <xf numFmtId="0" fontId="44" fillId="4" borderId="1" xfId="0" applyFont="1" applyFill="1" applyBorder="1"/>
    <xf numFmtId="0" fontId="35" fillId="2" borderId="4" xfId="0" applyFont="1" applyFill="1" applyBorder="1"/>
    <xf numFmtId="0" fontId="35" fillId="2" borderId="4" xfId="0" quotePrefix="1" applyFont="1" applyFill="1" applyBorder="1" applyAlignment="1">
      <alignment horizontal="left"/>
    </xf>
    <xf numFmtId="0" fontId="35" fillId="2" borderId="4" xfId="0" applyFont="1" applyFill="1" applyBorder="1" applyAlignment="1">
      <alignment horizontal="left"/>
    </xf>
    <xf numFmtId="1" fontId="1" fillId="2" borderId="4" xfId="6" applyNumberFormat="1" applyFont="1" applyFill="1" applyBorder="1" applyAlignment="1">
      <alignment horizontal="left"/>
    </xf>
    <xf numFmtId="165" fontId="35" fillId="2" borderId="5" xfId="0" applyNumberFormat="1" applyFont="1" applyFill="1" applyBorder="1" applyAlignment="1">
      <alignment horizontal="center"/>
    </xf>
    <xf numFmtId="0" fontId="17" fillId="2" borderId="4" xfId="0" applyFont="1" applyFill="1" applyBorder="1"/>
    <xf numFmtId="0" fontId="17" fillId="2" borderId="1" xfId="0" applyFont="1" applyFill="1" applyBorder="1"/>
    <xf numFmtId="1" fontId="30" fillId="2" borderId="4" xfId="6" applyNumberFormat="1" applyFont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4" xfId="0" applyFill="1" applyBorder="1"/>
    <xf numFmtId="0" fontId="11" fillId="2" borderId="4" xfId="0" applyFont="1" applyFill="1" applyBorder="1" applyAlignment="1">
      <alignment horizontal="left"/>
    </xf>
    <xf numFmtId="0" fontId="0" fillId="2" borderId="0" xfId="0" quotePrefix="1" applyFill="1"/>
    <xf numFmtId="0" fontId="0" fillId="2" borderId="0" xfId="0" applyFill="1"/>
    <xf numFmtId="0" fontId="38" fillId="11" borderId="5" xfId="0" applyFont="1" applyFill="1" applyBorder="1" applyAlignment="1">
      <alignment horizontal="center"/>
    </xf>
    <xf numFmtId="0" fontId="38" fillId="11" borderId="2" xfId="0" applyFont="1" applyFill="1" applyBorder="1" applyAlignment="1">
      <alignment horizontal="center"/>
    </xf>
  </cellXfs>
  <cellStyles count="24">
    <cellStyle name="Bueno" xfId="6" builtinId="26"/>
    <cellStyle name="Hipervínculo" xfId="2" builtinId="8"/>
    <cellStyle name="Hipervínculo 2" xfId="8"/>
    <cellStyle name="Hipervínculo visitado" xfId="17" builtinId="9" hidden="1"/>
    <cellStyle name="Hipervínculo visitado" xfId="23" builtinId="9" hidden="1"/>
    <cellStyle name="Hipervínculo visitado" xfId="16" builtinId="9" hidden="1"/>
    <cellStyle name="Hipervínculo visitado" xfId="18" builtinId="9" hidden="1"/>
    <cellStyle name="Hipervínculo visitado" xfId="15" builtinId="9" hidden="1"/>
    <cellStyle name="Hipervínculo visitado" xfId="21" builtinId="9" hidden="1"/>
    <cellStyle name="Hipervínculo visitado" xfId="20" builtinId="9" hidden="1"/>
    <cellStyle name="Hipervínculo visitado" xfId="19" builtinId="9" hidden="1"/>
    <cellStyle name="Hipervínculo visitado" xfId="22" builtinId="9" hidden="1"/>
    <cellStyle name="Millares 2" xfId="9"/>
    <cellStyle name="Millares 3" xfId="12"/>
    <cellStyle name="Millares 4" xfId="14"/>
    <cellStyle name="Normal" xfId="0" builtinId="0"/>
    <cellStyle name="Normal 2" xfId="10"/>
    <cellStyle name="Normal 2 2" xfId="3"/>
    <cellStyle name="Normal 2 3" xfId="4"/>
    <cellStyle name="Normal 2 4" xfId="5"/>
    <cellStyle name="Normal 2 6" xfId="1"/>
    <cellStyle name="Normal 3" xfId="7"/>
    <cellStyle name="Normal 4" xfId="11"/>
    <cellStyle name="Normal 5" xfId="1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45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558</xdr:row>
      <xdr:rowOff>0</xdr:rowOff>
    </xdr:from>
    <xdr:to>
      <xdr:col>0</xdr:col>
      <xdr:colOff>15240</xdr:colOff>
      <xdr:row>558</xdr:row>
      <xdr:rowOff>15240</xdr:rowOff>
    </xdr:to>
    <xdr:pic>
      <xdr:nvPicPr>
        <xdr:cNvPr id="2" name="m_5545109933685443724m_-801339082049795293gmail-:2jd" descr="https://ci3.googleusercontent.com/proxy/8CBWEZYl_gju-O0mEKjDNw0Eh_qIbYUu1oZBKfZqOypmLO1gU9NfBBUnKK5HrwoN-VKG8iQn_PvQpZDlbxq0IwVL9dQOy_HcGJ0=s0-d-e1-ft#https://mail.google.com/mail/u/0/images/cleardot.gif">
          <a:extLst>
            <a:ext uri="{FF2B5EF4-FFF2-40B4-BE49-F238E27FC236}">
              <a16:creationId xmlns:a16="http://schemas.microsoft.com/office/drawing/2014/main" id="{3BD4A2D8-EFF0-425E-9C4A-DBA03CC51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62808" y="111596365"/>
          <a:ext cx="9525" cy="95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15240</xdr:rowOff>
    </xdr:to>
    <xdr:pic>
      <xdr:nvPicPr>
        <xdr:cNvPr id="2" name="m_5545109933685443724m_-801339082049795293gmail-:2jd" descr="https://ci3.googleusercontent.com/proxy/8CBWEZYl_gju-O0mEKjDNw0Eh_qIbYUu1oZBKfZqOypmLO1gU9NfBBUnKK5HrwoN-VKG8iQn_PvQpZDlbxq0IwVL9dQOy_HcGJ0=s0-d-e1-ft#https://mail.google.com/mail/u/0/images/cleardot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0" y="32518350"/>
          <a:ext cx="19050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sca_esv=65b627a4699ea87d&amp;sxsrf=ACQVn08M9_A_zHY6gBqg5ubu5fIKVq48hQ:1713446193521&amp;q=DISC+JOCKEY&amp;spell=1&amp;sa=X&amp;ved=2ahUKEwiR-9K97MuFAxW6UKQEHcj1ClEQBSgAegQIBhAC" TargetMode="External"/><Relationship Id="rId1" Type="http://schemas.openxmlformats.org/officeDocument/2006/relationships/hyperlink" Target="tel:081193274868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M753"/>
  <sheetViews>
    <sheetView tabSelected="1" zoomScale="140" zoomScaleNormal="140" zoomScalePageLayoutView="130" workbookViewId="0">
      <pane ySplit="1" topLeftCell="A183" activePane="bottomLeft" state="frozen"/>
      <selection pane="bottomLeft" activeCell="C202" sqref="C202"/>
    </sheetView>
  </sheetViews>
  <sheetFormatPr baseColWidth="10" defaultColWidth="9.33203125" defaultRowHeight="14.4" x14ac:dyDescent="0.3"/>
  <cols>
    <col min="1" max="1" width="33.44140625" style="11" customWidth="1"/>
    <col min="2" max="2" width="21.44140625" style="15" customWidth="1"/>
    <col min="3" max="3" width="17.44140625" style="15" customWidth="1"/>
    <col min="4" max="4" width="14" style="15" customWidth="1"/>
    <col min="5" max="5" width="11.5546875" style="15" bestFit="1" customWidth="1"/>
    <col min="6" max="6" width="22.6640625" style="155" bestFit="1" customWidth="1"/>
    <col min="7" max="7" width="6.33203125" style="16" customWidth="1"/>
    <col min="8" max="8" width="15.88671875" style="16" customWidth="1"/>
    <col min="9" max="9" width="31" style="29" customWidth="1"/>
    <col min="10" max="10" width="27.44140625" style="13" customWidth="1"/>
    <col min="11" max="11" width="24" style="13" customWidth="1"/>
    <col min="12" max="13" width="9.33203125" style="13"/>
    <col min="14" max="14" width="2.109375" style="13" bestFit="1" customWidth="1"/>
    <col min="15" max="15" width="9.33203125" style="13"/>
    <col min="16" max="16" width="12.88671875" style="13" bestFit="1" customWidth="1"/>
    <col min="17" max="118" width="9.33203125" style="13"/>
    <col min="119" max="16384" width="9.33203125" style="11"/>
  </cols>
  <sheetData>
    <row r="1" spans="1:169" s="12" customFormat="1" ht="18" x14ac:dyDescent="0.3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142" t="s">
        <v>5</v>
      </c>
      <c r="G1" s="156" t="s">
        <v>6</v>
      </c>
      <c r="H1" s="319" t="s">
        <v>7</v>
      </c>
      <c r="I1" s="320"/>
      <c r="J1" s="157" t="s">
        <v>8</v>
      </c>
      <c r="K1" s="22" t="s">
        <v>9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</row>
    <row r="2" spans="1:169" s="189" customFormat="1" x14ac:dyDescent="0.3">
      <c r="A2" s="190" t="s">
        <v>10</v>
      </c>
      <c r="B2" s="191" t="s">
        <v>11</v>
      </c>
      <c r="C2" s="192" t="s">
        <v>12</v>
      </c>
      <c r="D2" s="193" t="s">
        <v>13</v>
      </c>
      <c r="E2" s="18">
        <v>186282967</v>
      </c>
      <c r="F2" s="194">
        <v>28638</v>
      </c>
      <c r="G2" s="69"/>
      <c r="H2" s="195"/>
      <c r="I2" s="196"/>
      <c r="J2" s="27"/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</row>
    <row r="3" spans="1:169" s="189" customFormat="1" x14ac:dyDescent="0.3">
      <c r="A3" s="46" t="s">
        <v>14</v>
      </c>
      <c r="B3" s="167" t="s">
        <v>15</v>
      </c>
      <c r="C3" s="164" t="s">
        <v>16</v>
      </c>
      <c r="D3" s="140" t="s">
        <v>17</v>
      </c>
      <c r="E3" s="18">
        <v>186282967</v>
      </c>
      <c r="F3" s="144">
        <v>31873</v>
      </c>
      <c r="G3" s="77">
        <v>3</v>
      </c>
      <c r="H3" s="69">
        <v>6000327</v>
      </c>
      <c r="I3" s="28" t="s">
        <v>26</v>
      </c>
      <c r="J3" s="27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</row>
    <row r="4" spans="1:169" s="197" customFormat="1" ht="15.6" x14ac:dyDescent="0.3">
      <c r="A4" s="46" t="s">
        <v>18</v>
      </c>
      <c r="B4" s="159" t="s">
        <v>19</v>
      </c>
      <c r="C4" s="159" t="s">
        <v>20</v>
      </c>
      <c r="D4" s="161" t="s">
        <v>21</v>
      </c>
      <c r="E4" s="18">
        <v>186282967</v>
      </c>
      <c r="F4" s="144">
        <v>31887</v>
      </c>
      <c r="G4" s="69"/>
      <c r="H4" s="69"/>
      <c r="I4" s="28"/>
      <c r="J4" s="31"/>
      <c r="K4" s="31"/>
      <c r="L4" s="31"/>
      <c r="M4" s="31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</row>
    <row r="5" spans="1:169" s="158" customFormat="1" ht="15.6" x14ac:dyDescent="0.3">
      <c r="A5" s="46" t="s">
        <v>22</v>
      </c>
      <c r="B5" s="164" t="s">
        <v>23</v>
      </c>
      <c r="C5" s="167" t="s">
        <v>24</v>
      </c>
      <c r="D5" s="139" t="s">
        <v>25</v>
      </c>
      <c r="E5" s="18">
        <v>186282967</v>
      </c>
      <c r="F5" s="144">
        <v>27351</v>
      </c>
      <c r="G5" s="77">
        <v>3</v>
      </c>
      <c r="H5" s="69">
        <v>6000327</v>
      </c>
      <c r="I5" s="28" t="s">
        <v>26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spans="1:169" s="158" customFormat="1" ht="15.6" x14ac:dyDescent="0.3">
      <c r="A6" s="46" t="s">
        <v>27</v>
      </c>
      <c r="B6" s="175" t="s">
        <v>28</v>
      </c>
      <c r="C6" s="159" t="s">
        <v>29</v>
      </c>
      <c r="D6" s="140" t="s">
        <v>30</v>
      </c>
      <c r="E6" s="18">
        <v>186282967</v>
      </c>
      <c r="F6" s="144">
        <v>26167</v>
      </c>
      <c r="G6" s="69">
        <v>3</v>
      </c>
      <c r="H6" s="69">
        <v>6000320</v>
      </c>
      <c r="I6" s="28" t="s">
        <v>31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</row>
    <row r="7" spans="1:169" s="158" customFormat="1" ht="15.6" x14ac:dyDescent="0.3">
      <c r="A7" s="46" t="s">
        <v>32</v>
      </c>
      <c r="B7" s="175" t="s">
        <v>33</v>
      </c>
      <c r="C7" s="175" t="s">
        <v>34</v>
      </c>
      <c r="D7" s="161" t="s">
        <v>35</v>
      </c>
      <c r="E7" s="59">
        <v>182521791</v>
      </c>
      <c r="F7" s="144">
        <v>27883</v>
      </c>
      <c r="G7" s="69"/>
      <c r="H7" s="69"/>
      <c r="I7" s="28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</row>
    <row r="8" spans="1:169" s="158" customFormat="1" ht="15.6" x14ac:dyDescent="0.3">
      <c r="A8" s="46" t="s">
        <v>36</v>
      </c>
      <c r="B8" s="164" t="s">
        <v>37</v>
      </c>
      <c r="C8" s="164" t="s">
        <v>38</v>
      </c>
      <c r="D8" s="140" t="s">
        <v>39</v>
      </c>
      <c r="E8" s="18">
        <v>186282967</v>
      </c>
      <c r="F8" s="144">
        <v>29195</v>
      </c>
      <c r="G8" s="77">
        <v>3</v>
      </c>
      <c r="H8" s="69">
        <v>6000327</v>
      </c>
      <c r="I8" s="28" t="s">
        <v>26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</row>
    <row r="9" spans="1:169" s="158" customFormat="1" ht="15.6" x14ac:dyDescent="0.3">
      <c r="A9" s="46" t="s">
        <v>40</v>
      </c>
      <c r="B9" s="175" t="s">
        <v>41</v>
      </c>
      <c r="C9" s="175" t="s">
        <v>42</v>
      </c>
      <c r="D9" s="161" t="s">
        <v>43</v>
      </c>
      <c r="E9" s="18">
        <v>186282967</v>
      </c>
      <c r="F9" s="144">
        <v>27313</v>
      </c>
      <c r="G9" s="69">
        <v>5</v>
      </c>
      <c r="H9" s="69">
        <v>6100512</v>
      </c>
      <c r="I9" s="28" t="s">
        <v>44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</row>
    <row r="10" spans="1:169" s="158" customFormat="1" ht="15.6" x14ac:dyDescent="0.3">
      <c r="A10" s="46" t="s">
        <v>45</v>
      </c>
      <c r="B10" s="159" t="s">
        <v>46</v>
      </c>
      <c r="C10" s="175" t="s">
        <v>47</v>
      </c>
      <c r="D10" s="161" t="s">
        <v>48</v>
      </c>
      <c r="E10" s="18">
        <v>186282967</v>
      </c>
      <c r="F10" s="144">
        <v>28654</v>
      </c>
      <c r="G10" s="69"/>
      <c r="H10" s="69"/>
      <c r="I10" s="28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</row>
    <row r="11" spans="1:169" s="158" customFormat="1" ht="15.6" x14ac:dyDescent="0.3">
      <c r="A11" s="46" t="s">
        <v>49</v>
      </c>
      <c r="B11" s="175" t="s">
        <v>50</v>
      </c>
      <c r="C11" s="175" t="s">
        <v>51</v>
      </c>
      <c r="D11" s="161" t="s">
        <v>52</v>
      </c>
      <c r="E11" s="18">
        <v>186282967</v>
      </c>
      <c r="F11" s="144">
        <v>26196</v>
      </c>
      <c r="G11" s="69"/>
      <c r="H11" s="69"/>
      <c r="I11" s="28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</row>
    <row r="12" spans="1:169" s="158" customFormat="1" ht="15.6" x14ac:dyDescent="0.3">
      <c r="A12" s="46" t="s">
        <v>53</v>
      </c>
      <c r="B12" s="182" t="s">
        <v>54</v>
      </c>
      <c r="C12" s="183" t="s">
        <v>55</v>
      </c>
      <c r="D12" s="161" t="s">
        <v>56</v>
      </c>
      <c r="E12" s="78">
        <v>186282967</v>
      </c>
      <c r="F12" s="144">
        <v>28781</v>
      </c>
      <c r="G12" s="69">
        <v>5</v>
      </c>
      <c r="H12" s="69">
        <v>6100519</v>
      </c>
      <c r="I12" s="28" t="s">
        <v>57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</row>
    <row r="13" spans="1:169" s="158" customFormat="1" ht="15.6" x14ac:dyDescent="0.3">
      <c r="A13" s="47" t="s">
        <v>58</v>
      </c>
      <c r="B13" s="175" t="s">
        <v>59</v>
      </c>
      <c r="C13" s="159" t="s">
        <v>60</v>
      </c>
      <c r="D13" s="161" t="s">
        <v>61</v>
      </c>
      <c r="E13" s="78">
        <v>186282967</v>
      </c>
      <c r="F13" s="144">
        <v>29540</v>
      </c>
      <c r="G13" s="69"/>
      <c r="H13" s="69"/>
      <c r="I13" s="28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</row>
    <row r="14" spans="1:169" s="158" customFormat="1" ht="15.6" x14ac:dyDescent="0.3">
      <c r="A14" s="46" t="s">
        <v>62</v>
      </c>
      <c r="B14" s="182" t="s">
        <v>63</v>
      </c>
      <c r="C14" s="183" t="s">
        <v>64</v>
      </c>
      <c r="D14" s="161" t="s">
        <v>65</v>
      </c>
      <c r="E14" s="78">
        <v>186282967</v>
      </c>
      <c r="F14" s="144">
        <v>29673</v>
      </c>
      <c r="G14" s="69">
        <v>3</v>
      </c>
      <c r="H14" s="69">
        <v>6000325</v>
      </c>
      <c r="I14" s="28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</row>
    <row r="15" spans="1:169" s="158" customFormat="1" ht="15.6" x14ac:dyDescent="0.3">
      <c r="A15" s="46" t="s">
        <v>66</v>
      </c>
      <c r="B15" s="175" t="s">
        <v>67</v>
      </c>
      <c r="C15" s="159" t="s">
        <v>68</v>
      </c>
      <c r="D15" s="140" t="s">
        <v>69</v>
      </c>
      <c r="E15" s="69">
        <v>186282967</v>
      </c>
      <c r="F15" s="144">
        <v>29855</v>
      </c>
      <c r="G15" s="69">
        <v>3</v>
      </c>
      <c r="H15" s="69">
        <v>6000320</v>
      </c>
      <c r="I15" s="28" t="s">
        <v>31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</row>
    <row r="16" spans="1:169" s="158" customFormat="1" ht="15.6" x14ac:dyDescent="0.3">
      <c r="A16" s="46" t="s">
        <v>70</v>
      </c>
      <c r="B16" s="175" t="s">
        <v>71</v>
      </c>
      <c r="C16" s="175" t="s">
        <v>72</v>
      </c>
      <c r="D16" s="161" t="s">
        <v>73</v>
      </c>
      <c r="E16" s="59">
        <v>182521791</v>
      </c>
      <c r="F16" s="144">
        <v>29631</v>
      </c>
      <c r="G16" s="69"/>
      <c r="H16" s="69"/>
      <c r="I16" s="2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</row>
    <row r="17" spans="1:118" s="158" customFormat="1" ht="15.6" x14ac:dyDescent="0.3">
      <c r="A17" s="46" t="s">
        <v>74</v>
      </c>
      <c r="B17" s="175" t="s">
        <v>75</v>
      </c>
      <c r="C17" s="175" t="s">
        <v>76</v>
      </c>
      <c r="D17" s="161" t="s">
        <v>77</v>
      </c>
      <c r="E17" s="18">
        <v>186282967</v>
      </c>
      <c r="F17" s="144">
        <v>29458</v>
      </c>
      <c r="G17" s="69">
        <v>3</v>
      </c>
      <c r="H17" s="69">
        <v>6000326</v>
      </c>
      <c r="I17" s="28" t="s">
        <v>78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</row>
    <row r="18" spans="1:118" s="158" customFormat="1" ht="15.6" x14ac:dyDescent="0.3">
      <c r="A18" s="46" t="s">
        <v>79</v>
      </c>
      <c r="B18" s="164" t="s">
        <v>80</v>
      </c>
      <c r="C18" s="164" t="s">
        <v>81</v>
      </c>
      <c r="D18" s="140" t="s">
        <v>82</v>
      </c>
      <c r="E18" s="18">
        <v>186282967</v>
      </c>
      <c r="F18" s="144">
        <v>27876</v>
      </c>
      <c r="G18" s="69">
        <v>3</v>
      </c>
      <c r="H18" s="69">
        <v>6000320</v>
      </c>
      <c r="I18" s="28" t="s">
        <v>31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</row>
    <row r="19" spans="1:118" s="158" customFormat="1" ht="17.25" customHeight="1" x14ac:dyDescent="0.3">
      <c r="A19" s="198" t="s">
        <v>83</v>
      </c>
      <c r="B19" s="164" t="s">
        <v>84</v>
      </c>
      <c r="C19" s="164" t="s">
        <v>85</v>
      </c>
      <c r="D19" s="140" t="s">
        <v>86</v>
      </c>
      <c r="E19" s="18">
        <v>186282967</v>
      </c>
      <c r="F19" s="144">
        <v>3</v>
      </c>
      <c r="G19" s="69">
        <v>3</v>
      </c>
      <c r="H19" s="69">
        <v>6000320</v>
      </c>
      <c r="I19" s="28" t="s">
        <v>31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</row>
    <row r="20" spans="1:118" s="7" customFormat="1" ht="15.6" x14ac:dyDescent="0.3">
      <c r="A20" s="46" t="s">
        <v>87</v>
      </c>
      <c r="B20" s="164" t="s">
        <v>88</v>
      </c>
      <c r="C20" s="167" t="s">
        <v>89</v>
      </c>
      <c r="D20" s="140" t="s">
        <v>90</v>
      </c>
      <c r="E20" s="18">
        <v>186282967</v>
      </c>
      <c r="F20" s="144">
        <v>30224</v>
      </c>
      <c r="G20" s="77">
        <v>3</v>
      </c>
      <c r="H20" s="69">
        <v>6000327</v>
      </c>
      <c r="I20" s="28" t="s">
        <v>26</v>
      </c>
      <c r="J20" s="168"/>
      <c r="K20" s="35"/>
      <c r="L20" s="35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</row>
    <row r="21" spans="1:118" s="158" customFormat="1" ht="15.6" x14ac:dyDescent="0.3">
      <c r="A21" s="46" t="s">
        <v>91</v>
      </c>
      <c r="B21" s="164" t="s">
        <v>92</v>
      </c>
      <c r="C21" s="164" t="s">
        <v>93</v>
      </c>
      <c r="D21" s="161" t="s">
        <v>94</v>
      </c>
      <c r="E21" s="18">
        <v>186282967</v>
      </c>
      <c r="F21" s="144">
        <v>28870</v>
      </c>
      <c r="G21" s="69"/>
      <c r="H21" s="69"/>
      <c r="I21" s="28"/>
      <c r="J21" s="199"/>
      <c r="K21" s="199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</row>
    <row r="22" spans="1:118" s="7" customFormat="1" ht="15.6" x14ac:dyDescent="0.3">
      <c r="A22" s="46" t="s">
        <v>95</v>
      </c>
      <c r="B22" s="164" t="s">
        <v>96</v>
      </c>
      <c r="C22" s="167" t="s">
        <v>97</v>
      </c>
      <c r="D22" s="140" t="s">
        <v>98</v>
      </c>
      <c r="E22" s="18">
        <v>186282967</v>
      </c>
      <c r="F22" s="144">
        <v>29011</v>
      </c>
      <c r="G22" s="77">
        <v>3</v>
      </c>
      <c r="H22" s="69">
        <v>6000327</v>
      </c>
      <c r="I22" s="28" t="s">
        <v>26</v>
      </c>
      <c r="J22" s="168"/>
      <c r="K22" s="35"/>
      <c r="L22" s="35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</row>
    <row r="23" spans="1:118" s="158" customFormat="1" ht="15.6" x14ac:dyDescent="0.3">
      <c r="A23" s="46" t="s">
        <v>99</v>
      </c>
      <c r="B23" s="167" t="s">
        <v>100</v>
      </c>
      <c r="C23" s="164" t="s">
        <v>101</v>
      </c>
      <c r="D23" s="161" t="s">
        <v>102</v>
      </c>
      <c r="E23" s="59">
        <v>182521791</v>
      </c>
      <c r="F23" s="144">
        <v>30391</v>
      </c>
      <c r="G23" s="69"/>
      <c r="H23" s="69"/>
      <c r="I23" s="28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</row>
    <row r="24" spans="1:118" s="158" customFormat="1" ht="15.6" x14ac:dyDescent="0.3">
      <c r="A24" s="46" t="s">
        <v>103</v>
      </c>
      <c r="B24" s="164" t="s">
        <v>104</v>
      </c>
      <c r="C24" s="167" t="s">
        <v>105</v>
      </c>
      <c r="D24" s="140" t="s">
        <v>106</v>
      </c>
      <c r="E24" s="18">
        <v>186282967</v>
      </c>
      <c r="F24" s="144">
        <v>30747</v>
      </c>
      <c r="G24" s="69"/>
      <c r="H24" s="69"/>
      <c r="I24" s="28"/>
      <c r="J24" s="31"/>
      <c r="K24" s="31" t="s">
        <v>107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</row>
    <row r="25" spans="1:118" s="304" customFormat="1" ht="15.6" x14ac:dyDescent="0.3">
      <c r="A25" s="296" t="s">
        <v>108</v>
      </c>
      <c r="B25" s="297" t="s">
        <v>109</v>
      </c>
      <c r="C25" s="298">
        <v>1093008594</v>
      </c>
      <c r="D25" s="299" t="s">
        <v>110</v>
      </c>
      <c r="E25" s="300">
        <v>186282967</v>
      </c>
      <c r="F25" s="301">
        <v>29978</v>
      </c>
      <c r="G25" s="302">
        <v>3</v>
      </c>
      <c r="H25" s="299">
        <v>6000327</v>
      </c>
      <c r="I25" s="296" t="s">
        <v>26</v>
      </c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  <c r="BW25" s="303"/>
      <c r="BX25" s="303"/>
      <c r="BY25" s="303"/>
      <c r="BZ25" s="303"/>
      <c r="CA25" s="303"/>
      <c r="CB25" s="303"/>
      <c r="CC25" s="303"/>
      <c r="CD25" s="303"/>
      <c r="CE25" s="303"/>
      <c r="CF25" s="303"/>
      <c r="CG25" s="303"/>
      <c r="CH25" s="303"/>
      <c r="CI25" s="303"/>
      <c r="CJ25" s="303"/>
      <c r="CK25" s="303"/>
      <c r="CL25" s="303"/>
      <c r="CM25" s="303"/>
      <c r="CN25" s="303"/>
      <c r="CO25" s="303"/>
      <c r="CP25" s="303"/>
      <c r="CQ25" s="303"/>
      <c r="CR25" s="303"/>
      <c r="CS25" s="303"/>
      <c r="CT25" s="303"/>
      <c r="CU25" s="303"/>
      <c r="CV25" s="303"/>
      <c r="CW25" s="303"/>
      <c r="CX25" s="303"/>
      <c r="CY25" s="303"/>
      <c r="CZ25" s="303"/>
      <c r="DA25" s="303"/>
      <c r="DB25" s="303"/>
      <c r="DC25" s="303"/>
      <c r="DD25" s="303"/>
      <c r="DE25" s="303"/>
      <c r="DF25" s="303"/>
      <c r="DG25" s="303"/>
      <c r="DH25" s="303"/>
      <c r="DI25" s="303"/>
      <c r="DJ25" s="303"/>
      <c r="DK25" s="303"/>
      <c r="DL25" s="303"/>
      <c r="DM25" s="303"/>
      <c r="DN25" s="303"/>
    </row>
    <row r="26" spans="1:118" s="158" customFormat="1" ht="15.6" x14ac:dyDescent="0.3">
      <c r="A26" s="46" t="s">
        <v>111</v>
      </c>
      <c r="B26" s="167" t="s">
        <v>112</v>
      </c>
      <c r="C26" s="164" t="s">
        <v>113</v>
      </c>
      <c r="D26" s="161" t="s">
        <v>114</v>
      </c>
      <c r="E26" s="18">
        <v>186282967</v>
      </c>
      <c r="F26" s="144">
        <v>29426</v>
      </c>
      <c r="G26" s="77">
        <v>3</v>
      </c>
      <c r="H26" s="69">
        <v>6000327</v>
      </c>
      <c r="I26" s="28" t="s">
        <v>26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</row>
    <row r="27" spans="1:118" s="197" customFormat="1" ht="15.6" x14ac:dyDescent="0.3">
      <c r="A27" s="46" t="s">
        <v>115</v>
      </c>
      <c r="B27" s="167" t="s">
        <v>116</v>
      </c>
      <c r="C27" s="164" t="s">
        <v>117</v>
      </c>
      <c r="D27" s="161" t="s">
        <v>118</v>
      </c>
      <c r="E27" s="18">
        <v>186282967</v>
      </c>
      <c r="F27" s="144">
        <v>28302</v>
      </c>
      <c r="G27" s="69"/>
      <c r="H27" s="69"/>
      <c r="I27" s="28"/>
      <c r="J27" s="31"/>
      <c r="K27" s="31"/>
      <c r="L27" s="31"/>
      <c r="M27" s="3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</row>
    <row r="28" spans="1:118" s="158" customFormat="1" ht="15.6" x14ac:dyDescent="0.3">
      <c r="A28" s="46" t="s">
        <v>119</v>
      </c>
      <c r="B28" s="164" t="s">
        <v>120</v>
      </c>
      <c r="C28" s="167" t="s">
        <v>121</v>
      </c>
      <c r="D28" s="140" t="s">
        <v>122</v>
      </c>
      <c r="E28" s="18">
        <v>186282967</v>
      </c>
      <c r="F28" s="144">
        <v>32791</v>
      </c>
      <c r="G28" s="69">
        <v>7</v>
      </c>
      <c r="H28" s="69">
        <v>6100739</v>
      </c>
      <c r="I28" s="28" t="s">
        <v>123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</row>
    <row r="29" spans="1:118" s="187" customFormat="1" ht="15.6" x14ac:dyDescent="0.3">
      <c r="A29" s="47" t="s">
        <v>124</v>
      </c>
      <c r="B29" s="184" t="s">
        <v>125</v>
      </c>
      <c r="C29" s="185" t="s">
        <v>126</v>
      </c>
      <c r="D29" s="169" t="s">
        <v>127</v>
      </c>
      <c r="E29" s="174">
        <v>186282967</v>
      </c>
      <c r="F29" s="145">
        <v>29651</v>
      </c>
      <c r="G29" s="139">
        <v>3</v>
      </c>
      <c r="H29" s="140">
        <v>6000327</v>
      </c>
      <c r="I29" s="47" t="s">
        <v>26</v>
      </c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</row>
    <row r="30" spans="1:118" s="158" customFormat="1" ht="15.6" x14ac:dyDescent="0.3">
      <c r="A30" s="46" t="s">
        <v>128</v>
      </c>
      <c r="B30" s="162" t="s">
        <v>129</v>
      </c>
      <c r="C30" s="139" t="s">
        <v>130</v>
      </c>
      <c r="D30" s="163" t="s">
        <v>131</v>
      </c>
      <c r="E30" s="18">
        <v>186282967</v>
      </c>
      <c r="F30" s="144">
        <v>23468</v>
      </c>
      <c r="G30" s="69">
        <v>4</v>
      </c>
      <c r="H30" s="69">
        <v>6100407</v>
      </c>
      <c r="I30" s="28" t="s">
        <v>2995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</row>
    <row r="31" spans="1:118" s="158" customFormat="1" ht="15.6" x14ac:dyDescent="0.3">
      <c r="A31" s="46" t="s">
        <v>132</v>
      </c>
      <c r="B31" s="200" t="s">
        <v>133</v>
      </c>
      <c r="C31" s="183" t="s">
        <v>134</v>
      </c>
      <c r="D31" s="163" t="s">
        <v>135</v>
      </c>
      <c r="E31" s="18">
        <v>186282967</v>
      </c>
      <c r="F31" s="144">
        <v>34445</v>
      </c>
      <c r="G31" s="69"/>
      <c r="H31" s="69"/>
      <c r="I31" s="28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</row>
    <row r="32" spans="1:118" s="158" customFormat="1" ht="15.6" x14ac:dyDescent="0.3">
      <c r="A32" s="46" t="s">
        <v>136</v>
      </c>
      <c r="B32" s="159" t="s">
        <v>137</v>
      </c>
      <c r="C32" s="167" t="s">
        <v>138</v>
      </c>
      <c r="D32" s="163" t="s">
        <v>139</v>
      </c>
      <c r="E32" s="18">
        <v>186282967</v>
      </c>
      <c r="F32" s="144">
        <v>34224</v>
      </c>
      <c r="G32" s="69"/>
      <c r="H32" s="69"/>
      <c r="I32" s="28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</row>
    <row r="33" spans="1:169" s="158" customFormat="1" ht="15.6" x14ac:dyDescent="0.3">
      <c r="A33" s="46" t="s">
        <v>140</v>
      </c>
      <c r="B33" s="159" t="s">
        <v>141</v>
      </c>
      <c r="C33" s="167" t="s">
        <v>142</v>
      </c>
      <c r="D33" s="163" t="s">
        <v>143</v>
      </c>
      <c r="E33" s="18">
        <v>186282967</v>
      </c>
      <c r="F33" s="144">
        <v>33600</v>
      </c>
      <c r="G33" s="69"/>
      <c r="H33" s="69"/>
      <c r="I33" s="28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</row>
    <row r="34" spans="1:169" s="158" customFormat="1" ht="16.2" customHeight="1" x14ac:dyDescent="0.3">
      <c r="A34" s="47" t="s">
        <v>144</v>
      </c>
      <c r="B34" s="182" t="s">
        <v>145</v>
      </c>
      <c r="C34" s="183" t="s">
        <v>146</v>
      </c>
      <c r="D34" s="163" t="s">
        <v>147</v>
      </c>
      <c r="E34" s="18">
        <v>186282967</v>
      </c>
      <c r="F34" s="144">
        <v>29912</v>
      </c>
      <c r="G34" s="69"/>
      <c r="H34" s="69"/>
      <c r="I34" s="28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</row>
    <row r="35" spans="1:169" s="158" customFormat="1" ht="15.6" x14ac:dyDescent="0.3">
      <c r="A35" s="46" t="s">
        <v>148</v>
      </c>
      <c r="B35" s="160">
        <v>430059140462</v>
      </c>
      <c r="C35" s="170" t="s">
        <v>149</v>
      </c>
      <c r="D35" s="163" t="s">
        <v>150</v>
      </c>
      <c r="E35" s="18">
        <v>186282967</v>
      </c>
      <c r="F35" s="144">
        <v>26989</v>
      </c>
      <c r="G35" s="69">
        <v>3</v>
      </c>
      <c r="H35" s="69">
        <v>6000325</v>
      </c>
      <c r="I35" s="28" t="s">
        <v>151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</row>
    <row r="36" spans="1:169" s="158" customFormat="1" ht="15.6" x14ac:dyDescent="0.3">
      <c r="A36" s="46" t="s">
        <v>152</v>
      </c>
      <c r="B36" s="79" t="s">
        <v>153</v>
      </c>
      <c r="C36" s="78">
        <v>1094780159</v>
      </c>
      <c r="D36" s="163" t="s">
        <v>154</v>
      </c>
      <c r="E36" s="18">
        <v>186282967</v>
      </c>
      <c r="F36" s="144">
        <v>29848</v>
      </c>
      <c r="G36" s="69"/>
      <c r="H36" s="69"/>
      <c r="I36" s="28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</row>
    <row r="37" spans="1:169" s="158" customFormat="1" ht="15.6" x14ac:dyDescent="0.3">
      <c r="A37" s="46" t="s">
        <v>155</v>
      </c>
      <c r="B37" s="201" t="s">
        <v>156</v>
      </c>
      <c r="C37" s="201" t="s">
        <v>157</v>
      </c>
      <c r="D37" s="163" t="s">
        <v>158</v>
      </c>
      <c r="E37" s="18">
        <v>186282967</v>
      </c>
      <c r="F37" s="144">
        <v>32819</v>
      </c>
      <c r="G37" s="69"/>
      <c r="H37" s="69"/>
      <c r="I37" s="28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</row>
    <row r="38" spans="1:169" s="158" customFormat="1" ht="15.6" x14ac:dyDescent="0.3">
      <c r="A38" s="46" t="s">
        <v>159</v>
      </c>
      <c r="B38" s="79" t="s">
        <v>160</v>
      </c>
      <c r="C38" s="78" t="s">
        <v>161</v>
      </c>
      <c r="D38" s="163" t="s">
        <v>162</v>
      </c>
      <c r="E38" s="18">
        <v>186282967</v>
      </c>
      <c r="F38" s="144">
        <v>29308</v>
      </c>
      <c r="G38" s="69">
        <v>4</v>
      </c>
      <c r="H38" s="69">
        <v>6100406</v>
      </c>
      <c r="I38" s="28" t="s">
        <v>163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</row>
    <row r="39" spans="1:169" s="158" customFormat="1" ht="15.6" x14ac:dyDescent="0.3">
      <c r="A39" s="44" t="s">
        <v>164</v>
      </c>
      <c r="B39" s="137" t="s">
        <v>165</v>
      </c>
      <c r="C39" s="137" t="s">
        <v>166</v>
      </c>
      <c r="D39" s="138" t="s">
        <v>167</v>
      </c>
      <c r="E39" s="18">
        <v>186282967</v>
      </c>
      <c r="F39" s="143">
        <v>34076</v>
      </c>
      <c r="G39" s="69">
        <v>3</v>
      </c>
      <c r="H39" s="69">
        <v>6000320</v>
      </c>
      <c r="I39" s="28" t="s">
        <v>168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</row>
    <row r="40" spans="1:169" s="158" customFormat="1" ht="15.6" x14ac:dyDescent="0.3">
      <c r="A40" s="44" t="s">
        <v>169</v>
      </c>
      <c r="B40" s="137" t="s">
        <v>170</v>
      </c>
      <c r="C40" s="137" t="s">
        <v>171</v>
      </c>
      <c r="D40" s="138" t="s">
        <v>172</v>
      </c>
      <c r="E40" s="18">
        <v>186282967</v>
      </c>
      <c r="F40" s="143">
        <v>28794</v>
      </c>
      <c r="G40" s="69"/>
      <c r="H40" s="69"/>
      <c r="I40" s="28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</row>
    <row r="41" spans="1:169" s="158" customFormat="1" ht="15.6" x14ac:dyDescent="0.3">
      <c r="A41" s="44" t="s">
        <v>173</v>
      </c>
      <c r="B41" s="137" t="s">
        <v>174</v>
      </c>
      <c r="C41" s="137" t="s">
        <v>175</v>
      </c>
      <c r="D41" s="138" t="s">
        <v>176</v>
      </c>
      <c r="E41" s="18">
        <v>186282967</v>
      </c>
      <c r="F41" s="143">
        <v>32281</v>
      </c>
      <c r="G41" s="69"/>
      <c r="H41" s="69"/>
      <c r="I41" s="28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</row>
    <row r="42" spans="1:169" s="7" customFormat="1" ht="15.6" x14ac:dyDescent="0.3">
      <c r="A42" s="44" t="s">
        <v>177</v>
      </c>
      <c r="B42" s="202">
        <v>251006595660</v>
      </c>
      <c r="C42" s="183" t="s">
        <v>178</v>
      </c>
      <c r="D42" s="138" t="s">
        <v>179</v>
      </c>
      <c r="E42" s="18">
        <v>186282967</v>
      </c>
      <c r="F42" s="143">
        <v>30487</v>
      </c>
      <c r="G42" s="69"/>
      <c r="H42" s="69"/>
      <c r="I42" s="28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</row>
    <row r="43" spans="1:169" s="7" customFormat="1" ht="15.6" x14ac:dyDescent="0.3">
      <c r="A43" s="44" t="s">
        <v>180</v>
      </c>
      <c r="B43" s="138"/>
      <c r="C43" s="138"/>
      <c r="D43" s="138" t="s">
        <v>181</v>
      </c>
      <c r="E43" s="18">
        <v>186282967</v>
      </c>
      <c r="F43" s="143">
        <v>31093</v>
      </c>
      <c r="G43" s="69"/>
      <c r="H43" s="69"/>
      <c r="I43" s="28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</row>
    <row r="44" spans="1:169" s="7" customFormat="1" ht="15.6" x14ac:dyDescent="0.3">
      <c r="A44" s="44" t="s">
        <v>182</v>
      </c>
      <c r="B44" s="137" t="s">
        <v>183</v>
      </c>
      <c r="C44" s="138">
        <v>1341601006</v>
      </c>
      <c r="D44" s="138" t="s">
        <v>184</v>
      </c>
      <c r="E44" s="18">
        <v>186282967</v>
      </c>
      <c r="F44" s="143">
        <v>29963</v>
      </c>
      <c r="G44" s="69"/>
      <c r="H44" s="69"/>
      <c r="I44" s="28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</row>
    <row r="45" spans="1:169" s="7" customFormat="1" ht="15.6" x14ac:dyDescent="0.3">
      <c r="A45" s="44" t="s">
        <v>185</v>
      </c>
      <c r="B45" s="137" t="s">
        <v>186</v>
      </c>
      <c r="C45" s="138">
        <v>1244990420</v>
      </c>
      <c r="D45" s="138" t="s">
        <v>187</v>
      </c>
      <c r="E45" s="18">
        <v>186282967</v>
      </c>
      <c r="F45" s="143">
        <v>32700</v>
      </c>
      <c r="G45" s="69"/>
      <c r="H45" s="69"/>
      <c r="I45" s="28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</row>
    <row r="46" spans="1:169" s="7" customFormat="1" ht="15.6" x14ac:dyDescent="0.3">
      <c r="A46" s="44" t="s">
        <v>188</v>
      </c>
      <c r="B46" s="137" t="s">
        <v>189</v>
      </c>
      <c r="C46" s="137" t="s">
        <v>190</v>
      </c>
      <c r="D46" s="138" t="s">
        <v>191</v>
      </c>
      <c r="E46" s="18">
        <v>186282967</v>
      </c>
      <c r="F46" s="143">
        <v>28350</v>
      </c>
      <c r="G46" s="69"/>
      <c r="H46" s="69"/>
      <c r="I46" s="28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</row>
    <row r="47" spans="1:169" s="7" customFormat="1" ht="15.6" x14ac:dyDescent="0.3">
      <c r="A47" s="44" t="s">
        <v>192</v>
      </c>
      <c r="B47" s="137" t="s">
        <v>193</v>
      </c>
      <c r="C47" s="137" t="s">
        <v>194</v>
      </c>
      <c r="D47" s="138" t="s">
        <v>195</v>
      </c>
      <c r="E47" s="18">
        <v>186282967</v>
      </c>
      <c r="F47" s="143">
        <v>32643</v>
      </c>
      <c r="G47" s="77">
        <v>3</v>
      </c>
      <c r="H47" s="69">
        <v>6000327</v>
      </c>
      <c r="I47" s="28" t="s">
        <v>26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</row>
    <row r="48" spans="1:169" s="7" customFormat="1" ht="15.6" x14ac:dyDescent="0.3">
      <c r="A48" s="44" t="s">
        <v>196</v>
      </c>
      <c r="B48" s="137" t="s">
        <v>197</v>
      </c>
      <c r="C48" s="137" t="s">
        <v>198</v>
      </c>
      <c r="D48" s="138" t="s">
        <v>199</v>
      </c>
      <c r="E48" s="18">
        <v>186282967</v>
      </c>
      <c r="F48" s="143">
        <v>33428</v>
      </c>
      <c r="G48" s="77">
        <v>3</v>
      </c>
      <c r="H48" s="69">
        <v>6000327</v>
      </c>
      <c r="I48" s="28" t="s">
        <v>26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</row>
    <row r="49" spans="1:118" s="7" customFormat="1" ht="15.6" x14ac:dyDescent="0.3">
      <c r="A49" s="44" t="s">
        <v>200</v>
      </c>
      <c r="B49" s="137" t="s">
        <v>201</v>
      </c>
      <c r="C49" s="137" t="s">
        <v>202</v>
      </c>
      <c r="D49" s="138" t="s">
        <v>203</v>
      </c>
      <c r="E49" s="18">
        <v>186282967</v>
      </c>
      <c r="F49" s="143">
        <v>30616</v>
      </c>
      <c r="G49" s="77">
        <v>3</v>
      </c>
      <c r="H49" s="69">
        <v>6000327</v>
      </c>
      <c r="I49" s="28" t="s">
        <v>26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</row>
    <row r="50" spans="1:118" s="7" customFormat="1" ht="15.6" x14ac:dyDescent="0.3">
      <c r="A50" s="44" t="s">
        <v>204</v>
      </c>
      <c r="B50" s="162" t="s">
        <v>205</v>
      </c>
      <c r="C50" s="141">
        <v>1159382765</v>
      </c>
      <c r="D50" s="138" t="s">
        <v>206</v>
      </c>
      <c r="E50" s="18">
        <v>186282967</v>
      </c>
      <c r="F50" s="143">
        <v>27246</v>
      </c>
      <c r="G50" s="77">
        <v>3</v>
      </c>
      <c r="H50" s="69">
        <v>6000327</v>
      </c>
      <c r="I50" s="28" t="s">
        <v>26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</row>
    <row r="51" spans="1:118" s="7" customFormat="1" ht="15.6" x14ac:dyDescent="0.3">
      <c r="A51" s="44" t="s">
        <v>207</v>
      </c>
      <c r="B51" s="137" t="s">
        <v>208</v>
      </c>
      <c r="C51" s="137" t="s">
        <v>209</v>
      </c>
      <c r="D51" s="138" t="s">
        <v>210</v>
      </c>
      <c r="E51" s="18">
        <v>186282967</v>
      </c>
      <c r="F51" s="143">
        <v>30314</v>
      </c>
      <c r="G51" s="69">
        <v>3</v>
      </c>
      <c r="H51" s="69">
        <v>6000320</v>
      </c>
      <c r="I51" s="28" t="s">
        <v>168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</row>
    <row r="52" spans="1:118" s="7" customFormat="1" ht="15.6" x14ac:dyDescent="0.3">
      <c r="A52" s="44" t="s">
        <v>211</v>
      </c>
      <c r="B52" s="137" t="s">
        <v>212</v>
      </c>
      <c r="C52" s="137" t="s">
        <v>213</v>
      </c>
      <c r="D52" s="138" t="s">
        <v>214</v>
      </c>
      <c r="E52" s="18">
        <v>186282967</v>
      </c>
      <c r="F52" s="143">
        <v>33001</v>
      </c>
      <c r="G52" s="69">
        <v>3</v>
      </c>
      <c r="H52" s="69">
        <v>6000320</v>
      </c>
      <c r="I52" s="28" t="s">
        <v>168</v>
      </c>
      <c r="J52" s="28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</row>
    <row r="53" spans="1:118" s="311" customFormat="1" ht="15.6" x14ac:dyDescent="0.3">
      <c r="A53" s="305" t="s">
        <v>215</v>
      </c>
      <c r="B53" s="306" t="s">
        <v>216</v>
      </c>
      <c r="C53" s="306" t="s">
        <v>217</v>
      </c>
      <c r="D53" s="307" t="s">
        <v>218</v>
      </c>
      <c r="E53" s="308">
        <v>186282967</v>
      </c>
      <c r="F53" s="309">
        <v>33299</v>
      </c>
      <c r="G53" s="307">
        <v>3</v>
      </c>
      <c r="H53" s="307">
        <v>6000325</v>
      </c>
      <c r="I53" s="305" t="s">
        <v>151</v>
      </c>
      <c r="J53" s="305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B53" s="310"/>
      <c r="BC53" s="310"/>
      <c r="BD53" s="310"/>
      <c r="BE53" s="310"/>
      <c r="BF53" s="310"/>
      <c r="BG53" s="310"/>
      <c r="BH53" s="310"/>
      <c r="BI53" s="310"/>
      <c r="BJ53" s="310"/>
      <c r="BK53" s="310"/>
      <c r="BL53" s="310"/>
      <c r="BM53" s="310"/>
      <c r="BN53" s="310"/>
      <c r="BO53" s="310"/>
      <c r="BP53" s="310"/>
      <c r="BQ53" s="310"/>
      <c r="BR53" s="310"/>
      <c r="BS53" s="310"/>
      <c r="BT53" s="310"/>
      <c r="BU53" s="310"/>
      <c r="BV53" s="310"/>
      <c r="BW53" s="310"/>
      <c r="BX53" s="310"/>
      <c r="BY53" s="310"/>
      <c r="BZ53" s="310"/>
      <c r="CA53" s="310"/>
      <c r="CB53" s="310"/>
      <c r="CC53" s="310"/>
      <c r="CD53" s="310"/>
      <c r="CE53" s="310"/>
      <c r="CF53" s="310"/>
      <c r="CG53" s="310"/>
      <c r="CH53" s="310"/>
      <c r="CI53" s="310"/>
      <c r="CJ53" s="310"/>
      <c r="CK53" s="310"/>
      <c r="CL53" s="310"/>
      <c r="CM53" s="310"/>
      <c r="CN53" s="310"/>
      <c r="CO53" s="310"/>
      <c r="CP53" s="310"/>
      <c r="CQ53" s="310"/>
      <c r="CR53" s="310"/>
      <c r="CS53" s="310"/>
      <c r="CT53" s="310"/>
      <c r="CU53" s="310"/>
      <c r="CV53" s="310"/>
      <c r="CW53" s="310"/>
      <c r="CX53" s="310"/>
      <c r="CY53" s="310"/>
      <c r="CZ53" s="310"/>
      <c r="DA53" s="310"/>
      <c r="DB53" s="310"/>
      <c r="DC53" s="310"/>
      <c r="DD53" s="310"/>
      <c r="DE53" s="310"/>
      <c r="DF53" s="310"/>
      <c r="DG53" s="310"/>
      <c r="DH53" s="310"/>
      <c r="DI53" s="310"/>
      <c r="DJ53" s="310"/>
      <c r="DK53" s="310"/>
      <c r="DL53" s="310"/>
      <c r="DM53" s="310"/>
      <c r="DN53" s="310"/>
    </row>
    <row r="54" spans="1:118" s="7" customFormat="1" ht="15.6" x14ac:dyDescent="0.3">
      <c r="A54" s="44" t="s">
        <v>219</v>
      </c>
      <c r="B54" s="200" t="s">
        <v>220</v>
      </c>
      <c r="C54" s="183" t="s">
        <v>221</v>
      </c>
      <c r="D54" s="138" t="s">
        <v>222</v>
      </c>
      <c r="E54" s="18">
        <v>186282967</v>
      </c>
      <c r="F54" s="143">
        <v>31847</v>
      </c>
      <c r="G54" s="69">
        <v>5</v>
      </c>
      <c r="H54" s="69">
        <v>6100523</v>
      </c>
      <c r="I54" s="28" t="s">
        <v>223</v>
      </c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</row>
    <row r="55" spans="1:118" s="7" customFormat="1" ht="15.6" x14ac:dyDescent="0.3">
      <c r="A55" s="44" t="s">
        <v>224</v>
      </c>
      <c r="B55" s="137" t="s">
        <v>225</v>
      </c>
      <c r="C55" s="137" t="s">
        <v>226</v>
      </c>
      <c r="D55" s="138" t="s">
        <v>227</v>
      </c>
      <c r="E55" s="18">
        <v>186282967</v>
      </c>
      <c r="F55" s="143">
        <v>35150</v>
      </c>
      <c r="G55" s="69">
        <v>3</v>
      </c>
      <c r="H55" s="69">
        <v>6000325</v>
      </c>
      <c r="I55" s="28" t="s">
        <v>151</v>
      </c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</row>
    <row r="56" spans="1:118" s="7" customFormat="1" ht="15.6" x14ac:dyDescent="0.3">
      <c r="A56" s="44" t="s">
        <v>228</v>
      </c>
      <c r="B56" s="137" t="s">
        <v>229</v>
      </c>
      <c r="C56" s="137" t="s">
        <v>230</v>
      </c>
      <c r="D56" s="138" t="s">
        <v>231</v>
      </c>
      <c r="E56" s="18">
        <v>186282967</v>
      </c>
      <c r="F56" s="143">
        <v>32521</v>
      </c>
      <c r="G56" s="77">
        <v>3</v>
      </c>
      <c r="H56" s="69">
        <v>6000327</v>
      </c>
      <c r="I56" s="28" t="s">
        <v>26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</row>
    <row r="57" spans="1:118" s="7" customFormat="1" ht="15.6" x14ac:dyDescent="0.3">
      <c r="A57" s="44" t="s">
        <v>232</v>
      </c>
      <c r="B57" s="183" t="s">
        <v>233</v>
      </c>
      <c r="C57" s="183">
        <v>1016520054</v>
      </c>
      <c r="D57" s="138" t="s">
        <v>234</v>
      </c>
      <c r="E57" s="18">
        <v>182521791</v>
      </c>
      <c r="F57" s="143">
        <v>28320</v>
      </c>
      <c r="G57" s="69"/>
      <c r="H57" s="69"/>
      <c r="I57" s="28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</row>
    <row r="58" spans="1:118" s="7" customFormat="1" ht="15.6" x14ac:dyDescent="0.3">
      <c r="A58" s="44" t="s">
        <v>235</v>
      </c>
      <c r="B58" s="137" t="s">
        <v>236</v>
      </c>
      <c r="C58" s="137" t="s">
        <v>237</v>
      </c>
      <c r="D58" s="138" t="s">
        <v>238</v>
      </c>
      <c r="E58" s="18">
        <v>186282967</v>
      </c>
      <c r="F58" s="143">
        <v>28909</v>
      </c>
      <c r="G58" s="69">
        <v>3</v>
      </c>
      <c r="H58" s="69">
        <v>6000327</v>
      </c>
      <c r="I58" s="28" t="s">
        <v>26</v>
      </c>
      <c r="J58" s="36"/>
      <c r="K58" s="36" t="s">
        <v>239</v>
      </c>
      <c r="L58" s="40"/>
      <c r="M58" s="36"/>
      <c r="N58" s="36"/>
      <c r="O58" s="36"/>
      <c r="P58" s="36"/>
      <c r="Q58" s="36">
        <f>29.48*13</f>
        <v>383.24</v>
      </c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</row>
    <row r="59" spans="1:118" s="7" customFormat="1" ht="15.6" x14ac:dyDescent="0.3">
      <c r="A59" s="44" t="s">
        <v>240</v>
      </c>
      <c r="B59" s="137" t="s">
        <v>241</v>
      </c>
      <c r="C59" s="137" t="s">
        <v>242</v>
      </c>
      <c r="D59" s="138" t="s">
        <v>243</v>
      </c>
      <c r="E59" s="18">
        <v>186282967</v>
      </c>
      <c r="F59" s="143">
        <v>30504</v>
      </c>
      <c r="G59" s="69">
        <v>3</v>
      </c>
      <c r="H59" s="69">
        <v>6000325</v>
      </c>
      <c r="I59" s="28" t="s">
        <v>151</v>
      </c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</row>
    <row r="60" spans="1:118" s="7" customFormat="1" ht="15.6" x14ac:dyDescent="0.3">
      <c r="A60" s="44" t="s">
        <v>244</v>
      </c>
      <c r="B60" s="137" t="s">
        <v>245</v>
      </c>
      <c r="C60" s="137" t="s">
        <v>246</v>
      </c>
      <c r="D60" s="138" t="s">
        <v>247</v>
      </c>
      <c r="E60" s="18">
        <v>186282967</v>
      </c>
      <c r="F60" s="143">
        <v>26330</v>
      </c>
      <c r="G60" s="69"/>
      <c r="H60" s="69"/>
      <c r="I60" s="28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</row>
    <row r="61" spans="1:118" s="7" customFormat="1" ht="15.6" x14ac:dyDescent="0.3">
      <c r="A61" s="44" t="s">
        <v>248</v>
      </c>
      <c r="B61" s="137" t="s">
        <v>249</v>
      </c>
      <c r="C61" s="137" t="s">
        <v>250</v>
      </c>
      <c r="D61" s="138" t="s">
        <v>251</v>
      </c>
      <c r="E61" s="18">
        <v>186282967</v>
      </c>
      <c r="F61" s="143">
        <v>29916</v>
      </c>
      <c r="G61" s="69">
        <v>4</v>
      </c>
      <c r="H61" s="69">
        <v>6100407</v>
      </c>
      <c r="I61" s="28" t="s">
        <v>252</v>
      </c>
      <c r="J61" s="36"/>
      <c r="K61" s="36"/>
      <c r="L61" s="40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</row>
    <row r="62" spans="1:118" s="7" customFormat="1" ht="15.6" x14ac:dyDescent="0.3">
      <c r="A62" s="44" t="s">
        <v>253</v>
      </c>
      <c r="B62" s="183" t="s">
        <v>254</v>
      </c>
      <c r="C62" s="183">
        <v>1246706411</v>
      </c>
      <c r="D62" s="138" t="s">
        <v>255</v>
      </c>
      <c r="E62" s="18">
        <v>186282967</v>
      </c>
      <c r="F62" s="143">
        <v>31887</v>
      </c>
      <c r="G62" s="69"/>
      <c r="H62" s="69"/>
      <c r="I62" s="28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</row>
    <row r="63" spans="1:118" s="7" customFormat="1" ht="15.6" x14ac:dyDescent="0.3">
      <c r="A63" s="44" t="s">
        <v>256</v>
      </c>
      <c r="B63" s="137" t="s">
        <v>257</v>
      </c>
      <c r="C63" s="137" t="s">
        <v>258</v>
      </c>
      <c r="D63" s="138" t="s">
        <v>259</v>
      </c>
      <c r="E63" s="18">
        <v>186282967</v>
      </c>
      <c r="F63" s="143">
        <v>32216</v>
      </c>
      <c r="G63" s="77">
        <v>3</v>
      </c>
      <c r="H63" s="69">
        <v>6000327</v>
      </c>
      <c r="I63" s="28" t="s">
        <v>26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</row>
    <row r="64" spans="1:118" s="7" customFormat="1" ht="15.6" x14ac:dyDescent="0.3">
      <c r="A64" s="44" t="s">
        <v>260</v>
      </c>
      <c r="B64" s="137" t="s">
        <v>261</v>
      </c>
      <c r="C64" s="137" t="s">
        <v>262</v>
      </c>
      <c r="D64" s="138" t="s">
        <v>263</v>
      </c>
      <c r="E64" s="18">
        <v>186282967</v>
      </c>
      <c r="F64" s="143">
        <v>35868</v>
      </c>
      <c r="G64" s="69"/>
      <c r="H64" s="69"/>
      <c r="I64" s="28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</row>
    <row r="65" spans="1:118" s="7" customFormat="1" ht="15.6" x14ac:dyDescent="0.3">
      <c r="A65" s="44" t="s">
        <v>264</v>
      </c>
      <c r="B65" s="137" t="s">
        <v>265</v>
      </c>
      <c r="C65" s="137" t="s">
        <v>266</v>
      </c>
      <c r="D65" s="138" t="s">
        <v>267</v>
      </c>
      <c r="E65" s="18">
        <v>186282967</v>
      </c>
      <c r="F65" s="143">
        <v>33384</v>
      </c>
      <c r="G65" s="77">
        <v>3</v>
      </c>
      <c r="H65" s="69">
        <v>6000327</v>
      </c>
      <c r="I65" s="28" t="s">
        <v>26</v>
      </c>
      <c r="J65" s="36"/>
      <c r="K65" s="36" t="s">
        <v>268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</row>
    <row r="66" spans="1:118" s="7" customFormat="1" ht="15.6" x14ac:dyDescent="0.3">
      <c r="A66" s="44" t="s">
        <v>269</v>
      </c>
      <c r="B66" s="137" t="s">
        <v>270</v>
      </c>
      <c r="C66" s="137" t="s">
        <v>271</v>
      </c>
      <c r="D66" s="138" t="s">
        <v>272</v>
      </c>
      <c r="E66" s="18">
        <v>186282967</v>
      </c>
      <c r="F66" s="143">
        <v>31453</v>
      </c>
      <c r="G66" s="77"/>
      <c r="H66" s="69"/>
      <c r="I66" s="28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</row>
    <row r="67" spans="1:118" s="7" customFormat="1" ht="15.6" x14ac:dyDescent="0.3">
      <c r="A67" s="44" t="s">
        <v>273</v>
      </c>
      <c r="B67" s="137" t="s">
        <v>274</v>
      </c>
      <c r="C67" s="137" t="s">
        <v>275</v>
      </c>
      <c r="D67" s="138" t="s">
        <v>276</v>
      </c>
      <c r="E67" s="18">
        <v>186282967</v>
      </c>
      <c r="F67" s="143">
        <v>28967</v>
      </c>
      <c r="G67" s="77"/>
      <c r="H67" s="69"/>
      <c r="I67" s="28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</row>
    <row r="68" spans="1:118" s="7" customFormat="1" ht="15.6" x14ac:dyDescent="0.3">
      <c r="A68" s="44" t="s">
        <v>277</v>
      </c>
      <c r="B68" s="137" t="s">
        <v>278</v>
      </c>
      <c r="C68" s="137" t="s">
        <v>279</v>
      </c>
      <c r="D68" s="138" t="s">
        <v>280</v>
      </c>
      <c r="E68" s="18">
        <v>186282967</v>
      </c>
      <c r="F68" s="143">
        <v>33255</v>
      </c>
      <c r="G68" s="77">
        <v>3</v>
      </c>
      <c r="H68" s="69">
        <v>6000327</v>
      </c>
      <c r="I68" s="28" t="s">
        <v>26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</row>
    <row r="69" spans="1:118" s="7" customFormat="1" ht="15.6" x14ac:dyDescent="0.3">
      <c r="A69" s="44" t="s">
        <v>281</v>
      </c>
      <c r="B69" s="137" t="s">
        <v>282</v>
      </c>
      <c r="C69" s="137">
        <v>1196981076</v>
      </c>
      <c r="D69" s="138" t="s">
        <v>283</v>
      </c>
      <c r="E69" s="18">
        <v>186282967</v>
      </c>
      <c r="F69" s="143">
        <v>29178</v>
      </c>
      <c r="G69" s="77"/>
      <c r="H69" s="69"/>
      <c r="I69" s="28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</row>
    <row r="70" spans="1:118" s="7" customFormat="1" ht="15.6" x14ac:dyDescent="0.3">
      <c r="A70" s="44" t="s">
        <v>284</v>
      </c>
      <c r="B70" s="137">
        <v>301096910963</v>
      </c>
      <c r="C70" s="137" t="s">
        <v>285</v>
      </c>
      <c r="D70" s="138" t="s">
        <v>286</v>
      </c>
      <c r="E70" s="18">
        <v>186282967</v>
      </c>
      <c r="F70" s="143">
        <v>33569</v>
      </c>
      <c r="G70" s="77"/>
      <c r="H70" s="69"/>
      <c r="I70" s="28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</row>
    <row r="71" spans="1:118" s="7" customFormat="1" ht="15.6" x14ac:dyDescent="0.3">
      <c r="A71" s="44" t="s">
        <v>287</v>
      </c>
      <c r="B71" s="137" t="s">
        <v>288</v>
      </c>
      <c r="C71" s="137" t="s">
        <v>289</v>
      </c>
      <c r="D71" s="138" t="s">
        <v>290</v>
      </c>
      <c r="E71" s="18">
        <v>186282967</v>
      </c>
      <c r="F71" s="143">
        <v>28752</v>
      </c>
      <c r="G71" s="77"/>
      <c r="H71" s="69"/>
      <c r="I71" s="28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</row>
    <row r="72" spans="1:118" s="7" customFormat="1" ht="15.6" x14ac:dyDescent="0.3">
      <c r="A72" s="44" t="s">
        <v>291</v>
      </c>
      <c r="B72" s="137" t="s">
        <v>292</v>
      </c>
      <c r="C72" s="137" t="s">
        <v>293</v>
      </c>
      <c r="D72" s="138" t="s">
        <v>294</v>
      </c>
      <c r="E72" s="18">
        <v>186282967</v>
      </c>
      <c r="F72" s="143">
        <v>33030</v>
      </c>
      <c r="G72" s="77">
        <v>3</v>
      </c>
      <c r="H72" s="69">
        <v>6000327</v>
      </c>
      <c r="I72" s="28" t="s">
        <v>26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</row>
    <row r="73" spans="1:118" s="7" customFormat="1" ht="15.6" x14ac:dyDescent="0.3">
      <c r="A73" s="44" t="s">
        <v>295</v>
      </c>
      <c r="B73" s="137" t="s">
        <v>296</v>
      </c>
      <c r="C73" s="137">
        <v>1371518230</v>
      </c>
      <c r="D73" s="138" t="s">
        <v>297</v>
      </c>
      <c r="E73" s="18">
        <v>186282967</v>
      </c>
      <c r="F73" s="143">
        <v>33119</v>
      </c>
      <c r="G73" s="77">
        <v>3</v>
      </c>
      <c r="H73" s="69">
        <v>6000327</v>
      </c>
      <c r="I73" s="28" t="s">
        <v>26</v>
      </c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</row>
    <row r="74" spans="1:118" s="7" customFormat="1" ht="15.6" x14ac:dyDescent="0.3">
      <c r="A74" s="44" t="s">
        <v>298</v>
      </c>
      <c r="B74" s="137" t="s">
        <v>299</v>
      </c>
      <c r="C74" s="137" t="s">
        <v>300</v>
      </c>
      <c r="D74" s="138" t="s">
        <v>301</v>
      </c>
      <c r="E74" s="18">
        <v>182521791</v>
      </c>
      <c r="F74" s="143">
        <v>34538</v>
      </c>
      <c r="G74" s="77"/>
      <c r="H74" s="69"/>
      <c r="I74" s="28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</row>
    <row r="75" spans="1:118" s="7" customFormat="1" ht="15.6" x14ac:dyDescent="0.3">
      <c r="A75" s="44" t="s">
        <v>302</v>
      </c>
      <c r="B75" s="137" t="s">
        <v>303</v>
      </c>
      <c r="C75" s="137" t="s">
        <v>304</v>
      </c>
      <c r="D75" s="138" t="s">
        <v>305</v>
      </c>
      <c r="E75" s="18">
        <v>186282967</v>
      </c>
      <c r="F75" s="143">
        <v>28961</v>
      </c>
      <c r="G75" s="77"/>
      <c r="H75" s="69"/>
      <c r="I75" s="28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</row>
    <row r="76" spans="1:118" s="7" customFormat="1" ht="15.6" x14ac:dyDescent="0.3">
      <c r="A76" s="44" t="s">
        <v>306</v>
      </c>
      <c r="B76" s="137" t="s">
        <v>307</v>
      </c>
      <c r="C76" s="137" t="s">
        <v>308</v>
      </c>
      <c r="D76" s="138" t="s">
        <v>309</v>
      </c>
      <c r="E76" s="18">
        <v>186282967</v>
      </c>
      <c r="F76" s="143">
        <v>33350</v>
      </c>
      <c r="G76" s="77"/>
      <c r="H76" s="69"/>
      <c r="I76" s="28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</row>
    <row r="77" spans="1:118" s="7" customFormat="1" ht="15.6" x14ac:dyDescent="0.3">
      <c r="A77" s="44" t="s">
        <v>310</v>
      </c>
      <c r="B77" s="137" t="s">
        <v>311</v>
      </c>
      <c r="C77" s="137" t="s">
        <v>312</v>
      </c>
      <c r="D77" s="138" t="s">
        <v>313</v>
      </c>
      <c r="E77" s="18">
        <v>186282967</v>
      </c>
      <c r="F77" s="143">
        <v>22733</v>
      </c>
      <c r="G77" s="77">
        <v>3</v>
      </c>
      <c r="H77" s="69">
        <v>6000325</v>
      </c>
      <c r="I77" s="28" t="s">
        <v>151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</row>
    <row r="78" spans="1:118" s="7" customFormat="1" ht="15.6" x14ac:dyDescent="0.3">
      <c r="A78" s="44" t="s">
        <v>314</v>
      </c>
      <c r="B78" s="137" t="s">
        <v>315</v>
      </c>
      <c r="C78" s="137" t="s">
        <v>316</v>
      </c>
      <c r="D78" s="138" t="s">
        <v>317</v>
      </c>
      <c r="E78" s="18">
        <v>186282967</v>
      </c>
      <c r="F78" s="143">
        <v>29025</v>
      </c>
      <c r="G78" s="77"/>
      <c r="H78" s="69"/>
      <c r="I78" s="28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</row>
    <row r="79" spans="1:118" s="7" customFormat="1" ht="15.6" x14ac:dyDescent="0.3">
      <c r="A79" s="44" t="s">
        <v>318</v>
      </c>
      <c r="B79" s="137" t="s">
        <v>319</v>
      </c>
      <c r="C79" s="137" t="s">
        <v>320</v>
      </c>
      <c r="D79" s="138" t="s">
        <v>321</v>
      </c>
      <c r="E79" s="18">
        <v>186282967</v>
      </c>
      <c r="F79" s="143">
        <v>34748</v>
      </c>
      <c r="G79" s="77"/>
      <c r="H79" s="69"/>
      <c r="I79" s="28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</row>
    <row r="80" spans="1:118" s="7" customFormat="1" ht="15.6" x14ac:dyDescent="0.3">
      <c r="A80" s="44" t="s">
        <v>322</v>
      </c>
      <c r="B80" s="137" t="s">
        <v>323</v>
      </c>
      <c r="C80" s="137" t="s">
        <v>324</v>
      </c>
      <c r="D80" s="138" t="s">
        <v>325</v>
      </c>
      <c r="E80" s="18">
        <v>186282967</v>
      </c>
      <c r="F80" s="143">
        <v>34818</v>
      </c>
      <c r="G80" s="77"/>
      <c r="H80" s="69"/>
      <c r="I80" s="28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</row>
    <row r="81" spans="1:118" s="7" customFormat="1" ht="15.6" x14ac:dyDescent="0.3">
      <c r="A81" s="44" t="s">
        <v>326</v>
      </c>
      <c r="B81" s="137" t="s">
        <v>327</v>
      </c>
      <c r="C81" s="137" t="s">
        <v>328</v>
      </c>
      <c r="D81" s="138" t="s">
        <v>329</v>
      </c>
      <c r="E81" s="18">
        <v>186282967</v>
      </c>
      <c r="F81" s="143">
        <v>28796</v>
      </c>
      <c r="G81" s="77">
        <v>3</v>
      </c>
      <c r="H81" s="69">
        <v>6000325</v>
      </c>
      <c r="I81" s="28" t="s">
        <v>151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</row>
    <row r="82" spans="1:118" s="7" customFormat="1" ht="15.6" x14ac:dyDescent="0.3">
      <c r="A82" s="44" t="s">
        <v>330</v>
      </c>
      <c r="B82" s="137" t="s">
        <v>331</v>
      </c>
      <c r="C82" s="137" t="s">
        <v>332</v>
      </c>
      <c r="D82" s="138" t="s">
        <v>333</v>
      </c>
      <c r="E82" s="18">
        <v>186282967</v>
      </c>
      <c r="F82" s="143">
        <v>29971</v>
      </c>
      <c r="G82" s="77">
        <v>3</v>
      </c>
      <c r="H82" s="69">
        <v>6000325</v>
      </c>
      <c r="I82" s="28" t="s">
        <v>151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</row>
    <row r="83" spans="1:118" s="7" customFormat="1" ht="15.6" x14ac:dyDescent="0.3">
      <c r="A83" s="44" t="s">
        <v>334</v>
      </c>
      <c r="B83" s="137" t="s">
        <v>335</v>
      </c>
      <c r="C83" s="137" t="s">
        <v>336</v>
      </c>
      <c r="D83" s="138" t="s">
        <v>337</v>
      </c>
      <c r="E83" s="18">
        <v>186282967</v>
      </c>
      <c r="F83" s="143">
        <v>27430</v>
      </c>
      <c r="G83" s="77">
        <v>3</v>
      </c>
      <c r="H83" s="69">
        <v>6000327</v>
      </c>
      <c r="I83" s="28" t="s">
        <v>26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</row>
    <row r="84" spans="1:118" s="7" customFormat="1" ht="15.6" x14ac:dyDescent="0.3">
      <c r="A84" s="44" t="s">
        <v>338</v>
      </c>
      <c r="B84" s="137" t="s">
        <v>339</v>
      </c>
      <c r="C84" s="137" t="s">
        <v>340</v>
      </c>
      <c r="D84" s="138" t="s">
        <v>341</v>
      </c>
      <c r="E84" s="18">
        <v>205946382</v>
      </c>
      <c r="F84" s="143">
        <v>29958</v>
      </c>
      <c r="G84" s="77"/>
      <c r="H84" s="69"/>
      <c r="I84" s="28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</row>
    <row r="85" spans="1:118" s="7" customFormat="1" ht="15.6" x14ac:dyDescent="0.3">
      <c r="A85" s="44" t="s">
        <v>342</v>
      </c>
      <c r="B85" s="137" t="s">
        <v>343</v>
      </c>
      <c r="C85" s="137" t="s">
        <v>344</v>
      </c>
      <c r="D85" s="138" t="s">
        <v>345</v>
      </c>
      <c r="E85" s="18">
        <v>186282967</v>
      </c>
      <c r="F85" s="143">
        <v>28109</v>
      </c>
      <c r="G85" s="77">
        <v>3</v>
      </c>
      <c r="H85" s="69">
        <v>6000325</v>
      </c>
      <c r="I85" s="28" t="s">
        <v>151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</row>
    <row r="86" spans="1:118" s="7" customFormat="1" ht="15.6" x14ac:dyDescent="0.3">
      <c r="A86" s="44" t="s">
        <v>346</v>
      </c>
      <c r="B86" s="137" t="s">
        <v>347</v>
      </c>
      <c r="C86" s="137" t="s">
        <v>348</v>
      </c>
      <c r="D86" s="138" t="s">
        <v>349</v>
      </c>
      <c r="E86" s="18">
        <v>186282967</v>
      </c>
      <c r="F86" s="143">
        <v>31632</v>
      </c>
      <c r="G86" s="77"/>
      <c r="H86" s="69"/>
      <c r="I86" s="28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</row>
    <row r="87" spans="1:118" s="7" customFormat="1" ht="15.6" x14ac:dyDescent="0.3">
      <c r="A87" s="44" t="s">
        <v>350</v>
      </c>
      <c r="B87" s="137" t="s">
        <v>351</v>
      </c>
      <c r="C87" s="137" t="s">
        <v>352</v>
      </c>
      <c r="D87" s="138" t="s">
        <v>353</v>
      </c>
      <c r="E87" s="18">
        <v>186282967</v>
      </c>
      <c r="F87" s="143">
        <v>33621</v>
      </c>
      <c r="G87" s="77"/>
      <c r="H87" s="69"/>
      <c r="I87" s="28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</row>
    <row r="88" spans="1:118" s="7" customFormat="1" ht="15.6" x14ac:dyDescent="0.3">
      <c r="A88" s="44" t="s">
        <v>354</v>
      </c>
      <c r="B88" s="137" t="s">
        <v>355</v>
      </c>
      <c r="C88" s="137" t="s">
        <v>356</v>
      </c>
      <c r="D88" s="138" t="s">
        <v>357</v>
      </c>
      <c r="E88" s="18">
        <v>205946382</v>
      </c>
      <c r="F88" s="143">
        <v>23709</v>
      </c>
      <c r="G88" s="77"/>
      <c r="H88" s="69"/>
      <c r="I88" s="28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</row>
    <row r="89" spans="1:118" s="7" customFormat="1" ht="15.6" x14ac:dyDescent="0.3">
      <c r="A89" s="44" t="s">
        <v>358</v>
      </c>
      <c r="B89" s="137" t="s">
        <v>359</v>
      </c>
      <c r="C89" s="137">
        <v>1193672770</v>
      </c>
      <c r="D89" s="138" t="s">
        <v>360</v>
      </c>
      <c r="E89" s="18">
        <v>186282967</v>
      </c>
      <c r="F89" s="143">
        <v>32733</v>
      </c>
      <c r="G89" s="77"/>
      <c r="H89" s="69"/>
      <c r="I89" s="28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</row>
    <row r="90" spans="1:118" s="7" customFormat="1" ht="15.6" x14ac:dyDescent="0.3">
      <c r="A90" s="44" t="s">
        <v>361</v>
      </c>
      <c r="B90" s="137" t="s">
        <v>362</v>
      </c>
      <c r="C90" s="137" t="s">
        <v>363</v>
      </c>
      <c r="D90" s="138" t="s">
        <v>364</v>
      </c>
      <c r="E90" s="18" t="s">
        <v>365</v>
      </c>
      <c r="F90" s="143">
        <v>30693</v>
      </c>
      <c r="G90" s="77"/>
      <c r="H90" s="69"/>
      <c r="I90" s="28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</row>
    <row r="91" spans="1:118" s="7" customFormat="1" ht="15.6" x14ac:dyDescent="0.3">
      <c r="A91" s="44" t="s">
        <v>366</v>
      </c>
      <c r="B91" s="137" t="s">
        <v>367</v>
      </c>
      <c r="C91" s="137" t="s">
        <v>368</v>
      </c>
      <c r="D91" s="138" t="s">
        <v>369</v>
      </c>
      <c r="E91" s="18">
        <v>186282967</v>
      </c>
      <c r="F91" s="143">
        <v>34214</v>
      </c>
      <c r="G91" s="77">
        <v>3</v>
      </c>
      <c r="H91" s="69">
        <v>6000320</v>
      </c>
      <c r="I91" s="28" t="s">
        <v>168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</row>
    <row r="92" spans="1:118" s="7" customFormat="1" ht="15.6" x14ac:dyDescent="0.3">
      <c r="A92" s="44" t="s">
        <v>370</v>
      </c>
      <c r="B92" s="137" t="s">
        <v>371</v>
      </c>
      <c r="C92" s="137" t="s">
        <v>372</v>
      </c>
      <c r="D92" s="138" t="s">
        <v>373</v>
      </c>
      <c r="E92" s="18">
        <v>186282967</v>
      </c>
      <c r="F92" s="143">
        <v>28646</v>
      </c>
      <c r="G92" s="77">
        <v>3</v>
      </c>
      <c r="H92" s="69">
        <v>6000325</v>
      </c>
      <c r="I92" s="28" t="s">
        <v>151</v>
      </c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</row>
    <row r="93" spans="1:118" s="7" customFormat="1" ht="15.6" x14ac:dyDescent="0.3">
      <c r="A93" s="44" t="s">
        <v>374</v>
      </c>
      <c r="B93" s="137" t="s">
        <v>375</v>
      </c>
      <c r="C93" s="137" t="s">
        <v>376</v>
      </c>
      <c r="D93" s="138" t="s">
        <v>377</v>
      </c>
      <c r="E93" s="18">
        <v>186282967</v>
      </c>
      <c r="F93" s="143">
        <v>30680</v>
      </c>
      <c r="G93" s="77"/>
      <c r="H93" s="69"/>
      <c r="I93" s="28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</row>
    <row r="94" spans="1:118" s="7" customFormat="1" ht="15.6" x14ac:dyDescent="0.3">
      <c r="A94" s="44" t="s">
        <v>378</v>
      </c>
      <c r="B94" s="137" t="s">
        <v>379</v>
      </c>
      <c r="C94" s="137" t="s">
        <v>380</v>
      </c>
      <c r="D94" s="138" t="s">
        <v>381</v>
      </c>
      <c r="E94" s="18">
        <v>186282967</v>
      </c>
      <c r="F94" s="143">
        <v>26049</v>
      </c>
      <c r="G94" s="77"/>
      <c r="H94" s="69"/>
      <c r="I94" s="28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</row>
    <row r="95" spans="1:118" s="7" customFormat="1" ht="15.6" x14ac:dyDescent="0.3">
      <c r="A95" s="44" t="s">
        <v>382</v>
      </c>
      <c r="B95" s="137" t="s">
        <v>383</v>
      </c>
      <c r="C95" s="137" t="s">
        <v>384</v>
      </c>
      <c r="D95" s="138" t="s">
        <v>385</v>
      </c>
      <c r="E95" s="18">
        <v>186282967</v>
      </c>
      <c r="F95" s="143">
        <v>21210</v>
      </c>
      <c r="G95" s="77"/>
      <c r="H95" s="69"/>
      <c r="I95" s="28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</row>
    <row r="96" spans="1:118" s="7" customFormat="1" ht="15.6" x14ac:dyDescent="0.3">
      <c r="A96" s="44" t="s">
        <v>386</v>
      </c>
      <c r="B96" s="137" t="s">
        <v>387</v>
      </c>
      <c r="C96" s="137" t="s">
        <v>388</v>
      </c>
      <c r="D96" s="138" t="s">
        <v>389</v>
      </c>
      <c r="E96" s="18">
        <v>186282967</v>
      </c>
      <c r="F96" s="143">
        <v>28421</v>
      </c>
      <c r="G96" s="77"/>
      <c r="H96" s="69"/>
      <c r="I96" s="28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</row>
    <row r="97" spans="1:118" s="7" customFormat="1" ht="15.6" x14ac:dyDescent="0.3">
      <c r="A97" s="44" t="s">
        <v>390</v>
      </c>
      <c r="B97" s="137" t="s">
        <v>391</v>
      </c>
      <c r="C97" s="137" t="s">
        <v>392</v>
      </c>
      <c r="D97" s="138" t="s">
        <v>393</v>
      </c>
      <c r="E97" s="18">
        <v>186282967</v>
      </c>
      <c r="F97" s="143">
        <v>32501</v>
      </c>
      <c r="G97" s="77"/>
      <c r="H97" s="69"/>
      <c r="I97" s="28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</row>
    <row r="98" spans="1:118" s="7" customFormat="1" ht="15.6" x14ac:dyDescent="0.3">
      <c r="A98" s="44" t="s">
        <v>394</v>
      </c>
      <c r="B98" s="137" t="s">
        <v>395</v>
      </c>
      <c r="C98" s="137" t="s">
        <v>396</v>
      </c>
      <c r="D98" s="138" t="s">
        <v>397</v>
      </c>
      <c r="E98" s="18">
        <v>186282967</v>
      </c>
      <c r="F98" s="143">
        <v>32403</v>
      </c>
      <c r="G98" s="77">
        <v>3</v>
      </c>
      <c r="H98" s="69">
        <v>6000325</v>
      </c>
      <c r="I98" s="28" t="s">
        <v>151</v>
      </c>
      <c r="J98" s="36"/>
      <c r="K98" s="36" t="s">
        <v>398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</row>
    <row r="99" spans="1:118" s="7" customFormat="1" ht="15.6" x14ac:dyDescent="0.3">
      <c r="A99" s="44" t="s">
        <v>399</v>
      </c>
      <c r="B99" s="137" t="s">
        <v>400</v>
      </c>
      <c r="C99" s="137" t="s">
        <v>401</v>
      </c>
      <c r="D99" s="138" t="s">
        <v>402</v>
      </c>
      <c r="E99" s="18">
        <v>186282967</v>
      </c>
      <c r="F99" s="143">
        <v>31746</v>
      </c>
      <c r="G99" s="77"/>
      <c r="H99" s="69"/>
      <c r="I99" s="28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</row>
    <row r="100" spans="1:118" s="7" customFormat="1" ht="15.6" x14ac:dyDescent="0.3">
      <c r="A100" s="44" t="s">
        <v>403</v>
      </c>
      <c r="B100" s="137" t="s">
        <v>404</v>
      </c>
      <c r="C100" s="137" t="s">
        <v>405</v>
      </c>
      <c r="D100" s="138" t="s">
        <v>406</v>
      </c>
      <c r="E100" s="18">
        <v>186282967</v>
      </c>
      <c r="F100" s="143">
        <v>28837</v>
      </c>
      <c r="G100" s="77"/>
      <c r="H100" s="69"/>
      <c r="I100" s="28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</row>
    <row r="101" spans="1:118" s="7" customFormat="1" ht="15.6" x14ac:dyDescent="0.3">
      <c r="A101" s="44" t="s">
        <v>407</v>
      </c>
      <c r="B101" s="137" t="s">
        <v>408</v>
      </c>
      <c r="C101" s="137" t="s">
        <v>409</v>
      </c>
      <c r="D101" s="138" t="s">
        <v>410</v>
      </c>
      <c r="E101" s="18">
        <v>186282967</v>
      </c>
      <c r="F101" s="143">
        <v>31991</v>
      </c>
      <c r="G101" s="77"/>
      <c r="H101" s="69"/>
      <c r="I101" s="28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</row>
    <row r="102" spans="1:118" s="7" customFormat="1" ht="15.6" x14ac:dyDescent="0.3">
      <c r="A102" s="44" t="s">
        <v>411</v>
      </c>
      <c r="B102" s="137" t="s">
        <v>412</v>
      </c>
      <c r="C102" s="137" t="s">
        <v>413</v>
      </c>
      <c r="D102" s="138" t="s">
        <v>414</v>
      </c>
      <c r="E102" s="18">
        <v>186282967</v>
      </c>
      <c r="F102" s="143">
        <v>25555</v>
      </c>
      <c r="G102" s="77"/>
      <c r="H102" s="69"/>
      <c r="I102" s="28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</row>
    <row r="103" spans="1:118" s="7" customFormat="1" ht="15.6" x14ac:dyDescent="0.3">
      <c r="A103" s="44" t="s">
        <v>415</v>
      </c>
      <c r="B103" s="137" t="s">
        <v>416</v>
      </c>
      <c r="C103" s="137" t="s">
        <v>417</v>
      </c>
      <c r="D103" s="138" t="s">
        <v>418</v>
      </c>
      <c r="E103" s="18">
        <v>186282967</v>
      </c>
      <c r="F103" s="143">
        <v>30536</v>
      </c>
      <c r="G103" s="77">
        <v>3</v>
      </c>
      <c r="H103" s="69">
        <v>6000325</v>
      </c>
      <c r="I103" s="28" t="s">
        <v>151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</row>
    <row r="104" spans="1:118" s="7" customFormat="1" ht="15.6" x14ac:dyDescent="0.3">
      <c r="A104" s="44" t="s">
        <v>419</v>
      </c>
      <c r="B104" s="137" t="s">
        <v>420</v>
      </c>
      <c r="C104" s="137" t="s">
        <v>421</v>
      </c>
      <c r="D104" s="138" t="s">
        <v>422</v>
      </c>
      <c r="E104" s="18">
        <v>186282967</v>
      </c>
      <c r="F104" s="143">
        <v>32706</v>
      </c>
      <c r="G104" s="77">
        <v>3</v>
      </c>
      <c r="H104" s="69">
        <v>6000327</v>
      </c>
      <c r="I104" s="28" t="s">
        <v>26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</row>
    <row r="105" spans="1:118" s="7" customFormat="1" ht="15.6" x14ac:dyDescent="0.3">
      <c r="A105" s="44" t="s">
        <v>423</v>
      </c>
      <c r="B105" s="137" t="s">
        <v>424</v>
      </c>
      <c r="C105" s="137" t="s">
        <v>425</v>
      </c>
      <c r="D105" s="138" t="s">
        <v>426</v>
      </c>
      <c r="E105" s="18">
        <v>186282967</v>
      </c>
      <c r="F105" s="143">
        <v>30082</v>
      </c>
      <c r="G105" s="77"/>
      <c r="H105" s="69"/>
      <c r="I105" s="28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</row>
    <row r="106" spans="1:118" s="7" customFormat="1" ht="15.6" x14ac:dyDescent="0.3">
      <c r="A106" s="44" t="s">
        <v>427</v>
      </c>
      <c r="B106" s="137" t="s">
        <v>428</v>
      </c>
      <c r="C106" s="137" t="s">
        <v>429</v>
      </c>
      <c r="D106" s="138" t="s">
        <v>430</v>
      </c>
      <c r="E106" s="18">
        <v>186282967</v>
      </c>
      <c r="F106" s="143">
        <v>26985</v>
      </c>
      <c r="G106" s="77">
        <v>3</v>
      </c>
      <c r="H106" s="69">
        <v>6000325</v>
      </c>
      <c r="I106" s="28" t="s">
        <v>151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</row>
    <row r="107" spans="1:118" s="7" customFormat="1" ht="15.6" x14ac:dyDescent="0.3">
      <c r="A107" s="44" t="s">
        <v>431</v>
      </c>
      <c r="B107" s="137" t="s">
        <v>432</v>
      </c>
      <c r="C107" s="137" t="s">
        <v>433</v>
      </c>
      <c r="D107" s="138" t="s">
        <v>434</v>
      </c>
      <c r="E107" s="18">
        <v>186282967</v>
      </c>
      <c r="F107" s="143">
        <v>31637</v>
      </c>
      <c r="G107" s="77"/>
      <c r="H107" s="69"/>
      <c r="I107" s="28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</row>
    <row r="108" spans="1:118" s="7" customFormat="1" ht="15.6" x14ac:dyDescent="0.3">
      <c r="A108" s="44" t="s">
        <v>435</v>
      </c>
      <c r="B108" s="137" t="s">
        <v>436</v>
      </c>
      <c r="C108" s="137">
        <v>1013828104</v>
      </c>
      <c r="D108" s="138" t="s">
        <v>437</v>
      </c>
      <c r="E108" s="18">
        <v>186282967</v>
      </c>
      <c r="F108" s="143">
        <v>26740</v>
      </c>
      <c r="G108" s="77">
        <v>3</v>
      </c>
      <c r="H108" s="69">
        <v>6000320</v>
      </c>
      <c r="I108" s="28" t="s">
        <v>31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</row>
    <row r="109" spans="1:118" s="7" customFormat="1" ht="15.6" x14ac:dyDescent="0.3">
      <c r="A109" s="44" t="s">
        <v>438</v>
      </c>
      <c r="B109" s="137" t="s">
        <v>439</v>
      </c>
      <c r="C109" s="137">
        <v>1158399126</v>
      </c>
      <c r="D109" s="138" t="s">
        <v>440</v>
      </c>
      <c r="E109" s="18">
        <v>186282967</v>
      </c>
      <c r="F109" s="143">
        <v>31781</v>
      </c>
      <c r="G109" s="77"/>
      <c r="H109" s="69"/>
      <c r="I109" s="28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</row>
    <row r="110" spans="1:118" s="7" customFormat="1" ht="15.6" x14ac:dyDescent="0.3">
      <c r="A110" s="44" t="s">
        <v>441</v>
      </c>
      <c r="B110" s="137" t="s">
        <v>442</v>
      </c>
      <c r="C110" s="137">
        <v>1280923664</v>
      </c>
      <c r="D110" s="138" t="s">
        <v>443</v>
      </c>
      <c r="E110" s="18">
        <v>186282967</v>
      </c>
      <c r="F110" s="143">
        <v>35823</v>
      </c>
      <c r="G110" s="77"/>
      <c r="H110" s="69"/>
      <c r="I110" s="28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</row>
    <row r="111" spans="1:118" s="7" customFormat="1" ht="15.6" x14ac:dyDescent="0.3">
      <c r="A111" s="44" t="s">
        <v>444</v>
      </c>
      <c r="B111" s="137" t="s">
        <v>445</v>
      </c>
      <c r="C111" s="137">
        <v>1243153682</v>
      </c>
      <c r="D111" s="138" t="s">
        <v>446</v>
      </c>
      <c r="E111" s="18">
        <v>186282967</v>
      </c>
      <c r="F111" s="143">
        <v>34309</v>
      </c>
      <c r="G111" s="77"/>
      <c r="H111" s="69"/>
      <c r="I111" s="28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</row>
    <row r="112" spans="1:118" s="7" customFormat="1" ht="15.6" x14ac:dyDescent="0.3">
      <c r="A112" s="44" t="s">
        <v>447</v>
      </c>
      <c r="B112" s="137" t="s">
        <v>448</v>
      </c>
      <c r="C112" s="137" t="s">
        <v>449</v>
      </c>
      <c r="D112" s="138" t="s">
        <v>450</v>
      </c>
      <c r="E112" s="18">
        <v>186282967</v>
      </c>
      <c r="F112" s="143">
        <v>29929</v>
      </c>
      <c r="G112" s="77">
        <v>3</v>
      </c>
      <c r="H112" s="69">
        <v>6000326</v>
      </c>
      <c r="I112" s="28" t="s">
        <v>451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</row>
    <row r="113" spans="1:118" s="7" customFormat="1" ht="15.6" x14ac:dyDescent="0.3">
      <c r="A113" s="44" t="s">
        <v>452</v>
      </c>
      <c r="B113" s="137" t="s">
        <v>453</v>
      </c>
      <c r="C113" s="137" t="s">
        <v>454</v>
      </c>
      <c r="D113" s="138" t="s">
        <v>455</v>
      </c>
      <c r="E113" s="18">
        <v>186282967</v>
      </c>
      <c r="F113" s="143">
        <v>28456</v>
      </c>
      <c r="G113" s="77"/>
      <c r="H113" s="69"/>
      <c r="I113" s="28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</row>
    <row r="114" spans="1:118" s="7" customFormat="1" ht="15.6" x14ac:dyDescent="0.3">
      <c r="A114" s="44" t="s">
        <v>456</v>
      </c>
      <c r="B114" s="137" t="s">
        <v>457</v>
      </c>
      <c r="C114" s="137">
        <v>1136855729</v>
      </c>
      <c r="D114" s="138" t="s">
        <v>458</v>
      </c>
      <c r="E114" s="18">
        <v>186282967</v>
      </c>
      <c r="F114" s="143">
        <v>31660</v>
      </c>
      <c r="G114" s="77"/>
      <c r="H114" s="69"/>
      <c r="I114" s="28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</row>
    <row r="115" spans="1:118" s="7" customFormat="1" ht="15.6" x14ac:dyDescent="0.3">
      <c r="A115" s="44" t="s">
        <v>459</v>
      </c>
      <c r="B115" s="137" t="s">
        <v>460</v>
      </c>
      <c r="C115" s="137">
        <v>1066364112</v>
      </c>
      <c r="D115" s="138" t="s">
        <v>461</v>
      </c>
      <c r="E115" s="18">
        <v>186282967</v>
      </c>
      <c r="F115" s="143">
        <v>30459</v>
      </c>
      <c r="G115" s="77"/>
      <c r="H115" s="69"/>
      <c r="I115" s="28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</row>
    <row r="116" spans="1:118" s="7" customFormat="1" ht="15.6" x14ac:dyDescent="0.3">
      <c r="A116" s="44" t="s">
        <v>462</v>
      </c>
      <c r="B116" s="137" t="s">
        <v>463</v>
      </c>
      <c r="C116" s="137" t="s">
        <v>464</v>
      </c>
      <c r="D116" s="138" t="s">
        <v>465</v>
      </c>
      <c r="E116" s="18">
        <v>186282967</v>
      </c>
      <c r="F116" s="143">
        <v>29259</v>
      </c>
      <c r="G116" s="77"/>
      <c r="H116" s="69"/>
      <c r="I116" s="28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</row>
    <row r="117" spans="1:118" s="7" customFormat="1" ht="15.6" x14ac:dyDescent="0.3">
      <c r="A117" s="44" t="s">
        <v>466</v>
      </c>
      <c r="B117" s="137" t="s">
        <v>467</v>
      </c>
      <c r="C117" s="137">
        <v>1022104745</v>
      </c>
      <c r="D117" s="138" t="s">
        <v>468</v>
      </c>
      <c r="E117" s="18">
        <v>186282967</v>
      </c>
      <c r="F117" s="143">
        <v>30785</v>
      </c>
      <c r="G117" s="77">
        <v>3</v>
      </c>
      <c r="H117" s="69">
        <v>6000327</v>
      </c>
      <c r="I117" s="28" t="s">
        <v>26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</row>
    <row r="118" spans="1:118" s="7" customFormat="1" ht="15.6" x14ac:dyDescent="0.3">
      <c r="A118" s="44" t="s">
        <v>469</v>
      </c>
      <c r="B118" s="137" t="s">
        <v>470</v>
      </c>
      <c r="C118" s="137" t="s">
        <v>471</v>
      </c>
      <c r="D118" s="138" t="s">
        <v>472</v>
      </c>
      <c r="E118" s="18">
        <v>186282967</v>
      </c>
      <c r="F118" s="143">
        <v>28855</v>
      </c>
      <c r="G118" s="77"/>
      <c r="H118" s="69"/>
      <c r="I118" s="28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</row>
    <row r="119" spans="1:118" s="7" customFormat="1" ht="15.6" x14ac:dyDescent="0.3">
      <c r="A119" s="44" t="s">
        <v>473</v>
      </c>
      <c r="B119" s="137" t="s">
        <v>474</v>
      </c>
      <c r="C119" s="137" t="s">
        <v>475</v>
      </c>
      <c r="D119" s="138" t="s">
        <v>476</v>
      </c>
      <c r="E119" s="18"/>
      <c r="F119" s="143">
        <v>31390</v>
      </c>
      <c r="G119" s="77"/>
      <c r="H119" s="69"/>
      <c r="I119" s="28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</row>
    <row r="120" spans="1:118" s="7" customFormat="1" ht="15.6" x14ac:dyDescent="0.3">
      <c r="A120" s="44" t="s">
        <v>477</v>
      </c>
      <c r="B120" s="137" t="s">
        <v>478</v>
      </c>
      <c r="C120" s="137" t="s">
        <v>479</v>
      </c>
      <c r="D120" s="138" t="s">
        <v>480</v>
      </c>
      <c r="E120" s="18"/>
      <c r="F120" s="143">
        <v>26678</v>
      </c>
      <c r="G120" s="77"/>
      <c r="H120" s="69"/>
      <c r="I120" s="28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</row>
    <row r="121" spans="1:118" s="7" customFormat="1" ht="15.6" x14ac:dyDescent="0.3">
      <c r="A121" s="44" t="s">
        <v>481</v>
      </c>
      <c r="B121" s="137" t="s">
        <v>482</v>
      </c>
      <c r="C121" s="137" t="s">
        <v>483</v>
      </c>
      <c r="D121" s="138" t="s">
        <v>484</v>
      </c>
      <c r="E121" s="18"/>
      <c r="F121" s="143">
        <v>31983</v>
      </c>
      <c r="G121" s="77"/>
      <c r="H121" s="69"/>
      <c r="I121" s="28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</row>
    <row r="122" spans="1:118" s="7" customFormat="1" ht="15.6" x14ac:dyDescent="0.3">
      <c r="A122" s="44" t="s">
        <v>485</v>
      </c>
      <c r="B122" s="137" t="s">
        <v>486</v>
      </c>
      <c r="C122" s="137" t="s">
        <v>487</v>
      </c>
      <c r="D122" s="138" t="s">
        <v>488</v>
      </c>
      <c r="E122" s="18">
        <v>186282967</v>
      </c>
      <c r="F122" s="143">
        <v>36102</v>
      </c>
      <c r="G122" s="77"/>
      <c r="H122" s="69"/>
      <c r="I122" s="28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</row>
    <row r="123" spans="1:118" s="7" customFormat="1" ht="15.6" x14ac:dyDescent="0.3">
      <c r="A123" s="44" t="s">
        <v>489</v>
      </c>
      <c r="B123" s="137" t="s">
        <v>490</v>
      </c>
      <c r="C123" s="137" t="s">
        <v>491</v>
      </c>
      <c r="D123" s="138" t="s">
        <v>492</v>
      </c>
      <c r="E123" s="18">
        <v>186282967</v>
      </c>
      <c r="F123" s="143">
        <v>37386</v>
      </c>
      <c r="G123" s="77">
        <v>5</v>
      </c>
      <c r="H123" s="69">
        <v>6100523</v>
      </c>
      <c r="I123" s="28" t="s">
        <v>223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</row>
    <row r="124" spans="1:118" s="7" customFormat="1" ht="15.6" x14ac:dyDescent="0.3">
      <c r="A124" s="44" t="s">
        <v>493</v>
      </c>
      <c r="B124" s="137" t="s">
        <v>494</v>
      </c>
      <c r="C124" s="137">
        <v>1315423736</v>
      </c>
      <c r="D124" s="138" t="s">
        <v>495</v>
      </c>
      <c r="E124" s="18">
        <v>186282967</v>
      </c>
      <c r="F124" s="143">
        <v>33592</v>
      </c>
      <c r="G124" s="77"/>
      <c r="H124" s="69"/>
      <c r="I124" s="28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</row>
    <row r="125" spans="1:118" s="7" customFormat="1" ht="15.6" x14ac:dyDescent="0.3">
      <c r="A125" s="44" t="s">
        <v>496</v>
      </c>
      <c r="B125" s="137" t="s">
        <v>497</v>
      </c>
      <c r="C125" s="137">
        <v>1266662947</v>
      </c>
      <c r="D125" s="138" t="s">
        <v>498</v>
      </c>
      <c r="E125" s="18"/>
      <c r="F125" s="143">
        <v>35949</v>
      </c>
      <c r="G125" s="77"/>
      <c r="H125" s="69"/>
      <c r="I125" s="28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</row>
    <row r="126" spans="1:118" s="7" customFormat="1" ht="15.6" x14ac:dyDescent="0.3">
      <c r="A126" s="44" t="s">
        <v>499</v>
      </c>
      <c r="B126" s="137">
        <v>461126511257</v>
      </c>
      <c r="C126" s="137">
        <v>1126511257</v>
      </c>
      <c r="D126" s="138" t="s">
        <v>500</v>
      </c>
      <c r="E126" s="18"/>
      <c r="F126" s="143">
        <v>35676</v>
      </c>
      <c r="G126" s="77"/>
      <c r="H126" s="69"/>
      <c r="I126" s="28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</row>
    <row r="127" spans="1:118" s="7" customFormat="1" ht="15.6" x14ac:dyDescent="0.3">
      <c r="A127" s="44" t="s">
        <v>501</v>
      </c>
      <c r="B127" s="137">
        <v>251017297386</v>
      </c>
      <c r="C127" s="137">
        <v>1017297386</v>
      </c>
      <c r="D127" s="138" t="s">
        <v>502</v>
      </c>
      <c r="E127" s="18">
        <v>186282967</v>
      </c>
      <c r="F127" s="143">
        <v>30352</v>
      </c>
      <c r="G127" s="77">
        <v>3</v>
      </c>
      <c r="H127" s="69">
        <v>6000325</v>
      </c>
      <c r="I127" s="28" t="s">
        <v>151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</row>
    <row r="128" spans="1:118" s="7" customFormat="1" ht="15.6" x14ac:dyDescent="0.3">
      <c r="A128" s="44" t="s">
        <v>503</v>
      </c>
      <c r="B128" s="137" t="s">
        <v>504</v>
      </c>
      <c r="C128" s="137">
        <v>1420537380</v>
      </c>
      <c r="D128" s="138" t="s">
        <v>505</v>
      </c>
      <c r="E128" s="18"/>
      <c r="F128" s="143">
        <v>31184</v>
      </c>
      <c r="G128" s="77"/>
      <c r="H128" s="69"/>
      <c r="I128" s="28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</row>
    <row r="129" spans="1:118" s="7" customFormat="1" ht="15.6" x14ac:dyDescent="0.3">
      <c r="A129" s="44" t="s">
        <v>506</v>
      </c>
      <c r="B129" s="137" t="s">
        <v>507</v>
      </c>
      <c r="C129" s="137">
        <v>1208801942</v>
      </c>
      <c r="D129" s="138" t="s">
        <v>508</v>
      </c>
      <c r="E129" s="18"/>
      <c r="F129" s="143">
        <v>34073</v>
      </c>
      <c r="G129" s="77"/>
      <c r="H129" s="69"/>
      <c r="I129" s="28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</row>
    <row r="130" spans="1:118" s="7" customFormat="1" ht="15.6" x14ac:dyDescent="0.3">
      <c r="A130" s="44" t="s">
        <v>509</v>
      </c>
      <c r="B130" s="137">
        <v>171059099872</v>
      </c>
      <c r="C130" s="137">
        <v>1059099872</v>
      </c>
      <c r="D130" s="138" t="s">
        <v>510</v>
      </c>
      <c r="E130" s="18">
        <v>186282967</v>
      </c>
      <c r="F130" s="143">
        <v>30731</v>
      </c>
      <c r="G130" s="77">
        <v>3</v>
      </c>
      <c r="H130" s="69">
        <v>6000327</v>
      </c>
      <c r="I130" s="28" t="s">
        <v>26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</row>
    <row r="131" spans="1:118" s="7" customFormat="1" ht="15.6" x14ac:dyDescent="0.3">
      <c r="A131" s="44" t="s">
        <v>511</v>
      </c>
      <c r="B131" s="137" t="s">
        <v>512</v>
      </c>
      <c r="C131" s="137">
        <v>1181090052</v>
      </c>
      <c r="D131" s="138" t="s">
        <v>513</v>
      </c>
      <c r="E131" s="18"/>
      <c r="F131" s="143">
        <v>33338</v>
      </c>
      <c r="G131" s="77"/>
      <c r="H131" s="69"/>
      <c r="I131" s="28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</row>
    <row r="132" spans="1:118" s="7" customFormat="1" ht="15.6" x14ac:dyDescent="0.3">
      <c r="A132" s="44" t="s">
        <v>514</v>
      </c>
      <c r="B132" s="137" t="s">
        <v>515</v>
      </c>
      <c r="C132" s="137">
        <v>1186870848</v>
      </c>
      <c r="D132" s="138" t="s">
        <v>516</v>
      </c>
      <c r="E132" s="18"/>
      <c r="F132" s="143">
        <v>35664</v>
      </c>
      <c r="G132" s="77"/>
      <c r="H132" s="69"/>
      <c r="I132" s="28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</row>
    <row r="133" spans="1:118" s="7" customFormat="1" ht="15.6" x14ac:dyDescent="0.3">
      <c r="A133" s="44" t="s">
        <v>517</v>
      </c>
      <c r="B133" s="137" t="s">
        <v>518</v>
      </c>
      <c r="C133" s="137">
        <v>1122366454</v>
      </c>
      <c r="D133" s="138" t="s">
        <v>519</v>
      </c>
      <c r="E133" s="18">
        <v>186282967</v>
      </c>
      <c r="F133" s="143">
        <v>26438</v>
      </c>
      <c r="G133" s="77">
        <v>4</v>
      </c>
      <c r="H133" s="69">
        <v>6100406</v>
      </c>
      <c r="I133" s="28" t="s">
        <v>163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</row>
    <row r="134" spans="1:118" s="7" customFormat="1" ht="15.6" x14ac:dyDescent="0.3">
      <c r="A134" s="44" t="s">
        <v>520</v>
      </c>
      <c r="B134" s="137" t="s">
        <v>3065</v>
      </c>
      <c r="C134" s="137">
        <v>1032152889</v>
      </c>
      <c r="D134" s="138" t="s">
        <v>521</v>
      </c>
      <c r="E134" s="18">
        <v>186282967</v>
      </c>
      <c r="F134" s="143">
        <v>30378</v>
      </c>
      <c r="G134" s="77">
        <v>5</v>
      </c>
      <c r="H134" s="69">
        <v>6100519</v>
      </c>
      <c r="I134" s="28" t="s">
        <v>57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</row>
    <row r="135" spans="1:118" s="7" customFormat="1" ht="15.6" x14ac:dyDescent="0.3">
      <c r="A135" s="44" t="s">
        <v>522</v>
      </c>
      <c r="B135" s="137" t="s">
        <v>523</v>
      </c>
      <c r="C135" s="137">
        <v>1077885405</v>
      </c>
      <c r="D135" s="138" t="s">
        <v>524</v>
      </c>
      <c r="E135" s="18">
        <v>186282967</v>
      </c>
      <c r="F135" s="143">
        <v>35646</v>
      </c>
      <c r="G135" s="77">
        <v>3</v>
      </c>
      <c r="H135" s="69">
        <v>6000325</v>
      </c>
      <c r="I135" s="28" t="s">
        <v>151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</row>
    <row r="136" spans="1:118" s="7" customFormat="1" ht="15.6" x14ac:dyDescent="0.3">
      <c r="A136" s="44" t="s">
        <v>525</v>
      </c>
      <c r="B136" s="137" t="s">
        <v>526</v>
      </c>
      <c r="C136" s="137">
        <v>1162045720</v>
      </c>
      <c r="D136" s="138" t="s">
        <v>527</v>
      </c>
      <c r="E136" s="18">
        <v>186282967</v>
      </c>
      <c r="F136" s="143">
        <v>30576</v>
      </c>
      <c r="G136" s="77">
        <v>3</v>
      </c>
      <c r="H136" s="69">
        <v>6000327</v>
      </c>
      <c r="I136" s="28" t="s">
        <v>26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</row>
    <row r="137" spans="1:118" s="7" customFormat="1" ht="15.6" x14ac:dyDescent="0.3">
      <c r="A137" s="44" t="s">
        <v>528</v>
      </c>
      <c r="B137" s="137">
        <v>171039060884</v>
      </c>
      <c r="C137" s="137">
        <v>1039060884</v>
      </c>
      <c r="D137" s="138" t="s">
        <v>529</v>
      </c>
      <c r="E137" s="18">
        <v>186282967</v>
      </c>
      <c r="F137" s="143">
        <v>36037</v>
      </c>
      <c r="G137" s="77">
        <v>3</v>
      </c>
      <c r="H137" s="69">
        <v>6000325</v>
      </c>
      <c r="I137" s="28" t="s">
        <v>151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</row>
    <row r="138" spans="1:118" s="7" customFormat="1" ht="15.6" x14ac:dyDescent="0.3">
      <c r="A138" s="44" t="s">
        <v>530</v>
      </c>
      <c r="B138" s="137" t="s">
        <v>531</v>
      </c>
      <c r="C138" s="137">
        <v>1097643578</v>
      </c>
      <c r="D138" s="138" t="s">
        <v>532</v>
      </c>
      <c r="E138" s="18">
        <v>186282967</v>
      </c>
      <c r="F138" s="143">
        <v>30152</v>
      </c>
      <c r="G138" s="77">
        <v>3</v>
      </c>
      <c r="H138" s="69">
        <v>6000325</v>
      </c>
      <c r="I138" s="28" t="s">
        <v>151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</row>
    <row r="139" spans="1:118" s="7" customFormat="1" ht="15.6" x14ac:dyDescent="0.3">
      <c r="A139" s="44" t="s">
        <v>533</v>
      </c>
      <c r="B139" s="137" t="s">
        <v>534</v>
      </c>
      <c r="C139" s="137">
        <v>1247607905</v>
      </c>
      <c r="D139" s="138" t="s">
        <v>535</v>
      </c>
      <c r="E139" s="18">
        <v>186282967</v>
      </c>
      <c r="F139" s="143">
        <v>35045</v>
      </c>
      <c r="G139" s="77"/>
      <c r="H139" s="69"/>
      <c r="I139" s="28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</row>
    <row r="140" spans="1:118" s="7" customFormat="1" ht="15.6" x14ac:dyDescent="0.3">
      <c r="A140" s="44" t="s">
        <v>536</v>
      </c>
      <c r="B140" s="137">
        <v>251022813858</v>
      </c>
      <c r="C140" s="137">
        <v>1022813858</v>
      </c>
      <c r="D140" s="138" t="s">
        <v>537</v>
      </c>
      <c r="E140" s="18">
        <v>186282967</v>
      </c>
      <c r="F140" s="143">
        <v>34198</v>
      </c>
      <c r="G140" s="77"/>
      <c r="H140" s="69"/>
      <c r="I140" s="28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</row>
    <row r="141" spans="1:118" s="7" customFormat="1" ht="15.6" x14ac:dyDescent="0.3">
      <c r="A141" s="44" t="s">
        <v>538</v>
      </c>
      <c r="B141" s="137" t="s">
        <v>539</v>
      </c>
      <c r="C141" s="137">
        <v>1312586080</v>
      </c>
      <c r="D141" s="138" t="s">
        <v>540</v>
      </c>
      <c r="E141" s="18">
        <v>186282967</v>
      </c>
      <c r="F141" s="143">
        <v>36817</v>
      </c>
      <c r="G141" s="77">
        <v>3</v>
      </c>
      <c r="H141" s="69">
        <v>6000325</v>
      </c>
      <c r="I141" s="28" t="s">
        <v>151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</row>
    <row r="142" spans="1:118" s="7" customFormat="1" ht="15.6" x14ac:dyDescent="0.3">
      <c r="A142" s="44" t="s">
        <v>541</v>
      </c>
      <c r="B142" s="137" t="s">
        <v>542</v>
      </c>
      <c r="C142" s="137">
        <v>1347950664</v>
      </c>
      <c r="D142" s="138" t="s">
        <v>543</v>
      </c>
      <c r="E142" s="18">
        <v>186282967</v>
      </c>
      <c r="F142" s="143">
        <v>36497</v>
      </c>
      <c r="G142" s="77"/>
      <c r="H142" s="69"/>
      <c r="I142" s="28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</row>
    <row r="143" spans="1:118" s="7" customFormat="1" ht="15.6" x14ac:dyDescent="0.3">
      <c r="A143" s="44" t="s">
        <v>544</v>
      </c>
      <c r="B143" s="137">
        <v>171057745714</v>
      </c>
      <c r="C143" s="137">
        <v>1057745714</v>
      </c>
      <c r="D143" s="138" t="s">
        <v>545</v>
      </c>
      <c r="E143" s="18">
        <v>186282967</v>
      </c>
      <c r="F143" s="143">
        <v>34993</v>
      </c>
      <c r="G143" s="77"/>
      <c r="H143" s="69"/>
      <c r="I143" s="28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</row>
    <row r="144" spans="1:118" s="7" customFormat="1" ht="15.6" x14ac:dyDescent="0.3">
      <c r="A144" s="44" t="s">
        <v>546</v>
      </c>
      <c r="B144" s="137">
        <v>121030194764</v>
      </c>
      <c r="C144" s="137">
        <v>1030194764</v>
      </c>
      <c r="D144" s="138" t="s">
        <v>547</v>
      </c>
      <c r="E144" s="18">
        <v>186282967</v>
      </c>
      <c r="F144" s="143">
        <v>36472</v>
      </c>
      <c r="G144" s="77"/>
      <c r="H144" s="69"/>
      <c r="I144" s="28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</row>
    <row r="145" spans="1:118" s="7" customFormat="1" ht="15.6" x14ac:dyDescent="0.3">
      <c r="A145" s="44" t="s">
        <v>548</v>
      </c>
      <c r="B145" s="137" t="s">
        <v>549</v>
      </c>
      <c r="C145" s="137">
        <v>1199353940</v>
      </c>
      <c r="D145" s="138" t="s">
        <v>550</v>
      </c>
      <c r="E145" s="18">
        <v>186282967</v>
      </c>
      <c r="F145" s="143">
        <v>29841</v>
      </c>
      <c r="G145" s="77">
        <v>3</v>
      </c>
      <c r="H145" s="69">
        <v>6000320</v>
      </c>
      <c r="I145" s="28" t="s">
        <v>168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</row>
    <row r="146" spans="1:118" s="7" customFormat="1" ht="15.6" x14ac:dyDescent="0.3">
      <c r="A146" s="44" t="s">
        <v>551</v>
      </c>
      <c r="B146" s="137" t="s">
        <v>552</v>
      </c>
      <c r="C146" s="137" t="s">
        <v>553</v>
      </c>
      <c r="D146" s="138" t="s">
        <v>554</v>
      </c>
      <c r="E146" s="18">
        <v>186282967</v>
      </c>
      <c r="F146" s="143">
        <v>23915</v>
      </c>
      <c r="G146" s="77"/>
      <c r="H146" s="69"/>
      <c r="I146" s="28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</row>
    <row r="147" spans="1:118" s="7" customFormat="1" ht="15.6" x14ac:dyDescent="0.3">
      <c r="A147" s="44" t="s">
        <v>555</v>
      </c>
      <c r="B147" s="137" t="s">
        <v>556</v>
      </c>
      <c r="C147" s="137">
        <v>1197369480</v>
      </c>
      <c r="D147" s="138" t="s">
        <v>557</v>
      </c>
      <c r="E147" s="18">
        <v>186282967</v>
      </c>
      <c r="F147" s="143">
        <v>30013</v>
      </c>
      <c r="G147" s="77"/>
      <c r="H147" s="69"/>
      <c r="I147" s="28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</row>
    <row r="148" spans="1:118" s="7" customFormat="1" ht="15.6" x14ac:dyDescent="0.3">
      <c r="A148" s="44" t="s">
        <v>558</v>
      </c>
      <c r="B148" s="137">
        <v>411011634140</v>
      </c>
      <c r="C148" s="137">
        <v>1011634140</v>
      </c>
      <c r="D148" s="138" t="s">
        <v>559</v>
      </c>
      <c r="E148" s="18">
        <v>186282967</v>
      </c>
      <c r="F148" s="143">
        <v>28467</v>
      </c>
      <c r="G148" s="77"/>
      <c r="H148" s="69"/>
      <c r="I148" s="28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</row>
    <row r="149" spans="1:118" s="7" customFormat="1" ht="15.6" x14ac:dyDescent="0.3">
      <c r="A149" s="44" t="s">
        <v>560</v>
      </c>
      <c r="B149" s="137" t="s">
        <v>561</v>
      </c>
      <c r="C149" s="137" t="s">
        <v>562</v>
      </c>
      <c r="D149" s="138" t="s">
        <v>563</v>
      </c>
      <c r="E149" s="18">
        <v>186282967</v>
      </c>
      <c r="F149" s="143">
        <v>34698</v>
      </c>
      <c r="G149" s="77"/>
      <c r="H149" s="69"/>
      <c r="I149" s="28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</row>
    <row r="150" spans="1:118" s="7" customFormat="1" ht="15.6" x14ac:dyDescent="0.3">
      <c r="A150" s="44" t="s">
        <v>564</v>
      </c>
      <c r="B150" s="137" t="s">
        <v>565</v>
      </c>
      <c r="C150" s="137">
        <v>1098597212</v>
      </c>
      <c r="D150" s="138" t="s">
        <v>566</v>
      </c>
      <c r="E150" s="18">
        <v>186282967</v>
      </c>
      <c r="F150" s="143"/>
      <c r="G150" s="77"/>
      <c r="H150" s="69"/>
      <c r="I150" s="28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</row>
    <row r="151" spans="1:118" s="7" customFormat="1" ht="15.6" x14ac:dyDescent="0.3">
      <c r="A151" s="44" t="s">
        <v>567</v>
      </c>
      <c r="B151" s="137">
        <v>201014146384</v>
      </c>
      <c r="C151" s="137">
        <v>1014146384</v>
      </c>
      <c r="D151" s="138" t="s">
        <v>568</v>
      </c>
      <c r="E151" s="18">
        <v>186282967</v>
      </c>
      <c r="F151" s="143">
        <v>30324</v>
      </c>
      <c r="G151" s="77">
        <v>3</v>
      </c>
      <c r="H151" s="69">
        <v>6000327</v>
      </c>
      <c r="I151" s="28" t="s">
        <v>26</v>
      </c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</row>
    <row r="152" spans="1:118" s="7" customFormat="1" ht="15.6" x14ac:dyDescent="0.3">
      <c r="A152" s="44" t="s">
        <v>569</v>
      </c>
      <c r="B152" s="137">
        <v>171039191735</v>
      </c>
      <c r="C152" s="137">
        <v>1039191735</v>
      </c>
      <c r="D152" s="138" t="s">
        <v>570</v>
      </c>
      <c r="E152" s="18">
        <v>186282967</v>
      </c>
      <c r="F152" s="143">
        <v>35868</v>
      </c>
      <c r="G152" s="77"/>
      <c r="H152" s="69"/>
      <c r="I152" s="28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</row>
    <row r="153" spans="1:118" s="7" customFormat="1" ht="15.6" x14ac:dyDescent="0.3">
      <c r="A153" s="44" t="s">
        <v>571</v>
      </c>
      <c r="B153" s="137" t="s">
        <v>572</v>
      </c>
      <c r="C153" s="137">
        <v>1248583864</v>
      </c>
      <c r="D153" s="138" t="s">
        <v>573</v>
      </c>
      <c r="E153" s="18">
        <v>186282967</v>
      </c>
      <c r="F153" s="143">
        <v>34749</v>
      </c>
      <c r="G153" s="77"/>
      <c r="H153" s="69"/>
      <c r="I153" s="28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</row>
    <row r="154" spans="1:118" s="173" customFormat="1" ht="15.6" x14ac:dyDescent="0.3">
      <c r="A154" s="305" t="s">
        <v>574</v>
      </c>
      <c r="B154" s="306" t="s">
        <v>575</v>
      </c>
      <c r="C154" s="306">
        <v>1268920724</v>
      </c>
      <c r="D154" s="307" t="s">
        <v>576</v>
      </c>
      <c r="E154" s="312">
        <v>186282967</v>
      </c>
      <c r="F154" s="309">
        <v>35685</v>
      </c>
      <c r="G154" s="313">
        <v>5</v>
      </c>
      <c r="H154" s="314">
        <v>6100523</v>
      </c>
      <c r="I154" s="315" t="s">
        <v>223</v>
      </c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1"/>
      <c r="DL154" s="71"/>
      <c r="DM154" s="71"/>
      <c r="DN154" s="71"/>
    </row>
    <row r="155" spans="1:118" s="7" customFormat="1" ht="15.6" x14ac:dyDescent="0.3">
      <c r="A155" s="44" t="s">
        <v>577</v>
      </c>
      <c r="B155" s="137" t="s">
        <v>578</v>
      </c>
      <c r="C155" s="137">
        <v>1341623840</v>
      </c>
      <c r="D155" s="138" t="s">
        <v>579</v>
      </c>
      <c r="E155" s="18">
        <v>186282967</v>
      </c>
      <c r="F155" s="143">
        <v>36057</v>
      </c>
      <c r="G155" s="77"/>
      <c r="H155" s="69"/>
      <c r="I155" s="28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</row>
    <row r="156" spans="1:118" s="7" customFormat="1" ht="15.6" x14ac:dyDescent="0.3">
      <c r="A156" s="44" t="s">
        <v>580</v>
      </c>
      <c r="B156" s="137" t="s">
        <v>581</v>
      </c>
      <c r="C156" s="137">
        <v>1268920421</v>
      </c>
      <c r="D156" s="138" t="s">
        <v>582</v>
      </c>
      <c r="E156" s="18">
        <v>186282967</v>
      </c>
      <c r="F156" s="143">
        <v>35590</v>
      </c>
      <c r="G156" s="77"/>
      <c r="H156" s="69"/>
      <c r="I156" s="28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</row>
    <row r="157" spans="1:118" s="7" customFormat="1" ht="15.6" x14ac:dyDescent="0.3">
      <c r="A157" s="44" t="s">
        <v>583</v>
      </c>
      <c r="B157" s="137">
        <v>431036542290</v>
      </c>
      <c r="C157" s="137">
        <v>1036542290</v>
      </c>
      <c r="D157" s="138" t="s">
        <v>584</v>
      </c>
      <c r="E157" s="18">
        <v>186282967</v>
      </c>
      <c r="F157" s="143">
        <v>35672</v>
      </c>
      <c r="G157" s="77"/>
      <c r="H157" s="69"/>
      <c r="I157" s="28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</row>
    <row r="158" spans="1:118" s="7" customFormat="1" ht="15.6" x14ac:dyDescent="0.3">
      <c r="A158" s="44" t="s">
        <v>585</v>
      </c>
      <c r="B158" s="137" t="s">
        <v>586</v>
      </c>
      <c r="C158" s="137">
        <v>1256963957</v>
      </c>
      <c r="D158" s="138" t="s">
        <v>587</v>
      </c>
      <c r="E158" s="18">
        <v>186282967</v>
      </c>
      <c r="F158" s="143">
        <v>35610</v>
      </c>
      <c r="G158" s="77"/>
      <c r="H158" s="69"/>
      <c r="I158" s="28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</row>
    <row r="159" spans="1:118" s="7" customFormat="1" ht="15.6" x14ac:dyDescent="0.3">
      <c r="A159" s="44" t="s">
        <v>588</v>
      </c>
      <c r="B159" s="137">
        <v>171029828205</v>
      </c>
      <c r="C159" s="137">
        <v>1029828205</v>
      </c>
      <c r="D159" s="138" t="s">
        <v>589</v>
      </c>
      <c r="E159" s="18">
        <v>186282967</v>
      </c>
      <c r="F159" s="143">
        <v>36077</v>
      </c>
      <c r="G159" s="77"/>
      <c r="H159" s="69"/>
      <c r="I159" s="28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</row>
    <row r="160" spans="1:118" s="7" customFormat="1" ht="15.6" x14ac:dyDescent="0.3">
      <c r="A160" s="44" t="s">
        <v>590</v>
      </c>
      <c r="B160" s="137" t="s">
        <v>591</v>
      </c>
      <c r="C160" s="137">
        <v>1258637815</v>
      </c>
      <c r="D160" s="138" t="s">
        <v>592</v>
      </c>
      <c r="E160" s="18">
        <v>186282967</v>
      </c>
      <c r="F160" s="143">
        <v>35729</v>
      </c>
      <c r="G160" s="77"/>
      <c r="H160" s="69"/>
      <c r="I160" s="28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</row>
    <row r="161" spans="1:118" s="7" customFormat="1" ht="15.6" x14ac:dyDescent="0.3">
      <c r="A161" s="44" t="s">
        <v>593</v>
      </c>
      <c r="B161" s="137" t="s">
        <v>594</v>
      </c>
      <c r="C161" s="137">
        <v>1279969428</v>
      </c>
      <c r="D161" s="138" t="s">
        <v>595</v>
      </c>
      <c r="E161" s="18">
        <v>186282967</v>
      </c>
      <c r="F161" s="143">
        <v>35777</v>
      </c>
      <c r="G161" s="77"/>
      <c r="H161" s="69"/>
      <c r="I161" s="28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</row>
    <row r="162" spans="1:118" s="7" customFormat="1" ht="15.6" x14ac:dyDescent="0.3">
      <c r="A162" s="44" t="s">
        <v>596</v>
      </c>
      <c r="B162" s="137">
        <v>171004189081</v>
      </c>
      <c r="C162" s="137">
        <v>1004189081</v>
      </c>
      <c r="D162" s="138" t="s">
        <v>597</v>
      </c>
      <c r="E162" s="18">
        <v>186282967</v>
      </c>
      <c r="F162" s="143">
        <v>29785</v>
      </c>
      <c r="G162" s="77"/>
      <c r="H162" s="69"/>
      <c r="I162" s="28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</row>
    <row r="163" spans="1:118" s="7" customFormat="1" ht="15.6" x14ac:dyDescent="0.3">
      <c r="A163" s="44" t="s">
        <v>598</v>
      </c>
      <c r="B163" s="137">
        <v>281307523762</v>
      </c>
      <c r="C163" s="137">
        <v>1307523762</v>
      </c>
      <c r="D163" s="138" t="s">
        <v>599</v>
      </c>
      <c r="E163" s="18">
        <v>186282967</v>
      </c>
      <c r="F163" s="143">
        <v>32966</v>
      </c>
      <c r="G163" s="77"/>
      <c r="H163" s="69"/>
      <c r="I163" s="28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</row>
    <row r="164" spans="1:118" s="7" customFormat="1" ht="15.6" x14ac:dyDescent="0.3">
      <c r="A164" s="44" t="s">
        <v>600</v>
      </c>
      <c r="B164" s="137">
        <v>181072057339</v>
      </c>
      <c r="C164" s="137">
        <v>1072057339</v>
      </c>
      <c r="D164" s="138" t="s">
        <v>601</v>
      </c>
      <c r="E164" s="18">
        <v>186282967</v>
      </c>
      <c r="F164" s="143">
        <v>32711</v>
      </c>
      <c r="G164" s="77"/>
      <c r="H164" s="69"/>
      <c r="I164" s="28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</row>
    <row r="165" spans="1:118" s="7" customFormat="1" ht="15.6" x14ac:dyDescent="0.3">
      <c r="A165" s="44" t="s">
        <v>602</v>
      </c>
      <c r="B165" s="137" t="s">
        <v>603</v>
      </c>
      <c r="C165" s="137" t="s">
        <v>604</v>
      </c>
      <c r="D165" s="138" t="s">
        <v>605</v>
      </c>
      <c r="E165" s="18">
        <v>186282967</v>
      </c>
      <c r="F165" s="143"/>
      <c r="G165" s="77">
        <v>3</v>
      </c>
      <c r="H165" s="69">
        <v>6000326</v>
      </c>
      <c r="I165" s="28" t="s">
        <v>78</v>
      </c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</row>
    <row r="166" spans="1:118" s="7" customFormat="1" ht="15.6" x14ac:dyDescent="0.3">
      <c r="A166" s="44" t="s">
        <v>606</v>
      </c>
      <c r="B166" s="137"/>
      <c r="C166" s="137"/>
      <c r="D166" s="138"/>
      <c r="E166" s="18"/>
      <c r="F166" s="143"/>
      <c r="G166" s="77"/>
      <c r="H166" s="69"/>
      <c r="I166" s="28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</row>
    <row r="167" spans="1:118" s="7" customFormat="1" ht="15.6" x14ac:dyDescent="0.3">
      <c r="A167" s="44" t="s">
        <v>607</v>
      </c>
      <c r="B167" s="137" t="s">
        <v>608</v>
      </c>
      <c r="C167" s="137">
        <v>1373998396</v>
      </c>
      <c r="D167" s="138" t="s">
        <v>609</v>
      </c>
      <c r="E167" s="18">
        <v>186282967</v>
      </c>
      <c r="F167" s="143">
        <v>34682</v>
      </c>
      <c r="G167" s="77" t="s">
        <v>610</v>
      </c>
      <c r="H167" s="69"/>
      <c r="I167" s="28"/>
      <c r="J167" s="36" t="s">
        <v>611</v>
      </c>
      <c r="K167" s="36" t="s">
        <v>612</v>
      </c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</row>
    <row r="168" spans="1:118" s="7" customFormat="1" ht="15.6" x14ac:dyDescent="0.3">
      <c r="A168" s="44" t="s">
        <v>613</v>
      </c>
      <c r="B168" s="137" t="s">
        <v>614</v>
      </c>
      <c r="C168" s="137">
        <v>1052329811</v>
      </c>
      <c r="D168" s="138" t="s">
        <v>615</v>
      </c>
      <c r="E168" s="18">
        <v>186282967</v>
      </c>
      <c r="F168" s="143">
        <v>32610</v>
      </c>
      <c r="G168" s="77">
        <v>3</v>
      </c>
      <c r="H168" s="69">
        <v>6000320</v>
      </c>
      <c r="I168" s="28" t="s">
        <v>168</v>
      </c>
      <c r="J168" s="36">
        <v>45188</v>
      </c>
      <c r="K168" s="36" t="s">
        <v>616</v>
      </c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</row>
    <row r="169" spans="1:118" s="7" customFormat="1" ht="15.6" x14ac:dyDescent="0.3">
      <c r="A169" s="44" t="s">
        <v>617</v>
      </c>
      <c r="B169" s="137" t="s">
        <v>618</v>
      </c>
      <c r="C169" s="137">
        <v>1334891737</v>
      </c>
      <c r="D169" s="138" t="s">
        <v>619</v>
      </c>
      <c r="E169" s="18">
        <v>186282967</v>
      </c>
      <c r="F169" s="143">
        <v>36995</v>
      </c>
      <c r="G169" s="77">
        <v>4</v>
      </c>
      <c r="H169" s="69">
        <v>6100406</v>
      </c>
      <c r="I169" s="28" t="s">
        <v>163</v>
      </c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</row>
    <row r="170" spans="1:118" s="7" customFormat="1" ht="15.6" x14ac:dyDescent="0.3">
      <c r="A170" s="44" t="s">
        <v>620</v>
      </c>
      <c r="B170" s="137" t="s">
        <v>621</v>
      </c>
      <c r="C170" s="137">
        <v>1442351266</v>
      </c>
      <c r="D170" s="138" t="s">
        <v>622</v>
      </c>
      <c r="E170" s="18">
        <v>186282967</v>
      </c>
      <c r="F170" s="143">
        <v>45345</v>
      </c>
      <c r="G170" s="77">
        <v>5</v>
      </c>
      <c r="H170" s="69">
        <v>6100519</v>
      </c>
      <c r="I170" s="28" t="s">
        <v>57</v>
      </c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</row>
    <row r="171" spans="1:118" s="7" customFormat="1" ht="15.6" x14ac:dyDescent="0.3">
      <c r="A171" s="44" t="s">
        <v>623</v>
      </c>
      <c r="B171" s="137" t="s">
        <v>624</v>
      </c>
      <c r="C171" s="137">
        <v>1239262366</v>
      </c>
      <c r="D171" s="138" t="s">
        <v>625</v>
      </c>
      <c r="E171" s="18">
        <v>186282967</v>
      </c>
      <c r="F171" s="143">
        <v>34143</v>
      </c>
      <c r="G171" s="77">
        <v>3</v>
      </c>
      <c r="H171" s="69">
        <v>6000320</v>
      </c>
      <c r="I171" s="28" t="s">
        <v>168</v>
      </c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</row>
    <row r="172" spans="1:118" s="7" customFormat="1" ht="15.6" x14ac:dyDescent="0.3">
      <c r="A172" s="44" t="s">
        <v>626</v>
      </c>
      <c r="B172" s="137" t="s">
        <v>627</v>
      </c>
      <c r="C172" s="137">
        <v>1188846921</v>
      </c>
      <c r="D172" s="138" t="s">
        <v>628</v>
      </c>
      <c r="E172" s="18">
        <v>186282967</v>
      </c>
      <c r="F172" s="143">
        <v>33642</v>
      </c>
      <c r="G172" s="77">
        <v>3</v>
      </c>
      <c r="H172" s="69">
        <v>6000320</v>
      </c>
      <c r="I172" s="28" t="s">
        <v>168</v>
      </c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</row>
    <row r="173" spans="1:118" s="7" customFormat="1" ht="15.6" x14ac:dyDescent="0.3">
      <c r="A173" s="44" t="s">
        <v>629</v>
      </c>
      <c r="B173" s="137" t="s">
        <v>630</v>
      </c>
      <c r="C173" s="137">
        <v>1193390561</v>
      </c>
      <c r="D173" s="138" t="s">
        <v>631</v>
      </c>
      <c r="E173" s="18">
        <v>186282967</v>
      </c>
      <c r="F173" s="143">
        <v>33740</v>
      </c>
      <c r="G173" s="77">
        <v>3</v>
      </c>
      <c r="H173" s="69">
        <v>6000320</v>
      </c>
      <c r="I173" s="28" t="s">
        <v>168</v>
      </c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</row>
    <row r="174" spans="1:118" s="7" customFormat="1" ht="15.6" x14ac:dyDescent="0.3">
      <c r="A174" s="44" t="s">
        <v>632</v>
      </c>
      <c r="B174" s="137" t="s">
        <v>633</v>
      </c>
      <c r="C174" s="137">
        <v>1108257402</v>
      </c>
      <c r="D174" s="138" t="s">
        <v>634</v>
      </c>
      <c r="E174" s="18">
        <v>186282967</v>
      </c>
      <c r="F174" s="143">
        <v>31145</v>
      </c>
      <c r="G174" s="77">
        <v>3</v>
      </c>
      <c r="H174" s="69">
        <v>6000320</v>
      </c>
      <c r="I174" s="28" t="s">
        <v>168</v>
      </c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</row>
    <row r="175" spans="1:118" s="7" customFormat="1" ht="15.6" x14ac:dyDescent="0.3">
      <c r="A175" s="44" t="s">
        <v>635</v>
      </c>
      <c r="B175" s="137" t="s">
        <v>636</v>
      </c>
      <c r="C175" s="137">
        <v>1107254880</v>
      </c>
      <c r="D175" s="138" t="s">
        <v>637</v>
      </c>
      <c r="E175" s="18">
        <v>186282967</v>
      </c>
      <c r="F175" s="143"/>
      <c r="G175" s="77">
        <v>3</v>
      </c>
      <c r="H175" s="69">
        <v>6000321</v>
      </c>
      <c r="I175" s="28" t="s">
        <v>638</v>
      </c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</row>
    <row r="176" spans="1:118" s="7" customFormat="1" ht="15.6" x14ac:dyDescent="0.3">
      <c r="A176" s="44" t="s">
        <v>639</v>
      </c>
      <c r="B176" s="137" t="s">
        <v>640</v>
      </c>
      <c r="C176" s="137" t="s">
        <v>641</v>
      </c>
      <c r="D176" s="138" t="s">
        <v>642</v>
      </c>
      <c r="E176" s="18">
        <v>186282967</v>
      </c>
      <c r="F176" s="143">
        <v>25722</v>
      </c>
      <c r="G176" s="77">
        <v>5</v>
      </c>
      <c r="H176" s="69">
        <v>6100523</v>
      </c>
      <c r="I176" s="28" t="s">
        <v>643</v>
      </c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</row>
    <row r="177" spans="1:118" s="7" customFormat="1" ht="15.6" x14ac:dyDescent="0.3">
      <c r="A177" s="44" t="s">
        <v>644</v>
      </c>
      <c r="B177" s="137" t="s">
        <v>645</v>
      </c>
      <c r="C177" s="137">
        <v>1459565029</v>
      </c>
      <c r="D177" s="138" t="s">
        <v>646</v>
      </c>
      <c r="E177" s="18">
        <v>186282967</v>
      </c>
      <c r="F177" s="143">
        <v>29974</v>
      </c>
      <c r="G177" s="77">
        <v>3</v>
      </c>
      <c r="H177" s="69">
        <v>6000325</v>
      </c>
      <c r="I177" s="28" t="s">
        <v>151</v>
      </c>
      <c r="J177" s="36">
        <v>46468</v>
      </c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</row>
    <row r="178" spans="1:118" s="7" customFormat="1" ht="15.6" x14ac:dyDescent="0.3">
      <c r="A178" s="44" t="s">
        <v>647</v>
      </c>
      <c r="B178" s="137" t="s">
        <v>648</v>
      </c>
      <c r="C178" s="137">
        <v>1206320329</v>
      </c>
      <c r="D178" s="138" t="s">
        <v>649</v>
      </c>
      <c r="E178" s="18">
        <v>186282967</v>
      </c>
      <c r="F178" s="143"/>
      <c r="G178" s="77">
        <v>3</v>
      </c>
      <c r="H178" s="69">
        <v>6000327</v>
      </c>
      <c r="I178" s="28" t="s">
        <v>26</v>
      </c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</row>
    <row r="179" spans="1:118" s="7" customFormat="1" ht="15.6" x14ac:dyDescent="0.3">
      <c r="A179" s="44" t="s">
        <v>650</v>
      </c>
      <c r="B179" s="137" t="s">
        <v>651</v>
      </c>
      <c r="C179" s="137">
        <v>1460601212</v>
      </c>
      <c r="D179" s="138" t="s">
        <v>652</v>
      </c>
      <c r="E179" s="18">
        <v>186282967</v>
      </c>
      <c r="F179" s="143">
        <v>30311</v>
      </c>
      <c r="G179" s="77">
        <v>3</v>
      </c>
      <c r="H179" s="69">
        <v>6000327</v>
      </c>
      <c r="I179" s="28" t="s">
        <v>26</v>
      </c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</row>
    <row r="180" spans="1:118" s="7" customFormat="1" ht="15.6" x14ac:dyDescent="0.3">
      <c r="A180" s="44" t="s">
        <v>653</v>
      </c>
      <c r="B180" s="137" t="s">
        <v>654</v>
      </c>
      <c r="C180" s="137">
        <v>1436320189</v>
      </c>
      <c r="D180" s="138" t="s">
        <v>655</v>
      </c>
      <c r="E180" s="18">
        <v>186282967</v>
      </c>
      <c r="F180" s="143">
        <v>34585</v>
      </c>
      <c r="G180" s="77">
        <v>4</v>
      </c>
      <c r="H180" s="69">
        <v>6100407</v>
      </c>
      <c r="I180" s="28" t="s">
        <v>252</v>
      </c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</row>
    <row r="181" spans="1:118" s="7" customFormat="1" ht="15.6" x14ac:dyDescent="0.3">
      <c r="A181" s="44" t="s">
        <v>656</v>
      </c>
      <c r="B181" s="137">
        <v>181037259702</v>
      </c>
      <c r="C181" s="137">
        <v>1037259702</v>
      </c>
      <c r="D181" s="138" t="s">
        <v>657</v>
      </c>
      <c r="E181" s="18">
        <v>186282967</v>
      </c>
      <c r="F181" s="143">
        <v>29269</v>
      </c>
      <c r="G181" s="77">
        <v>3</v>
      </c>
      <c r="H181" s="69">
        <v>6000327</v>
      </c>
      <c r="I181" s="28" t="s">
        <v>26</v>
      </c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</row>
    <row r="182" spans="1:118" s="7" customFormat="1" ht="15.6" x14ac:dyDescent="0.3">
      <c r="A182" s="44" t="s">
        <v>658</v>
      </c>
      <c r="B182" s="137" t="s">
        <v>659</v>
      </c>
      <c r="C182" s="137">
        <v>1006951745</v>
      </c>
      <c r="D182" s="138" t="s">
        <v>660</v>
      </c>
      <c r="E182" s="18">
        <v>186282967</v>
      </c>
      <c r="F182" s="143">
        <v>28369</v>
      </c>
      <c r="G182" s="77">
        <v>3</v>
      </c>
      <c r="H182" s="69">
        <v>6000327</v>
      </c>
      <c r="I182" s="28" t="s">
        <v>26</v>
      </c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</row>
    <row r="183" spans="1:118" s="7" customFormat="1" ht="15.6" x14ac:dyDescent="0.3">
      <c r="A183" s="44" t="s">
        <v>661</v>
      </c>
      <c r="B183" s="137" t="s">
        <v>662</v>
      </c>
      <c r="C183" s="137">
        <v>1353950217</v>
      </c>
      <c r="D183" s="138" t="s">
        <v>663</v>
      </c>
      <c r="E183" s="18">
        <v>186282967</v>
      </c>
      <c r="F183" s="143">
        <v>32741</v>
      </c>
      <c r="G183" s="77">
        <v>3</v>
      </c>
      <c r="H183" s="69">
        <v>6000325</v>
      </c>
      <c r="I183" s="28" t="s">
        <v>151</v>
      </c>
      <c r="J183" s="36">
        <v>48121</v>
      </c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</row>
    <row r="184" spans="1:118" s="7" customFormat="1" ht="15.6" x14ac:dyDescent="0.3">
      <c r="A184" s="44" t="s">
        <v>664</v>
      </c>
      <c r="B184" s="137" t="s">
        <v>665</v>
      </c>
      <c r="C184" s="137">
        <v>1024615089</v>
      </c>
      <c r="D184" s="138" t="s">
        <v>666</v>
      </c>
      <c r="E184" s="18">
        <v>186282967</v>
      </c>
      <c r="F184" s="143">
        <v>30468</v>
      </c>
      <c r="G184" s="77">
        <v>3</v>
      </c>
      <c r="H184" s="69">
        <v>6000326</v>
      </c>
      <c r="I184" s="28" t="s">
        <v>451</v>
      </c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</row>
    <row r="185" spans="1:118" s="7" customFormat="1" ht="15.6" x14ac:dyDescent="0.3">
      <c r="A185" s="44" t="s">
        <v>667</v>
      </c>
      <c r="B185" s="137" t="s">
        <v>668</v>
      </c>
      <c r="C185" s="137">
        <v>1100116674</v>
      </c>
      <c r="D185" s="138" t="s">
        <v>669</v>
      </c>
      <c r="E185" s="18">
        <v>186282967</v>
      </c>
      <c r="F185" s="143">
        <v>29447</v>
      </c>
      <c r="G185" s="77">
        <v>3</v>
      </c>
      <c r="H185" s="69" t="s">
        <v>670</v>
      </c>
      <c r="I185" s="28" t="s">
        <v>671</v>
      </c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</row>
    <row r="186" spans="1:118" s="7" customFormat="1" ht="15.6" x14ac:dyDescent="0.3">
      <c r="A186" s="44" t="s">
        <v>672</v>
      </c>
      <c r="B186" s="137" t="s">
        <v>673</v>
      </c>
      <c r="C186" s="137">
        <v>1268595671</v>
      </c>
      <c r="D186" s="138" t="s">
        <v>674</v>
      </c>
      <c r="E186" s="18">
        <v>186282967</v>
      </c>
      <c r="F186" s="143">
        <v>35934</v>
      </c>
      <c r="G186" s="77">
        <v>4</v>
      </c>
      <c r="H186" s="69">
        <v>6100406</v>
      </c>
      <c r="I186" s="28" t="s">
        <v>163</v>
      </c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</row>
    <row r="187" spans="1:118" s="7" customFormat="1" ht="15.6" x14ac:dyDescent="0.3">
      <c r="A187" s="44" t="s">
        <v>675</v>
      </c>
      <c r="B187" s="137" t="s">
        <v>676</v>
      </c>
      <c r="C187" s="137">
        <v>1032451133</v>
      </c>
      <c r="D187" s="138" t="s">
        <v>677</v>
      </c>
      <c r="E187" s="18">
        <v>186282967</v>
      </c>
      <c r="F187" s="143">
        <v>31477</v>
      </c>
      <c r="G187" s="77">
        <v>3</v>
      </c>
      <c r="H187" s="69">
        <v>6000327</v>
      </c>
      <c r="I187" s="28" t="s">
        <v>678</v>
      </c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</row>
    <row r="188" spans="1:118" s="7" customFormat="1" ht="15.6" x14ac:dyDescent="0.3">
      <c r="A188" s="44" t="s">
        <v>679</v>
      </c>
      <c r="B188" s="137" t="s">
        <v>3074</v>
      </c>
      <c r="C188" s="137">
        <v>1067351037</v>
      </c>
      <c r="D188" s="138" t="s">
        <v>680</v>
      </c>
      <c r="E188" s="18">
        <v>186282967</v>
      </c>
      <c r="F188" s="143">
        <v>35885</v>
      </c>
      <c r="G188" s="77">
        <v>3</v>
      </c>
      <c r="H188" s="69">
        <v>6000325</v>
      </c>
      <c r="I188" s="28" t="s">
        <v>681</v>
      </c>
      <c r="J188" s="36">
        <v>47113</v>
      </c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</row>
    <row r="189" spans="1:118" s="7" customFormat="1" ht="15.6" x14ac:dyDescent="0.3">
      <c r="A189" s="44" t="s">
        <v>682</v>
      </c>
      <c r="B189" s="137" t="s">
        <v>683</v>
      </c>
      <c r="C189" s="137" t="s">
        <v>684</v>
      </c>
      <c r="D189" s="138" t="s">
        <v>685</v>
      </c>
      <c r="E189" s="18">
        <v>186282967</v>
      </c>
      <c r="F189" s="143">
        <v>20699</v>
      </c>
      <c r="G189" s="77">
        <v>3</v>
      </c>
      <c r="H189" s="69">
        <v>6000327</v>
      </c>
      <c r="I189" s="28" t="s">
        <v>26</v>
      </c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</row>
    <row r="190" spans="1:118" s="7" customFormat="1" ht="15.6" x14ac:dyDescent="0.3">
      <c r="A190" s="44" t="s">
        <v>686</v>
      </c>
      <c r="B190" s="137" t="s">
        <v>687</v>
      </c>
      <c r="C190" s="137">
        <v>1107714404</v>
      </c>
      <c r="D190" s="138" t="s">
        <v>688</v>
      </c>
      <c r="E190" s="18">
        <v>186282967</v>
      </c>
      <c r="F190" s="143">
        <v>27029</v>
      </c>
      <c r="G190" s="77">
        <v>3</v>
      </c>
      <c r="H190" s="69">
        <v>6000327</v>
      </c>
      <c r="I190" s="28" t="s">
        <v>26</v>
      </c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</row>
    <row r="191" spans="1:118" s="7" customFormat="1" ht="15.6" x14ac:dyDescent="0.3">
      <c r="A191" s="44" t="s">
        <v>689</v>
      </c>
      <c r="B191" s="137" t="s">
        <v>690</v>
      </c>
      <c r="C191" s="137">
        <v>1091732945</v>
      </c>
      <c r="D191" s="138" t="s">
        <v>691</v>
      </c>
      <c r="E191" s="18">
        <v>186282967</v>
      </c>
      <c r="F191" s="143">
        <v>29163</v>
      </c>
      <c r="G191" s="77">
        <v>3</v>
      </c>
      <c r="H191" s="69">
        <v>6000327</v>
      </c>
      <c r="I191" s="28" t="s">
        <v>26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</row>
    <row r="192" spans="1:118" s="7" customFormat="1" ht="15.6" x14ac:dyDescent="0.3">
      <c r="A192" s="44" t="s">
        <v>692</v>
      </c>
      <c r="B192" s="137" t="s">
        <v>693</v>
      </c>
      <c r="C192" s="137">
        <v>1165861961</v>
      </c>
      <c r="D192" s="138" t="s">
        <v>694</v>
      </c>
      <c r="E192" s="18">
        <v>186282967</v>
      </c>
      <c r="F192" s="143">
        <v>31664</v>
      </c>
      <c r="G192" s="77">
        <v>4</v>
      </c>
      <c r="H192" s="69">
        <v>6100407</v>
      </c>
      <c r="I192" s="28" t="s">
        <v>252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</row>
    <row r="193" spans="1:118" s="7" customFormat="1" ht="15.6" x14ac:dyDescent="0.3">
      <c r="A193" s="44" t="s">
        <v>3006</v>
      </c>
      <c r="B193" s="137" t="s">
        <v>695</v>
      </c>
      <c r="C193" s="137">
        <v>1145207732</v>
      </c>
      <c r="D193" s="138" t="s">
        <v>3007</v>
      </c>
      <c r="E193" s="18">
        <v>186282967</v>
      </c>
      <c r="F193" s="143">
        <v>27462</v>
      </c>
      <c r="G193" s="77">
        <v>5</v>
      </c>
      <c r="H193" s="69">
        <v>6100515</v>
      </c>
      <c r="I193" s="28" t="s">
        <v>696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</row>
    <row r="194" spans="1:118" s="7" customFormat="1" ht="15.6" x14ac:dyDescent="0.3">
      <c r="A194" s="44" t="s">
        <v>2994</v>
      </c>
      <c r="B194" s="137" t="s">
        <v>2992</v>
      </c>
      <c r="C194" s="137">
        <v>1224081058</v>
      </c>
      <c r="D194" s="138" t="s">
        <v>2993</v>
      </c>
      <c r="E194" s="18">
        <v>186282967</v>
      </c>
      <c r="F194" s="143">
        <v>35631</v>
      </c>
      <c r="G194" s="77">
        <v>3</v>
      </c>
      <c r="H194" s="69">
        <v>6000325</v>
      </c>
      <c r="I194" s="28" t="s">
        <v>2694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</row>
    <row r="195" spans="1:118" s="7" customFormat="1" ht="15.6" x14ac:dyDescent="0.3">
      <c r="A195" s="44" t="s">
        <v>2996</v>
      </c>
      <c r="B195" s="137" t="s">
        <v>3073</v>
      </c>
      <c r="C195" s="137">
        <v>1064880147</v>
      </c>
      <c r="D195" s="138" t="s">
        <v>2997</v>
      </c>
      <c r="E195" s="18">
        <v>186282967</v>
      </c>
      <c r="F195" s="143">
        <v>31465</v>
      </c>
      <c r="G195" s="77">
        <v>3</v>
      </c>
      <c r="H195" s="69">
        <v>6000327</v>
      </c>
      <c r="I195" s="28" t="s">
        <v>26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</row>
    <row r="196" spans="1:118" s="7" customFormat="1" ht="15.6" x14ac:dyDescent="0.3">
      <c r="A196" s="44" t="s">
        <v>3002</v>
      </c>
      <c r="B196" s="137" t="s">
        <v>3003</v>
      </c>
      <c r="C196" s="137">
        <v>1080415671</v>
      </c>
      <c r="D196" s="138" t="s">
        <v>3004</v>
      </c>
      <c r="E196" s="18">
        <v>186282967</v>
      </c>
      <c r="F196" s="143">
        <v>29944</v>
      </c>
      <c r="G196" s="77">
        <v>4</v>
      </c>
      <c r="H196" s="69">
        <v>6100406</v>
      </c>
      <c r="I196" s="28" t="s">
        <v>3005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</row>
    <row r="197" spans="1:118" s="7" customFormat="1" ht="15.6" x14ac:dyDescent="0.3">
      <c r="A197" s="44" t="s">
        <v>3068</v>
      </c>
      <c r="B197" s="137" t="s">
        <v>3026</v>
      </c>
      <c r="C197" s="137">
        <v>1272074739</v>
      </c>
      <c r="D197" s="138" t="s">
        <v>3024</v>
      </c>
      <c r="E197" s="18">
        <v>186282967</v>
      </c>
      <c r="F197" s="143">
        <v>31755</v>
      </c>
      <c r="G197" s="77">
        <v>4</v>
      </c>
      <c r="H197" s="69">
        <v>6100406</v>
      </c>
      <c r="I197" s="28" t="s">
        <v>3025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</row>
    <row r="198" spans="1:118" s="7" customFormat="1" ht="15.6" x14ac:dyDescent="0.3">
      <c r="A198" s="44" t="s">
        <v>3069</v>
      </c>
      <c r="B198" s="137" t="s">
        <v>3066</v>
      </c>
      <c r="C198" s="137">
        <v>1045758635</v>
      </c>
      <c r="D198" s="138" t="s">
        <v>2990</v>
      </c>
      <c r="E198" s="18">
        <v>186282967</v>
      </c>
      <c r="F198" s="143">
        <v>35523</v>
      </c>
      <c r="G198" s="77">
        <v>3</v>
      </c>
      <c r="H198" s="69">
        <v>6000317</v>
      </c>
      <c r="I198" s="28" t="s">
        <v>2991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</row>
    <row r="199" spans="1:118" s="173" customFormat="1" ht="15.6" x14ac:dyDescent="0.3">
      <c r="A199" s="71" t="s">
        <v>3070</v>
      </c>
      <c r="B199" s="317" t="s">
        <v>3067</v>
      </c>
      <c r="C199" s="316">
        <v>1170573737</v>
      </c>
      <c r="D199" s="318" t="s">
        <v>873</v>
      </c>
      <c r="E199" s="312">
        <v>186282967</v>
      </c>
      <c r="F199" s="309">
        <v>27601</v>
      </c>
      <c r="G199" s="313">
        <v>3</v>
      </c>
      <c r="H199" s="314">
        <v>6000327</v>
      </c>
      <c r="I199" s="315" t="s">
        <v>26</v>
      </c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  <c r="CK199" s="71"/>
      <c r="CL199" s="71"/>
      <c r="CM199" s="71"/>
      <c r="CN199" s="71"/>
      <c r="CO199" s="71"/>
      <c r="CP199" s="71"/>
      <c r="CQ199" s="71"/>
      <c r="CR199" s="71"/>
      <c r="CS199" s="71"/>
      <c r="CT199" s="71"/>
      <c r="CU199" s="71"/>
      <c r="CV199" s="71"/>
      <c r="CW199" s="71"/>
      <c r="CX199" s="71"/>
      <c r="CY199" s="71"/>
      <c r="CZ199" s="71"/>
      <c r="DA199" s="71"/>
      <c r="DB199" s="71"/>
      <c r="DC199" s="71"/>
      <c r="DD199" s="71"/>
      <c r="DE199" s="71"/>
      <c r="DF199" s="71"/>
      <c r="DG199" s="71"/>
      <c r="DH199" s="71"/>
      <c r="DI199" s="71"/>
      <c r="DJ199" s="71"/>
      <c r="DK199" s="71"/>
      <c r="DL199" s="71"/>
      <c r="DM199" s="71"/>
      <c r="DN199" s="71"/>
    </row>
    <row r="200" spans="1:118" s="7" customFormat="1" ht="15.6" x14ac:dyDescent="0.3">
      <c r="A200" s="36" t="s">
        <v>3071</v>
      </c>
      <c r="B200" s="48">
        <v>481079756821</v>
      </c>
      <c r="C200" s="49">
        <v>1079756821</v>
      </c>
      <c r="D200" s="49" t="s">
        <v>3072</v>
      </c>
      <c r="E200" s="18">
        <v>186282967</v>
      </c>
      <c r="F200" s="143">
        <v>30344</v>
      </c>
      <c r="G200" s="77">
        <v>3</v>
      </c>
      <c r="H200" s="69">
        <v>6000325</v>
      </c>
      <c r="I200" s="28" t="s">
        <v>151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</row>
    <row r="201" spans="1:118" s="1" customFormat="1" ht="15.6" x14ac:dyDescent="0.3">
      <c r="A201" s="36"/>
      <c r="B201" s="48"/>
      <c r="C201" s="40"/>
      <c r="D201" s="49"/>
      <c r="E201" s="50"/>
      <c r="F201" s="146"/>
      <c r="G201" s="16"/>
      <c r="H201" s="16"/>
      <c r="I201" s="29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</row>
    <row r="202" spans="1:118" s="3" customFormat="1" ht="15.6" x14ac:dyDescent="0.3">
      <c r="A202" s="36"/>
      <c r="B202" s="48"/>
      <c r="C202" s="40"/>
      <c r="D202" s="49"/>
      <c r="E202" s="50"/>
      <c r="F202" s="146"/>
      <c r="G202" s="16"/>
      <c r="H202" s="16"/>
      <c r="I202" s="29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</row>
    <row r="203" spans="1:118" s="1" customFormat="1" ht="15.6" x14ac:dyDescent="0.3">
      <c r="A203" s="36"/>
      <c r="B203" s="48"/>
      <c r="C203" s="40"/>
      <c r="D203" s="49"/>
      <c r="E203" s="50"/>
      <c r="F203" s="146"/>
      <c r="G203" s="16"/>
      <c r="H203" s="16"/>
      <c r="I203" s="29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</row>
    <row r="204" spans="1:118" s="1" customFormat="1" ht="15.6" x14ac:dyDescent="0.3">
      <c r="A204" s="36"/>
      <c r="B204" s="48"/>
      <c r="C204" s="40"/>
      <c r="D204" s="49"/>
      <c r="E204" s="50"/>
      <c r="F204" s="146"/>
      <c r="G204" s="16"/>
      <c r="H204" s="16"/>
      <c r="I204" s="29"/>
      <c r="J204" s="36"/>
      <c r="K204" s="40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</row>
    <row r="205" spans="1:118" s="1" customFormat="1" ht="15.6" x14ac:dyDescent="0.3">
      <c r="A205" s="36"/>
      <c r="B205" s="48"/>
      <c r="C205" s="40"/>
      <c r="D205" s="49"/>
      <c r="E205" s="50"/>
      <c r="F205" s="146"/>
      <c r="G205" s="16"/>
      <c r="H205" s="16"/>
      <c r="I205" s="29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</row>
    <row r="206" spans="1:118" s="1" customFormat="1" ht="15.6" x14ac:dyDescent="0.3">
      <c r="A206" s="36"/>
      <c r="B206" s="48"/>
      <c r="C206" s="40"/>
      <c r="D206" s="49"/>
      <c r="E206" s="50"/>
      <c r="F206" s="146"/>
      <c r="G206" s="16"/>
      <c r="H206" s="16"/>
      <c r="I206" s="29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</row>
    <row r="207" spans="1:118" s="1" customFormat="1" ht="15.6" x14ac:dyDescent="0.3">
      <c r="A207" s="36"/>
      <c r="B207" s="48"/>
      <c r="C207" s="40"/>
      <c r="D207" s="49"/>
      <c r="E207" s="50"/>
      <c r="F207" s="146"/>
      <c r="G207" s="16"/>
      <c r="H207" s="16"/>
      <c r="I207" s="29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</row>
    <row r="208" spans="1:118" s="1" customFormat="1" ht="15.6" x14ac:dyDescent="0.3">
      <c r="A208" s="36"/>
      <c r="B208" s="48"/>
      <c r="C208" s="40"/>
      <c r="D208" s="49"/>
      <c r="E208" s="50"/>
      <c r="F208" s="146"/>
      <c r="G208" s="16"/>
      <c r="H208" s="16"/>
      <c r="I208" s="29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</row>
    <row r="209" spans="1:118" s="1" customFormat="1" ht="15.6" x14ac:dyDescent="0.3">
      <c r="A209" s="36"/>
      <c r="B209" s="48"/>
      <c r="C209" s="40"/>
      <c r="D209" s="49"/>
      <c r="E209" s="50"/>
      <c r="F209" s="146"/>
      <c r="G209" s="16"/>
      <c r="H209" s="16"/>
      <c r="I209" s="29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</row>
    <row r="210" spans="1:118" s="1" customFormat="1" ht="15.6" x14ac:dyDescent="0.3">
      <c r="A210" s="36"/>
      <c r="B210" s="48"/>
      <c r="C210" s="40"/>
      <c r="D210" s="49"/>
      <c r="E210" s="50"/>
      <c r="F210" s="146"/>
      <c r="G210" s="16"/>
      <c r="H210" s="16"/>
      <c r="I210" s="29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</row>
    <row r="211" spans="1:118" s="1" customFormat="1" ht="15.6" x14ac:dyDescent="0.3">
      <c r="A211" s="36"/>
      <c r="B211" s="48"/>
      <c r="C211" s="40"/>
      <c r="D211" s="49"/>
      <c r="E211" s="50"/>
      <c r="F211" s="146"/>
      <c r="G211" s="16"/>
      <c r="H211" s="16"/>
      <c r="I211" s="29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</row>
    <row r="212" spans="1:118" s="1" customFormat="1" ht="15.6" x14ac:dyDescent="0.3">
      <c r="A212" s="36"/>
      <c r="B212" s="48"/>
      <c r="C212" s="40"/>
      <c r="D212" s="49"/>
      <c r="E212" s="50"/>
      <c r="F212" s="146"/>
      <c r="G212" s="16"/>
      <c r="H212" s="16"/>
      <c r="I212" s="29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</row>
    <row r="213" spans="1:118" s="1" customFormat="1" ht="15.6" x14ac:dyDescent="0.3">
      <c r="A213" s="36"/>
      <c r="B213" s="48"/>
      <c r="C213" s="40"/>
      <c r="D213" s="49"/>
      <c r="E213" s="50"/>
      <c r="F213" s="146"/>
      <c r="G213" s="16"/>
      <c r="H213" s="16"/>
      <c r="I213" s="29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</row>
    <row r="214" spans="1:118" s="1" customFormat="1" ht="15.6" x14ac:dyDescent="0.3">
      <c r="A214" s="36"/>
      <c r="B214" s="48"/>
      <c r="C214" s="40"/>
      <c r="D214" s="49"/>
      <c r="E214" s="50"/>
      <c r="F214" s="146"/>
      <c r="G214" s="16"/>
      <c r="H214" s="16"/>
      <c r="I214" s="29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</row>
    <row r="215" spans="1:118" s="1" customFormat="1" ht="15.6" x14ac:dyDescent="0.3">
      <c r="A215" s="36"/>
      <c r="B215" s="48"/>
      <c r="C215" s="40"/>
      <c r="D215" s="49"/>
      <c r="E215" s="50"/>
      <c r="F215" s="146"/>
      <c r="G215" s="16"/>
      <c r="H215" s="16"/>
      <c r="I215" s="29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</row>
    <row r="216" spans="1:118" s="1" customFormat="1" ht="15.6" x14ac:dyDescent="0.3">
      <c r="A216" s="36"/>
      <c r="B216" s="48"/>
      <c r="C216" s="40"/>
      <c r="D216" s="49"/>
      <c r="E216" s="50"/>
      <c r="F216" s="146"/>
      <c r="G216" s="16"/>
      <c r="H216" s="16"/>
      <c r="I216" s="29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</row>
    <row r="217" spans="1:118" s="1" customFormat="1" ht="15.6" x14ac:dyDescent="0.3">
      <c r="A217" s="36"/>
      <c r="B217" s="48"/>
      <c r="C217" s="40"/>
      <c r="D217" s="49"/>
      <c r="E217" s="50"/>
      <c r="F217" s="146"/>
      <c r="G217" s="16"/>
      <c r="H217" s="16"/>
      <c r="I217" s="29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</row>
    <row r="218" spans="1:118" s="1" customFormat="1" ht="15.6" x14ac:dyDescent="0.3">
      <c r="A218" s="36"/>
      <c r="B218" s="48"/>
      <c r="C218" s="40"/>
      <c r="D218" s="49"/>
      <c r="E218" s="50"/>
      <c r="F218" s="146"/>
      <c r="G218" s="16"/>
      <c r="H218" s="16"/>
      <c r="I218" s="29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</row>
    <row r="219" spans="1:118" s="1" customFormat="1" ht="15.6" x14ac:dyDescent="0.3">
      <c r="A219" s="36"/>
      <c r="B219" s="48"/>
      <c r="C219" s="40"/>
      <c r="D219" s="49"/>
      <c r="E219" s="50"/>
      <c r="F219" s="146"/>
      <c r="G219" s="16"/>
      <c r="H219" s="16"/>
      <c r="I219" s="29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</row>
    <row r="220" spans="1:118" s="1" customFormat="1" ht="15.6" x14ac:dyDescent="0.3">
      <c r="A220" s="36"/>
      <c r="B220" s="48"/>
      <c r="C220" s="40"/>
      <c r="D220" s="49"/>
      <c r="E220" s="50"/>
      <c r="F220" s="146"/>
      <c r="G220" s="16"/>
      <c r="H220" s="16"/>
      <c r="I220" s="29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</row>
    <row r="221" spans="1:118" s="1" customFormat="1" ht="15.6" x14ac:dyDescent="0.3">
      <c r="A221" s="36"/>
      <c r="B221" s="48"/>
      <c r="C221" s="40"/>
      <c r="D221" s="49"/>
      <c r="E221" s="50"/>
      <c r="F221" s="146"/>
      <c r="G221" s="16"/>
      <c r="H221" s="16"/>
      <c r="I221" s="29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</row>
    <row r="222" spans="1:118" s="1" customFormat="1" ht="15.6" x14ac:dyDescent="0.3">
      <c r="A222" s="36"/>
      <c r="B222" s="48"/>
      <c r="C222" s="40"/>
      <c r="D222" s="49"/>
      <c r="E222" s="50"/>
      <c r="F222" s="146"/>
      <c r="G222" s="16"/>
      <c r="H222" s="16"/>
      <c r="I222" s="29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</row>
    <row r="223" spans="1:118" s="1" customFormat="1" ht="15.6" x14ac:dyDescent="0.3">
      <c r="A223" s="36"/>
      <c r="B223" s="48"/>
      <c r="C223" s="40"/>
      <c r="D223" s="49"/>
      <c r="E223" s="50"/>
      <c r="F223" s="146"/>
      <c r="G223" s="16"/>
      <c r="H223" s="16"/>
      <c r="I223" s="29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</row>
    <row r="224" spans="1:118" s="1" customFormat="1" ht="15.6" x14ac:dyDescent="0.3">
      <c r="A224" s="36"/>
      <c r="B224" s="48"/>
      <c r="C224" s="40"/>
      <c r="D224" s="49"/>
      <c r="E224" s="50"/>
      <c r="F224" s="146"/>
      <c r="G224" s="16"/>
      <c r="H224" s="16"/>
      <c r="I224" s="29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</row>
    <row r="225" spans="1:118" s="1" customFormat="1" ht="15.6" x14ac:dyDescent="0.3">
      <c r="A225" s="36"/>
      <c r="B225" s="48"/>
      <c r="C225" s="40"/>
      <c r="D225" s="49"/>
      <c r="E225" s="50"/>
      <c r="F225" s="146"/>
      <c r="G225" s="16"/>
      <c r="H225" s="16"/>
      <c r="I225" s="29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</row>
    <row r="226" spans="1:118" s="1" customFormat="1" ht="15.6" x14ac:dyDescent="0.3">
      <c r="A226" s="36"/>
      <c r="B226" s="48"/>
      <c r="C226" s="40"/>
      <c r="D226" s="49"/>
      <c r="E226" s="50"/>
      <c r="F226" s="146"/>
      <c r="G226" s="16"/>
      <c r="H226" s="16"/>
      <c r="I226" s="29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</row>
    <row r="227" spans="1:118" s="3" customFormat="1" ht="15.6" x14ac:dyDescent="0.3">
      <c r="A227" s="36"/>
      <c r="B227" s="48"/>
      <c r="C227" s="40"/>
      <c r="D227" s="49"/>
      <c r="E227" s="50"/>
      <c r="F227" s="146"/>
      <c r="G227" s="16"/>
      <c r="H227" s="16"/>
      <c r="I227" s="29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</row>
    <row r="228" spans="1:118" s="1" customFormat="1" ht="15.6" x14ac:dyDescent="0.3">
      <c r="A228" s="36"/>
      <c r="B228" s="48"/>
      <c r="C228" s="40"/>
      <c r="D228" s="49"/>
      <c r="E228" s="50"/>
      <c r="F228" s="146"/>
      <c r="G228" s="16"/>
      <c r="H228" s="16"/>
      <c r="I228" s="29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</row>
    <row r="229" spans="1:118" s="1" customFormat="1" ht="15.6" x14ac:dyDescent="0.3">
      <c r="A229" s="36"/>
      <c r="B229" s="48"/>
      <c r="C229" s="40"/>
      <c r="D229" s="49"/>
      <c r="E229" s="50"/>
      <c r="F229" s="146"/>
      <c r="G229" s="16"/>
      <c r="H229" s="16"/>
      <c r="I229" s="29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</row>
    <row r="230" spans="1:118" s="1" customFormat="1" ht="15.6" x14ac:dyDescent="0.3">
      <c r="A230" s="36"/>
      <c r="B230" s="48"/>
      <c r="C230" s="40"/>
      <c r="D230" s="49"/>
      <c r="E230" s="50"/>
      <c r="F230" s="146"/>
      <c r="G230" s="16"/>
      <c r="H230" s="16"/>
      <c r="I230" s="29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</row>
    <row r="231" spans="1:118" s="1" customFormat="1" ht="15.6" x14ac:dyDescent="0.3">
      <c r="A231" s="36"/>
      <c r="B231" s="48"/>
      <c r="C231" s="40"/>
      <c r="D231" s="49"/>
      <c r="E231" s="50"/>
      <c r="F231" s="146"/>
      <c r="G231" s="16"/>
      <c r="H231" s="16"/>
      <c r="I231" s="29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</row>
    <row r="232" spans="1:118" s="1" customFormat="1" ht="15.6" x14ac:dyDescent="0.3">
      <c r="A232" s="36"/>
      <c r="B232" s="48"/>
      <c r="C232" s="40"/>
      <c r="D232" s="49"/>
      <c r="E232" s="50"/>
      <c r="F232" s="146"/>
      <c r="G232" s="16"/>
      <c r="H232" s="16"/>
      <c r="I232" s="29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</row>
    <row r="233" spans="1:118" s="1" customFormat="1" ht="15.6" x14ac:dyDescent="0.3">
      <c r="A233" s="36"/>
      <c r="B233" s="48"/>
      <c r="C233" s="40"/>
      <c r="D233" s="49"/>
      <c r="E233" s="50"/>
      <c r="F233" s="146"/>
      <c r="G233" s="16"/>
      <c r="H233" s="16"/>
      <c r="I233" s="29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</row>
    <row r="234" spans="1:118" s="1" customFormat="1" ht="15.6" x14ac:dyDescent="0.3">
      <c r="A234" s="36"/>
      <c r="B234" s="48"/>
      <c r="C234" s="40"/>
      <c r="D234" s="49"/>
      <c r="E234" s="50"/>
      <c r="F234" s="146"/>
      <c r="G234" s="16"/>
      <c r="H234" s="16"/>
      <c r="I234" s="29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</row>
    <row r="235" spans="1:118" s="1" customFormat="1" ht="15.6" x14ac:dyDescent="0.3">
      <c r="A235" s="36"/>
      <c r="B235" s="48"/>
      <c r="C235" s="40"/>
      <c r="D235" s="49"/>
      <c r="E235" s="50"/>
      <c r="F235" s="146"/>
      <c r="G235" s="16"/>
      <c r="H235" s="16"/>
      <c r="I235" s="29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</row>
    <row r="236" spans="1:118" s="1" customFormat="1" ht="15.6" x14ac:dyDescent="0.3">
      <c r="A236" s="36"/>
      <c r="B236" s="48"/>
      <c r="C236" s="40"/>
      <c r="D236" s="49"/>
      <c r="E236" s="50"/>
      <c r="F236" s="146"/>
      <c r="G236" s="16"/>
      <c r="H236" s="16"/>
      <c r="I236" s="29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</row>
    <row r="237" spans="1:118" s="1" customFormat="1" ht="15.6" x14ac:dyDescent="0.3">
      <c r="A237" s="36"/>
      <c r="B237" s="48"/>
      <c r="C237" s="40"/>
      <c r="D237" s="49"/>
      <c r="E237" s="50"/>
      <c r="F237" s="146"/>
      <c r="G237" s="16"/>
      <c r="H237" s="16"/>
      <c r="I237" s="29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</row>
    <row r="238" spans="1:118" s="1" customFormat="1" ht="15.6" x14ac:dyDescent="0.3">
      <c r="A238" s="36"/>
      <c r="B238" s="48"/>
      <c r="C238" s="40"/>
      <c r="D238" s="49"/>
      <c r="E238" s="50"/>
      <c r="F238" s="146"/>
      <c r="G238" s="16"/>
      <c r="H238" s="16"/>
      <c r="I238" s="29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</row>
    <row r="239" spans="1:118" s="1" customFormat="1" ht="15.6" x14ac:dyDescent="0.3">
      <c r="A239" s="36"/>
      <c r="B239" s="48"/>
      <c r="C239" s="40"/>
      <c r="D239" s="49"/>
      <c r="E239" s="50"/>
      <c r="F239" s="146"/>
      <c r="G239" s="16"/>
      <c r="H239" s="16"/>
      <c r="I239" s="29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</row>
    <row r="240" spans="1:118" s="1" customFormat="1" ht="15.6" x14ac:dyDescent="0.3">
      <c r="A240" s="36"/>
      <c r="B240" s="48"/>
      <c r="C240" s="40"/>
      <c r="D240" s="49"/>
      <c r="E240" s="50"/>
      <c r="F240" s="146"/>
      <c r="G240" s="16"/>
      <c r="H240" s="16"/>
      <c r="I240" s="29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</row>
    <row r="241" spans="1:118" s="1" customFormat="1" ht="15.6" x14ac:dyDescent="0.3">
      <c r="A241" s="36"/>
      <c r="B241" s="48"/>
      <c r="C241" s="40"/>
      <c r="D241" s="49"/>
      <c r="E241" s="50"/>
      <c r="F241" s="146"/>
      <c r="G241" s="16"/>
      <c r="H241" s="16"/>
      <c r="I241" s="29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</row>
    <row r="242" spans="1:118" s="3" customFormat="1" ht="15.6" x14ac:dyDescent="0.3">
      <c r="A242" s="36"/>
      <c r="B242" s="48"/>
      <c r="C242" s="40"/>
      <c r="D242" s="49"/>
      <c r="E242" s="50"/>
      <c r="F242" s="146"/>
      <c r="G242" s="16"/>
      <c r="H242" s="16"/>
      <c r="I242" s="29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</row>
    <row r="243" spans="1:118" s="1" customFormat="1" ht="15.6" x14ac:dyDescent="0.3">
      <c r="A243" s="36"/>
      <c r="B243" s="48"/>
      <c r="C243" s="40"/>
      <c r="D243" s="49"/>
      <c r="E243" s="50"/>
      <c r="F243" s="146"/>
      <c r="G243" s="16"/>
      <c r="H243" s="16"/>
      <c r="I243" s="29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</row>
    <row r="244" spans="1:118" s="1" customFormat="1" ht="15.6" x14ac:dyDescent="0.3">
      <c r="A244" s="36"/>
      <c r="B244" s="48"/>
      <c r="C244" s="40"/>
      <c r="D244" s="49"/>
      <c r="E244" s="50"/>
      <c r="F244" s="146"/>
      <c r="G244" s="16"/>
      <c r="H244" s="16"/>
      <c r="I244" s="29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</row>
    <row r="245" spans="1:118" s="1" customFormat="1" ht="15.6" x14ac:dyDescent="0.3">
      <c r="A245" s="36"/>
      <c r="B245" s="48"/>
      <c r="C245" s="40"/>
      <c r="D245" s="49"/>
      <c r="E245" s="50"/>
      <c r="F245" s="146"/>
      <c r="G245" s="16"/>
      <c r="H245" s="16"/>
      <c r="I245" s="29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</row>
    <row r="246" spans="1:118" s="1" customFormat="1" ht="15.6" x14ac:dyDescent="0.3">
      <c r="A246" s="36"/>
      <c r="B246" s="48"/>
      <c r="C246" s="40"/>
      <c r="D246" s="49"/>
      <c r="E246" s="50"/>
      <c r="F246" s="146"/>
      <c r="G246" s="16"/>
      <c r="H246" s="16"/>
      <c r="I246" s="29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</row>
    <row r="247" spans="1:118" s="1" customFormat="1" ht="15.6" x14ac:dyDescent="0.3">
      <c r="A247" s="36"/>
      <c r="B247" s="48"/>
      <c r="C247" s="40"/>
      <c r="D247" s="49"/>
      <c r="E247" s="50"/>
      <c r="F247" s="146"/>
      <c r="G247" s="16"/>
      <c r="H247" s="16"/>
      <c r="I247" s="29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</row>
    <row r="248" spans="1:118" s="1" customFormat="1" ht="15.6" x14ac:dyDescent="0.3">
      <c r="A248" s="36"/>
      <c r="B248" s="48"/>
      <c r="C248" s="40"/>
      <c r="D248" s="49"/>
      <c r="E248" s="50"/>
      <c r="F248" s="146"/>
      <c r="G248" s="16"/>
      <c r="H248" s="16"/>
      <c r="I248" s="29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</row>
    <row r="249" spans="1:118" s="1" customFormat="1" ht="15.6" x14ac:dyDescent="0.3">
      <c r="A249" s="36"/>
      <c r="B249" s="48"/>
      <c r="C249" s="40"/>
      <c r="D249" s="49"/>
      <c r="E249" s="50"/>
      <c r="F249" s="146"/>
      <c r="G249" s="16"/>
      <c r="H249" s="16"/>
      <c r="I249" s="29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</row>
    <row r="250" spans="1:118" s="1" customFormat="1" ht="15.6" x14ac:dyDescent="0.3">
      <c r="A250" s="36"/>
      <c r="B250" s="48"/>
      <c r="C250" s="40"/>
      <c r="D250" s="49"/>
      <c r="E250" s="50"/>
      <c r="F250" s="146"/>
      <c r="G250" s="16"/>
      <c r="H250" s="16"/>
      <c r="I250" s="29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</row>
    <row r="251" spans="1:118" s="1" customFormat="1" ht="15.6" x14ac:dyDescent="0.3">
      <c r="A251" s="36"/>
      <c r="B251" s="48"/>
      <c r="C251" s="40"/>
      <c r="D251" s="49"/>
      <c r="E251" s="50"/>
      <c r="F251" s="146"/>
      <c r="G251" s="16"/>
      <c r="H251" s="16"/>
      <c r="I251" s="29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</row>
    <row r="252" spans="1:118" s="1" customFormat="1" ht="15.6" x14ac:dyDescent="0.3">
      <c r="A252" s="36"/>
      <c r="B252" s="48"/>
      <c r="C252" s="40"/>
      <c r="D252" s="49"/>
      <c r="E252" s="50"/>
      <c r="F252" s="146"/>
      <c r="G252" s="16"/>
      <c r="H252" s="16"/>
      <c r="I252" s="29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</row>
    <row r="253" spans="1:118" s="1" customFormat="1" ht="15.6" x14ac:dyDescent="0.3">
      <c r="A253" s="36"/>
      <c r="B253" s="48"/>
      <c r="C253" s="40"/>
      <c r="D253" s="49"/>
      <c r="E253" s="50"/>
      <c r="F253" s="146"/>
      <c r="G253" s="16"/>
      <c r="H253" s="16"/>
      <c r="I253" s="29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</row>
    <row r="254" spans="1:118" s="1" customFormat="1" ht="15.6" x14ac:dyDescent="0.3">
      <c r="A254" s="36"/>
      <c r="B254" s="48"/>
      <c r="C254" s="40"/>
      <c r="D254" s="49"/>
      <c r="E254" s="50"/>
      <c r="F254" s="146"/>
      <c r="G254" s="16"/>
      <c r="H254" s="16"/>
      <c r="I254" s="29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</row>
    <row r="255" spans="1:118" s="1" customFormat="1" ht="15.6" x14ac:dyDescent="0.3">
      <c r="A255" s="36"/>
      <c r="B255" s="48"/>
      <c r="C255" s="40"/>
      <c r="D255" s="49"/>
      <c r="E255" s="50"/>
      <c r="F255" s="146"/>
      <c r="G255" s="16"/>
      <c r="H255" s="16"/>
      <c r="I255" s="29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</row>
    <row r="256" spans="1:118" s="1" customFormat="1" ht="15.6" x14ac:dyDescent="0.3">
      <c r="A256" s="36"/>
      <c r="B256" s="48"/>
      <c r="C256" s="40"/>
      <c r="D256" s="49"/>
      <c r="E256" s="50"/>
      <c r="F256" s="146"/>
      <c r="G256" s="16"/>
      <c r="H256" s="16"/>
      <c r="I256" s="29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</row>
    <row r="257" spans="1:118" s="1" customFormat="1" ht="15.6" x14ac:dyDescent="0.3">
      <c r="A257" s="36"/>
      <c r="B257" s="48"/>
      <c r="C257" s="40"/>
      <c r="D257" s="49"/>
      <c r="E257" s="50"/>
      <c r="F257" s="146"/>
      <c r="G257" s="16"/>
      <c r="H257" s="16"/>
      <c r="I257" s="29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</row>
    <row r="258" spans="1:118" s="1" customFormat="1" ht="15.6" x14ac:dyDescent="0.3">
      <c r="A258" s="36"/>
      <c r="B258" s="48"/>
      <c r="C258" s="40"/>
      <c r="D258" s="49"/>
      <c r="E258" s="50"/>
      <c r="F258" s="146"/>
      <c r="G258" s="16"/>
      <c r="H258" s="16"/>
      <c r="I258" s="29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</row>
    <row r="259" spans="1:118" s="1" customFormat="1" ht="15.6" x14ac:dyDescent="0.3">
      <c r="A259" s="36"/>
      <c r="B259" s="48"/>
      <c r="C259" s="40"/>
      <c r="D259" s="49"/>
      <c r="E259" s="50"/>
      <c r="F259" s="146"/>
      <c r="G259" s="16"/>
      <c r="H259" s="16"/>
      <c r="I259" s="29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</row>
    <row r="260" spans="1:118" s="1" customFormat="1" ht="15.6" x14ac:dyDescent="0.3">
      <c r="A260" s="36"/>
      <c r="B260" s="48"/>
      <c r="C260" s="40"/>
      <c r="D260" s="49"/>
      <c r="E260" s="50"/>
      <c r="F260" s="146"/>
      <c r="G260" s="16"/>
      <c r="H260" s="16"/>
      <c r="I260" s="29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</row>
    <row r="261" spans="1:118" s="1" customFormat="1" ht="15.6" x14ac:dyDescent="0.3">
      <c r="A261" s="36"/>
      <c r="B261" s="48"/>
      <c r="C261" s="40"/>
      <c r="D261" s="49"/>
      <c r="E261" s="50"/>
      <c r="F261" s="146"/>
      <c r="G261" s="16"/>
      <c r="H261" s="16"/>
      <c r="I261" s="29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</row>
    <row r="262" spans="1:118" s="1" customFormat="1" ht="15.6" x14ac:dyDescent="0.3">
      <c r="A262" s="36"/>
      <c r="B262" s="48"/>
      <c r="C262" s="40"/>
      <c r="D262" s="49"/>
      <c r="E262" s="50"/>
      <c r="F262" s="146"/>
      <c r="G262" s="16"/>
      <c r="H262" s="16"/>
      <c r="I262" s="29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</row>
    <row r="263" spans="1:118" s="1" customFormat="1" ht="15.6" x14ac:dyDescent="0.3">
      <c r="A263" s="36"/>
      <c r="B263" s="48"/>
      <c r="C263" s="40"/>
      <c r="D263" s="49"/>
      <c r="E263" s="50"/>
      <c r="F263" s="146"/>
      <c r="G263" s="16"/>
      <c r="H263" s="16"/>
      <c r="I263" s="29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</row>
    <row r="264" spans="1:118" s="1" customFormat="1" ht="15.6" x14ac:dyDescent="0.3">
      <c r="A264" s="36"/>
      <c r="B264" s="48"/>
      <c r="C264" s="40"/>
      <c r="D264" s="49"/>
      <c r="E264" s="50"/>
      <c r="F264" s="146"/>
      <c r="G264" s="16"/>
      <c r="H264" s="16"/>
      <c r="I264" s="29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</row>
    <row r="265" spans="1:118" s="1" customFormat="1" ht="15.6" x14ac:dyDescent="0.3">
      <c r="A265" s="36"/>
      <c r="B265" s="48"/>
      <c r="C265" s="40"/>
      <c r="D265" s="49"/>
      <c r="E265" s="50"/>
      <c r="F265" s="146"/>
      <c r="G265" s="16"/>
      <c r="H265" s="16"/>
      <c r="I265" s="29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</row>
    <row r="266" spans="1:118" s="1" customFormat="1" ht="15.6" x14ac:dyDescent="0.3">
      <c r="A266" s="36"/>
      <c r="B266" s="48"/>
      <c r="C266" s="40"/>
      <c r="D266" s="49"/>
      <c r="E266" s="50"/>
      <c r="F266" s="146"/>
      <c r="G266" s="16"/>
      <c r="H266" s="16"/>
      <c r="I266" s="29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</row>
    <row r="267" spans="1:118" s="1" customFormat="1" ht="15.6" x14ac:dyDescent="0.3">
      <c r="A267" s="36"/>
      <c r="B267" s="48"/>
      <c r="C267" s="40"/>
      <c r="D267" s="49"/>
      <c r="E267" s="50"/>
      <c r="F267" s="146"/>
      <c r="G267" s="16"/>
      <c r="H267" s="16"/>
      <c r="I267" s="29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</row>
    <row r="268" spans="1:118" s="1" customFormat="1" ht="15.6" x14ac:dyDescent="0.3">
      <c r="A268" s="36"/>
      <c r="B268" s="48"/>
      <c r="C268" s="40"/>
      <c r="D268" s="49"/>
      <c r="E268" s="50"/>
      <c r="F268" s="146"/>
      <c r="G268" s="16"/>
      <c r="H268" s="16"/>
      <c r="I268" s="29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</row>
    <row r="269" spans="1:118" s="1" customFormat="1" ht="15.6" x14ac:dyDescent="0.3">
      <c r="A269" s="36"/>
      <c r="B269" s="48"/>
      <c r="C269" s="40"/>
      <c r="D269" s="49"/>
      <c r="E269" s="50"/>
      <c r="F269" s="146"/>
      <c r="G269" s="16"/>
      <c r="H269" s="16"/>
      <c r="I269" s="29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</row>
    <row r="270" spans="1:118" s="1" customFormat="1" ht="15.6" x14ac:dyDescent="0.3">
      <c r="A270" s="36"/>
      <c r="B270" s="48"/>
      <c r="C270" s="40"/>
      <c r="D270" s="49"/>
      <c r="E270" s="50"/>
      <c r="F270" s="146"/>
      <c r="G270" s="16"/>
      <c r="H270" s="16"/>
      <c r="I270" s="29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</row>
    <row r="271" spans="1:118" s="1" customFormat="1" ht="15.6" x14ac:dyDescent="0.3">
      <c r="A271" s="36"/>
      <c r="B271" s="48"/>
      <c r="C271" s="40"/>
      <c r="D271" s="49"/>
      <c r="E271" s="50"/>
      <c r="F271" s="146"/>
      <c r="G271" s="16"/>
      <c r="H271" s="16"/>
      <c r="I271" s="29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</row>
    <row r="272" spans="1:118" s="1" customFormat="1" ht="15.6" x14ac:dyDescent="0.3">
      <c r="A272" s="36"/>
      <c r="B272" s="48"/>
      <c r="C272" s="40"/>
      <c r="D272" s="49"/>
      <c r="E272" s="50"/>
      <c r="F272" s="146"/>
      <c r="G272" s="16"/>
      <c r="H272" s="16"/>
      <c r="I272" s="29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</row>
    <row r="273" spans="1:118" s="1" customFormat="1" ht="15.6" x14ac:dyDescent="0.3">
      <c r="A273" s="36"/>
      <c r="B273" s="48"/>
      <c r="C273" s="40"/>
      <c r="D273" s="49"/>
      <c r="E273" s="50"/>
      <c r="F273" s="146"/>
      <c r="G273" s="16"/>
      <c r="H273" s="16"/>
      <c r="I273" s="29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</row>
    <row r="274" spans="1:118" s="1" customFormat="1" ht="15.6" x14ac:dyDescent="0.3">
      <c r="A274" s="36"/>
      <c r="B274" s="48"/>
      <c r="C274" s="40"/>
      <c r="D274" s="49"/>
      <c r="E274" s="50"/>
      <c r="F274" s="146"/>
      <c r="G274" s="16"/>
      <c r="H274" s="16"/>
      <c r="I274" s="29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</row>
    <row r="275" spans="1:118" s="1" customFormat="1" ht="15.6" x14ac:dyDescent="0.3">
      <c r="A275" s="36"/>
      <c r="B275" s="48"/>
      <c r="C275" s="40"/>
      <c r="D275" s="49"/>
      <c r="E275" s="50"/>
      <c r="F275" s="146"/>
      <c r="G275" s="16"/>
      <c r="H275" s="16"/>
      <c r="I275" s="29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</row>
    <row r="276" spans="1:118" s="1" customFormat="1" ht="15.6" x14ac:dyDescent="0.3">
      <c r="A276" s="36"/>
      <c r="B276" s="48"/>
      <c r="C276" s="40"/>
      <c r="D276" s="49"/>
      <c r="E276" s="50"/>
      <c r="F276" s="146"/>
      <c r="G276" s="16"/>
      <c r="H276" s="16"/>
      <c r="I276" s="29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</row>
    <row r="277" spans="1:118" s="1" customFormat="1" ht="15.6" x14ac:dyDescent="0.3">
      <c r="A277" s="36"/>
      <c r="B277" s="48"/>
      <c r="C277" s="40"/>
      <c r="D277" s="49"/>
      <c r="E277" s="50"/>
      <c r="F277" s="146"/>
      <c r="G277" s="16"/>
      <c r="H277" s="16"/>
      <c r="I277" s="29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</row>
    <row r="278" spans="1:118" s="1" customFormat="1" ht="15.6" x14ac:dyDescent="0.3">
      <c r="A278" s="36"/>
      <c r="B278" s="48"/>
      <c r="C278" s="40"/>
      <c r="D278" s="49"/>
      <c r="E278" s="50"/>
      <c r="F278" s="146"/>
      <c r="G278" s="16"/>
      <c r="H278" s="16"/>
      <c r="I278" s="29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</row>
    <row r="279" spans="1:118" s="1" customFormat="1" ht="15.6" x14ac:dyDescent="0.3">
      <c r="A279" s="36"/>
      <c r="B279" s="48"/>
      <c r="C279" s="40"/>
      <c r="D279" s="49"/>
      <c r="E279" s="50"/>
      <c r="F279" s="146"/>
      <c r="G279" s="16"/>
      <c r="H279" s="16"/>
      <c r="I279" s="29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</row>
    <row r="280" spans="1:118" s="1" customFormat="1" ht="15.6" x14ac:dyDescent="0.3">
      <c r="A280" s="36"/>
      <c r="B280" s="48"/>
      <c r="C280" s="40"/>
      <c r="D280" s="49"/>
      <c r="E280" s="50"/>
      <c r="F280" s="146"/>
      <c r="G280" s="16"/>
      <c r="H280" s="16"/>
      <c r="I280" s="29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</row>
    <row r="281" spans="1:118" s="1" customFormat="1" ht="15.6" x14ac:dyDescent="0.3">
      <c r="A281" s="36"/>
      <c r="B281" s="48"/>
      <c r="C281" s="40"/>
      <c r="D281" s="49"/>
      <c r="E281" s="50"/>
      <c r="F281" s="146"/>
      <c r="G281" s="16"/>
      <c r="H281" s="16"/>
      <c r="I281" s="29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</row>
    <row r="282" spans="1:118" s="1" customFormat="1" ht="15.6" x14ac:dyDescent="0.3">
      <c r="A282" s="36"/>
      <c r="B282" s="48"/>
      <c r="C282" s="40"/>
      <c r="D282" s="49"/>
      <c r="E282" s="50"/>
      <c r="F282" s="146"/>
      <c r="G282" s="16"/>
      <c r="H282" s="16"/>
      <c r="I282" s="29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</row>
    <row r="283" spans="1:118" s="1" customFormat="1" ht="15.6" x14ac:dyDescent="0.3">
      <c r="A283" s="36"/>
      <c r="B283" s="48"/>
      <c r="C283" s="40"/>
      <c r="D283" s="49"/>
      <c r="E283" s="50"/>
      <c r="F283" s="146"/>
      <c r="G283" s="16"/>
      <c r="H283" s="16"/>
      <c r="I283" s="29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</row>
    <row r="284" spans="1:118" s="1" customFormat="1" ht="15.6" x14ac:dyDescent="0.3">
      <c r="A284" s="36"/>
      <c r="B284" s="48"/>
      <c r="C284" s="40"/>
      <c r="D284" s="49"/>
      <c r="E284" s="50"/>
      <c r="F284" s="146"/>
      <c r="G284" s="16"/>
      <c r="H284" s="16"/>
      <c r="I284" s="29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</row>
    <row r="285" spans="1:118" s="1" customFormat="1" ht="15.6" x14ac:dyDescent="0.3">
      <c r="A285" s="36"/>
      <c r="B285" s="48"/>
      <c r="C285" s="40"/>
      <c r="D285" s="49"/>
      <c r="E285" s="50"/>
      <c r="F285" s="146"/>
      <c r="G285" s="16"/>
      <c r="H285" s="16"/>
      <c r="I285" s="29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</row>
    <row r="286" spans="1:118" s="1" customFormat="1" ht="15.6" x14ac:dyDescent="0.3">
      <c r="A286" s="36"/>
      <c r="B286" s="48"/>
      <c r="C286" s="40"/>
      <c r="D286" s="49"/>
      <c r="E286" s="50"/>
      <c r="F286" s="146"/>
      <c r="G286" s="16"/>
      <c r="H286" s="16"/>
      <c r="I286" s="29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</row>
    <row r="287" spans="1:118" s="1" customFormat="1" ht="15.6" x14ac:dyDescent="0.3">
      <c r="A287" s="36"/>
      <c r="B287" s="48"/>
      <c r="C287" s="40"/>
      <c r="D287" s="49"/>
      <c r="E287" s="50"/>
      <c r="F287" s="146"/>
      <c r="G287" s="16"/>
      <c r="H287" s="16"/>
      <c r="I287" s="29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</row>
    <row r="288" spans="1:118" s="1" customFormat="1" ht="15.6" x14ac:dyDescent="0.3">
      <c r="A288" s="36"/>
      <c r="B288" s="48"/>
      <c r="C288" s="40"/>
      <c r="D288" s="49"/>
      <c r="E288" s="50"/>
      <c r="F288" s="146"/>
      <c r="G288" s="16"/>
      <c r="H288" s="16"/>
      <c r="I288" s="29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</row>
    <row r="289" spans="1:118" s="1" customFormat="1" ht="15.6" x14ac:dyDescent="0.3">
      <c r="A289" s="36"/>
      <c r="B289" s="48"/>
      <c r="C289" s="40"/>
      <c r="D289" s="49"/>
      <c r="E289" s="50"/>
      <c r="F289" s="146"/>
      <c r="G289" s="16"/>
      <c r="H289" s="16"/>
      <c r="I289" s="29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</row>
    <row r="290" spans="1:118" s="1" customFormat="1" ht="15.6" x14ac:dyDescent="0.3">
      <c r="A290" s="36"/>
      <c r="B290" s="48"/>
      <c r="C290" s="40"/>
      <c r="D290" s="49"/>
      <c r="E290" s="50"/>
      <c r="F290" s="146"/>
      <c r="G290" s="16"/>
      <c r="H290" s="16"/>
      <c r="I290" s="29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</row>
    <row r="291" spans="1:118" s="1" customFormat="1" ht="15.6" x14ac:dyDescent="0.3">
      <c r="A291" s="36"/>
      <c r="B291" s="48"/>
      <c r="C291" s="40"/>
      <c r="D291" s="49"/>
      <c r="E291" s="50"/>
      <c r="F291" s="146"/>
      <c r="G291" s="16"/>
      <c r="H291" s="16"/>
      <c r="I291" s="29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</row>
    <row r="292" spans="1:118" s="1" customFormat="1" ht="15.6" x14ac:dyDescent="0.3">
      <c r="A292" s="36"/>
      <c r="B292" s="48"/>
      <c r="C292" s="40"/>
      <c r="D292" s="49"/>
      <c r="E292" s="50"/>
      <c r="F292" s="146"/>
      <c r="G292" s="16"/>
      <c r="H292" s="16"/>
      <c r="I292" s="29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</row>
    <row r="293" spans="1:118" s="1" customFormat="1" ht="15.6" x14ac:dyDescent="0.3">
      <c r="A293" s="36"/>
      <c r="B293" s="48"/>
      <c r="C293" s="40"/>
      <c r="D293" s="49"/>
      <c r="E293" s="50"/>
      <c r="F293" s="146"/>
      <c r="G293" s="16"/>
      <c r="H293" s="16"/>
      <c r="I293" s="29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</row>
    <row r="294" spans="1:118" s="1" customFormat="1" ht="15.6" x14ac:dyDescent="0.3">
      <c r="A294" s="36"/>
      <c r="B294" s="48"/>
      <c r="C294" s="40"/>
      <c r="D294" s="49"/>
      <c r="E294" s="50"/>
      <c r="F294" s="146"/>
      <c r="G294" s="16"/>
      <c r="H294" s="16"/>
      <c r="I294" s="29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</row>
    <row r="295" spans="1:118" s="1" customFormat="1" ht="15.6" x14ac:dyDescent="0.3">
      <c r="A295" s="36"/>
      <c r="B295" s="48"/>
      <c r="C295" s="40"/>
      <c r="D295" s="49"/>
      <c r="E295" s="50"/>
      <c r="F295" s="146"/>
      <c r="G295" s="16"/>
      <c r="H295" s="16"/>
      <c r="I295" s="29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</row>
    <row r="296" spans="1:118" s="1" customFormat="1" ht="15.6" x14ac:dyDescent="0.3">
      <c r="A296" s="36"/>
      <c r="B296" s="48"/>
      <c r="C296" s="40"/>
      <c r="D296" s="49"/>
      <c r="E296" s="50"/>
      <c r="F296" s="146"/>
      <c r="G296" s="16"/>
      <c r="H296" s="16"/>
      <c r="I296" s="29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</row>
    <row r="297" spans="1:118" s="1" customFormat="1" ht="15.6" x14ac:dyDescent="0.3">
      <c r="A297" s="36"/>
      <c r="B297" s="48"/>
      <c r="C297" s="40"/>
      <c r="D297" s="49"/>
      <c r="E297" s="50"/>
      <c r="F297" s="146"/>
      <c r="G297" s="16"/>
      <c r="H297" s="16"/>
      <c r="I297" s="29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</row>
    <row r="298" spans="1:118" s="1" customFormat="1" ht="15.6" x14ac:dyDescent="0.3">
      <c r="A298" s="36"/>
      <c r="B298" s="48"/>
      <c r="C298" s="40"/>
      <c r="D298" s="49"/>
      <c r="E298" s="50"/>
      <c r="F298" s="146"/>
      <c r="G298" s="16"/>
      <c r="H298" s="16"/>
      <c r="I298" s="29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</row>
    <row r="299" spans="1:118" s="1" customFormat="1" ht="15.6" x14ac:dyDescent="0.3">
      <c r="A299" s="36"/>
      <c r="B299" s="48"/>
      <c r="C299" s="40"/>
      <c r="D299" s="49"/>
      <c r="E299" s="50"/>
      <c r="F299" s="146"/>
      <c r="G299" s="16"/>
      <c r="H299" s="16"/>
      <c r="I299" s="29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</row>
    <row r="300" spans="1:118" s="1" customFormat="1" ht="15.6" x14ac:dyDescent="0.3">
      <c r="A300" s="36"/>
      <c r="B300" s="48"/>
      <c r="C300" s="40"/>
      <c r="D300" s="49"/>
      <c r="E300" s="50"/>
      <c r="F300" s="146"/>
      <c r="G300" s="16"/>
      <c r="H300" s="16"/>
      <c r="I300" s="29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</row>
    <row r="301" spans="1:118" s="1" customFormat="1" ht="15.6" x14ac:dyDescent="0.3">
      <c r="A301" s="36"/>
      <c r="B301" s="48"/>
      <c r="C301" s="40"/>
      <c r="D301" s="49"/>
      <c r="E301" s="50"/>
      <c r="F301" s="146"/>
      <c r="G301" s="16"/>
      <c r="H301" s="16"/>
      <c r="I301" s="29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</row>
    <row r="302" spans="1:118" s="1" customFormat="1" ht="15.6" x14ac:dyDescent="0.3">
      <c r="A302" s="36"/>
      <c r="B302" s="48"/>
      <c r="C302" s="40"/>
      <c r="D302" s="49"/>
      <c r="E302" s="50"/>
      <c r="F302" s="146"/>
      <c r="G302" s="16"/>
      <c r="H302" s="16"/>
      <c r="I302" s="29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</row>
    <row r="303" spans="1:118" s="1" customFormat="1" ht="15.6" x14ac:dyDescent="0.3">
      <c r="A303" s="36"/>
      <c r="B303" s="48"/>
      <c r="C303" s="40"/>
      <c r="D303" s="49"/>
      <c r="E303" s="50"/>
      <c r="F303" s="146"/>
      <c r="G303" s="16"/>
      <c r="H303" s="16"/>
      <c r="I303" s="29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</row>
    <row r="304" spans="1:118" s="1" customFormat="1" ht="15.6" x14ac:dyDescent="0.3">
      <c r="A304" s="36"/>
      <c r="B304" s="48"/>
      <c r="C304" s="40"/>
      <c r="D304" s="49"/>
      <c r="E304" s="50"/>
      <c r="F304" s="146"/>
      <c r="G304" s="16"/>
      <c r="H304" s="16"/>
      <c r="I304" s="29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</row>
    <row r="305" spans="1:118" s="1" customFormat="1" ht="15.6" x14ac:dyDescent="0.3">
      <c r="A305" s="36"/>
      <c r="B305" s="48"/>
      <c r="C305" s="40"/>
      <c r="D305" s="49"/>
      <c r="E305" s="50"/>
      <c r="F305" s="146"/>
      <c r="G305" s="16"/>
      <c r="H305" s="16"/>
      <c r="I305" s="29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</row>
    <row r="306" spans="1:118" s="1" customFormat="1" ht="15.6" x14ac:dyDescent="0.3">
      <c r="A306" s="36"/>
      <c r="B306" s="48"/>
      <c r="C306" s="40"/>
      <c r="D306" s="49"/>
      <c r="E306" s="50"/>
      <c r="F306" s="146"/>
      <c r="G306" s="16"/>
      <c r="H306" s="16"/>
      <c r="I306" s="29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</row>
    <row r="307" spans="1:118" s="1" customFormat="1" ht="15.6" x14ac:dyDescent="0.3">
      <c r="A307" s="36"/>
      <c r="B307" s="48"/>
      <c r="C307" s="40"/>
      <c r="D307" s="49"/>
      <c r="E307" s="50"/>
      <c r="F307" s="146"/>
      <c r="G307" s="16"/>
      <c r="H307" s="16"/>
      <c r="I307" s="29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</row>
    <row r="308" spans="1:118" s="1" customFormat="1" ht="15.6" x14ac:dyDescent="0.3">
      <c r="A308" s="36"/>
      <c r="B308" s="48"/>
      <c r="C308" s="40"/>
      <c r="D308" s="49"/>
      <c r="E308" s="50"/>
      <c r="F308" s="146"/>
      <c r="G308" s="16"/>
      <c r="H308" s="16"/>
      <c r="I308" s="29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</row>
    <row r="309" spans="1:118" s="1" customFormat="1" ht="15.6" x14ac:dyDescent="0.3">
      <c r="A309" s="36"/>
      <c r="B309" s="48"/>
      <c r="C309" s="40"/>
      <c r="D309" s="49"/>
      <c r="E309" s="50"/>
      <c r="F309" s="146"/>
      <c r="G309" s="16"/>
      <c r="H309" s="16"/>
      <c r="I309" s="29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</row>
    <row r="310" spans="1:118" s="1" customFormat="1" ht="15.6" x14ac:dyDescent="0.3">
      <c r="A310" s="36"/>
      <c r="B310" s="48"/>
      <c r="C310" s="40"/>
      <c r="D310" s="49"/>
      <c r="E310" s="50"/>
      <c r="F310" s="146"/>
      <c r="G310" s="16"/>
      <c r="H310" s="16"/>
      <c r="I310" s="29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</row>
    <row r="311" spans="1:118" s="1" customFormat="1" ht="15.6" x14ac:dyDescent="0.3">
      <c r="A311" s="36"/>
      <c r="B311" s="48"/>
      <c r="C311" s="40"/>
      <c r="D311" s="49"/>
      <c r="E311" s="50"/>
      <c r="F311" s="146"/>
      <c r="G311" s="16"/>
      <c r="H311" s="16"/>
      <c r="I311" s="29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</row>
    <row r="312" spans="1:118" s="1" customFormat="1" ht="15.6" x14ac:dyDescent="0.3">
      <c r="A312" s="36"/>
      <c r="B312" s="48"/>
      <c r="C312" s="40"/>
      <c r="D312" s="49"/>
      <c r="E312" s="50"/>
      <c r="F312" s="146"/>
      <c r="G312" s="16"/>
      <c r="H312" s="16"/>
      <c r="I312" s="29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</row>
    <row r="313" spans="1:118" s="1" customFormat="1" ht="15.6" x14ac:dyDescent="0.3">
      <c r="A313" s="36"/>
      <c r="B313" s="48"/>
      <c r="C313" s="40"/>
      <c r="D313" s="49"/>
      <c r="E313" s="50"/>
      <c r="F313" s="146"/>
      <c r="G313" s="16"/>
      <c r="H313" s="16"/>
      <c r="I313" s="29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</row>
    <row r="314" spans="1:118" s="1" customFormat="1" ht="15.6" x14ac:dyDescent="0.3">
      <c r="A314" s="36"/>
      <c r="B314" s="48"/>
      <c r="C314" s="40"/>
      <c r="D314" s="49"/>
      <c r="E314" s="50"/>
      <c r="F314" s="146"/>
      <c r="G314" s="16"/>
      <c r="H314" s="16"/>
      <c r="I314" s="29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</row>
    <row r="315" spans="1:118" s="1" customFormat="1" ht="15.6" x14ac:dyDescent="0.3">
      <c r="A315" s="36"/>
      <c r="B315" s="48"/>
      <c r="C315" s="40"/>
      <c r="D315" s="49"/>
      <c r="E315" s="50"/>
      <c r="F315" s="146"/>
      <c r="G315" s="16"/>
      <c r="H315" s="16"/>
      <c r="I315" s="29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</row>
    <row r="316" spans="1:118" s="1" customFormat="1" ht="15.6" x14ac:dyDescent="0.3">
      <c r="A316" s="36"/>
      <c r="B316" s="48"/>
      <c r="C316" s="40"/>
      <c r="D316" s="49"/>
      <c r="E316" s="50"/>
      <c r="F316" s="146"/>
      <c r="G316" s="16"/>
      <c r="H316" s="16"/>
      <c r="I316" s="29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</row>
    <row r="317" spans="1:118" s="1" customFormat="1" ht="15.6" x14ac:dyDescent="0.3">
      <c r="A317" s="36"/>
      <c r="B317" s="48"/>
      <c r="C317" s="40"/>
      <c r="D317" s="49"/>
      <c r="E317" s="50"/>
      <c r="F317" s="146"/>
      <c r="G317" s="16"/>
      <c r="H317" s="16"/>
      <c r="I317" s="29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</row>
    <row r="318" spans="1:118" s="1" customFormat="1" ht="15.6" x14ac:dyDescent="0.3">
      <c r="A318" s="36"/>
      <c r="B318" s="48"/>
      <c r="C318" s="40"/>
      <c r="D318" s="49"/>
      <c r="E318" s="50"/>
      <c r="F318" s="146"/>
      <c r="G318" s="16"/>
      <c r="H318" s="16"/>
      <c r="I318" s="29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</row>
    <row r="319" spans="1:118" s="2" customFormat="1" ht="15.6" x14ac:dyDescent="0.3">
      <c r="A319" s="51"/>
      <c r="B319" s="52"/>
      <c r="C319" s="53"/>
      <c r="D319" s="54"/>
      <c r="E319" s="55"/>
      <c r="F319" s="147"/>
      <c r="G319" s="16"/>
      <c r="H319" s="16"/>
      <c r="I319" s="29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51"/>
      <c r="CV319" s="51"/>
      <c r="CW319" s="51"/>
      <c r="CX319" s="51"/>
      <c r="CY319" s="51"/>
      <c r="CZ319" s="51"/>
      <c r="DA319" s="51"/>
      <c r="DB319" s="51"/>
      <c r="DC319" s="51"/>
      <c r="DD319" s="51"/>
      <c r="DE319" s="51"/>
      <c r="DF319" s="51"/>
      <c r="DG319" s="51"/>
      <c r="DH319" s="51"/>
      <c r="DI319" s="51"/>
      <c r="DJ319" s="51"/>
      <c r="DK319" s="51"/>
      <c r="DL319" s="51"/>
      <c r="DM319" s="51"/>
      <c r="DN319" s="51"/>
    </row>
    <row r="320" spans="1:118" s="1" customFormat="1" ht="15.6" x14ac:dyDescent="0.3">
      <c r="A320" s="36"/>
      <c r="B320" s="48"/>
      <c r="C320" s="40"/>
      <c r="D320" s="49"/>
      <c r="E320" s="50"/>
      <c r="F320" s="146"/>
      <c r="G320" s="16"/>
      <c r="H320" s="16"/>
      <c r="I320" s="29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</row>
    <row r="321" spans="1:118" s="1" customFormat="1" ht="15.6" x14ac:dyDescent="0.3">
      <c r="A321" s="36"/>
      <c r="B321" s="48"/>
      <c r="C321" s="40"/>
      <c r="D321" s="49"/>
      <c r="E321" s="50"/>
      <c r="F321" s="146"/>
      <c r="G321" s="16"/>
      <c r="H321" s="16"/>
      <c r="I321" s="29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</row>
    <row r="322" spans="1:118" s="1" customFormat="1" ht="15.6" x14ac:dyDescent="0.3">
      <c r="A322" s="36"/>
      <c r="B322" s="48"/>
      <c r="C322" s="40"/>
      <c r="D322" s="49"/>
      <c r="E322" s="50"/>
      <c r="F322" s="146"/>
      <c r="G322" s="16"/>
      <c r="H322" s="16"/>
      <c r="I322" s="29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</row>
    <row r="323" spans="1:118" s="1" customFormat="1" ht="15.6" x14ac:dyDescent="0.3">
      <c r="A323" s="36"/>
      <c r="B323" s="48"/>
      <c r="C323" s="40"/>
      <c r="D323" s="49"/>
      <c r="E323" s="50"/>
      <c r="F323" s="146"/>
      <c r="G323" s="16"/>
      <c r="H323" s="16"/>
      <c r="I323" s="29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</row>
    <row r="324" spans="1:118" s="1" customFormat="1" ht="15.6" x14ac:dyDescent="0.3">
      <c r="A324" s="36"/>
      <c r="B324" s="48"/>
      <c r="C324" s="40"/>
      <c r="D324" s="49"/>
      <c r="E324" s="50"/>
      <c r="F324" s="146"/>
      <c r="G324" s="16"/>
      <c r="H324" s="16"/>
      <c r="I324" s="29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</row>
    <row r="325" spans="1:118" s="1" customFormat="1" ht="15.6" x14ac:dyDescent="0.3">
      <c r="A325" s="36"/>
      <c r="B325" s="48"/>
      <c r="C325" s="40"/>
      <c r="D325" s="49"/>
      <c r="E325" s="50"/>
      <c r="F325" s="146"/>
      <c r="G325" s="16"/>
      <c r="H325" s="16"/>
      <c r="I325" s="29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</row>
    <row r="326" spans="1:118" s="1" customFormat="1" ht="15.6" x14ac:dyDescent="0.3">
      <c r="A326" s="36"/>
      <c r="B326" s="48"/>
      <c r="C326" s="49"/>
      <c r="D326" s="49"/>
      <c r="E326" s="50"/>
      <c r="F326" s="146"/>
      <c r="G326" s="16"/>
      <c r="H326" s="16"/>
      <c r="I326" s="29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</row>
    <row r="327" spans="1:118" s="1" customFormat="1" ht="15.6" x14ac:dyDescent="0.3">
      <c r="A327" s="36"/>
      <c r="B327" s="48"/>
      <c r="C327" s="49"/>
      <c r="D327" s="49"/>
      <c r="E327" s="50"/>
      <c r="F327" s="146"/>
      <c r="G327" s="16"/>
      <c r="H327" s="16"/>
      <c r="I327" s="29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</row>
    <row r="328" spans="1:118" s="1" customFormat="1" ht="15.6" x14ac:dyDescent="0.3">
      <c r="A328" s="36"/>
      <c r="B328" s="48"/>
      <c r="C328" s="49"/>
      <c r="D328" s="49"/>
      <c r="E328" s="50"/>
      <c r="F328" s="146"/>
      <c r="G328" s="16"/>
      <c r="H328" s="16"/>
      <c r="I328" s="29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</row>
    <row r="329" spans="1:118" s="1" customFormat="1" ht="15.6" x14ac:dyDescent="0.3">
      <c r="A329" s="36"/>
      <c r="B329" s="48"/>
      <c r="C329" s="49"/>
      <c r="D329" s="49"/>
      <c r="E329" s="50"/>
      <c r="F329" s="146"/>
      <c r="G329" s="16"/>
      <c r="H329" s="16"/>
      <c r="I329" s="29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</row>
    <row r="330" spans="1:118" s="1" customFormat="1" ht="15.6" x14ac:dyDescent="0.3">
      <c r="A330" s="36"/>
      <c r="B330" s="48"/>
      <c r="C330" s="49"/>
      <c r="D330" s="49"/>
      <c r="E330" s="50"/>
      <c r="F330" s="146"/>
      <c r="G330" s="16"/>
      <c r="H330" s="16"/>
      <c r="I330" s="29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</row>
    <row r="331" spans="1:118" s="1" customFormat="1" ht="15.6" x14ac:dyDescent="0.3">
      <c r="A331" s="36"/>
      <c r="B331" s="48"/>
      <c r="C331" s="49"/>
      <c r="D331" s="49"/>
      <c r="E331" s="50"/>
      <c r="F331" s="146"/>
      <c r="G331" s="16"/>
      <c r="H331" s="16"/>
      <c r="I331" s="29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</row>
    <row r="332" spans="1:118" s="4" customFormat="1" ht="15.6" x14ac:dyDescent="0.3">
      <c r="A332" s="36"/>
      <c r="B332" s="48"/>
      <c r="C332" s="49"/>
      <c r="D332" s="49"/>
      <c r="E332" s="50"/>
      <c r="F332" s="146"/>
      <c r="G332" s="16"/>
      <c r="H332" s="16"/>
      <c r="I332" s="29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</row>
    <row r="333" spans="1:118" s="1" customFormat="1" ht="15.6" x14ac:dyDescent="0.3">
      <c r="A333" s="36"/>
      <c r="B333" s="48"/>
      <c r="C333" s="49"/>
      <c r="D333" s="49"/>
      <c r="E333" s="50"/>
      <c r="F333" s="146"/>
      <c r="G333" s="16"/>
      <c r="H333" s="16"/>
      <c r="I333" s="29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</row>
    <row r="334" spans="1:118" s="1" customFormat="1" ht="15.6" x14ac:dyDescent="0.3">
      <c r="A334" s="36"/>
      <c r="B334" s="48"/>
      <c r="C334" s="49"/>
      <c r="D334" s="49"/>
      <c r="E334" s="50"/>
      <c r="F334" s="146"/>
      <c r="G334" s="16"/>
      <c r="H334" s="16"/>
      <c r="I334" s="29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</row>
    <row r="335" spans="1:118" s="1" customFormat="1" ht="15.6" x14ac:dyDescent="0.3">
      <c r="A335" s="36"/>
      <c r="B335" s="48"/>
      <c r="C335" s="49"/>
      <c r="D335" s="49"/>
      <c r="E335" s="50"/>
      <c r="F335" s="146"/>
      <c r="G335" s="16"/>
      <c r="H335" s="16"/>
      <c r="I335" s="29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</row>
    <row r="336" spans="1:118" s="1" customFormat="1" ht="15.6" x14ac:dyDescent="0.3">
      <c r="A336" s="36"/>
      <c r="B336" s="48"/>
      <c r="C336" s="49"/>
      <c r="D336" s="49"/>
      <c r="E336" s="50"/>
      <c r="F336" s="146"/>
      <c r="G336" s="16"/>
      <c r="H336" s="16"/>
      <c r="I336" s="29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</row>
    <row r="337" spans="1:118" s="1" customFormat="1" ht="15.6" x14ac:dyDescent="0.3">
      <c r="A337" s="36"/>
      <c r="B337" s="48"/>
      <c r="C337" s="49"/>
      <c r="D337" s="49"/>
      <c r="E337" s="50"/>
      <c r="F337" s="146"/>
      <c r="G337" s="16"/>
      <c r="H337" s="16"/>
      <c r="I337" s="29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</row>
    <row r="338" spans="1:118" s="1" customFormat="1" ht="15.6" x14ac:dyDescent="0.3">
      <c r="A338" s="36"/>
      <c r="B338" s="48"/>
      <c r="C338" s="49"/>
      <c r="D338" s="49"/>
      <c r="E338" s="50"/>
      <c r="F338" s="146"/>
      <c r="G338" s="16"/>
      <c r="H338" s="16"/>
      <c r="I338" s="29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</row>
    <row r="339" spans="1:118" s="1" customFormat="1" ht="15.6" x14ac:dyDescent="0.3">
      <c r="A339" s="36"/>
      <c r="B339" s="48"/>
      <c r="C339" s="49"/>
      <c r="D339" s="49"/>
      <c r="E339" s="50"/>
      <c r="F339" s="146"/>
      <c r="G339" s="16"/>
      <c r="H339" s="16"/>
      <c r="I339" s="29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</row>
    <row r="340" spans="1:118" s="1" customFormat="1" ht="15.6" x14ac:dyDescent="0.3">
      <c r="A340" s="36"/>
      <c r="B340" s="48"/>
      <c r="C340" s="49"/>
      <c r="D340" s="49"/>
      <c r="E340" s="50"/>
      <c r="F340" s="146"/>
      <c r="G340" s="16"/>
      <c r="H340" s="16"/>
      <c r="I340" s="29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</row>
    <row r="341" spans="1:118" s="1" customFormat="1" ht="15.6" x14ac:dyDescent="0.3">
      <c r="A341" s="36"/>
      <c r="B341" s="48"/>
      <c r="C341" s="49"/>
      <c r="D341" s="49"/>
      <c r="E341" s="50"/>
      <c r="F341" s="146"/>
      <c r="G341" s="16"/>
      <c r="H341" s="16"/>
      <c r="I341" s="29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</row>
    <row r="342" spans="1:118" s="1" customFormat="1" ht="15.6" x14ac:dyDescent="0.3">
      <c r="A342" s="36"/>
      <c r="B342" s="48"/>
      <c r="C342" s="49"/>
      <c r="D342" s="49"/>
      <c r="E342" s="50"/>
      <c r="F342" s="146"/>
      <c r="G342" s="16"/>
      <c r="H342" s="16"/>
      <c r="I342" s="29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</row>
    <row r="343" spans="1:118" s="1" customFormat="1" ht="15.6" x14ac:dyDescent="0.3">
      <c r="A343" s="36"/>
      <c r="B343" s="48"/>
      <c r="C343" s="49"/>
      <c r="D343" s="49"/>
      <c r="E343" s="50"/>
      <c r="F343" s="146"/>
      <c r="G343" s="16"/>
      <c r="H343" s="16"/>
      <c r="I343" s="29"/>
      <c r="J343" s="36"/>
      <c r="K343" s="32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</row>
    <row r="344" spans="1:118" s="1" customFormat="1" ht="15.6" x14ac:dyDescent="0.3">
      <c r="A344" s="36"/>
      <c r="B344" s="48"/>
      <c r="C344" s="49"/>
      <c r="D344" s="49"/>
      <c r="E344" s="50"/>
      <c r="F344" s="146"/>
      <c r="G344" s="16"/>
      <c r="H344" s="16"/>
      <c r="I344" s="29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</row>
    <row r="345" spans="1:118" s="1" customFormat="1" ht="15.6" x14ac:dyDescent="0.3">
      <c r="A345" s="36"/>
      <c r="B345" s="48"/>
      <c r="C345" s="49"/>
      <c r="D345" s="49"/>
      <c r="E345" s="50"/>
      <c r="F345" s="146"/>
      <c r="G345" s="16"/>
      <c r="H345" s="16"/>
      <c r="I345" s="29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</row>
    <row r="346" spans="1:118" s="1" customFormat="1" ht="15.6" x14ac:dyDescent="0.3">
      <c r="A346" s="36"/>
      <c r="B346" s="48"/>
      <c r="C346" s="49"/>
      <c r="D346" s="49"/>
      <c r="E346" s="50"/>
      <c r="F346" s="146"/>
      <c r="G346" s="16"/>
      <c r="H346" s="16"/>
      <c r="I346" s="29"/>
      <c r="J346" s="36"/>
      <c r="K346" s="32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</row>
    <row r="347" spans="1:118" s="1" customFormat="1" ht="15.6" x14ac:dyDescent="0.3">
      <c r="A347" s="36"/>
      <c r="B347" s="48"/>
      <c r="C347" s="49"/>
      <c r="D347" s="49"/>
      <c r="E347" s="50"/>
      <c r="F347" s="146"/>
      <c r="G347" s="16"/>
      <c r="H347" s="16"/>
      <c r="I347" s="29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</row>
    <row r="348" spans="1:118" s="1" customFormat="1" ht="15.6" x14ac:dyDescent="0.3">
      <c r="A348" s="36"/>
      <c r="B348" s="56"/>
      <c r="C348" s="40"/>
      <c r="D348" s="40"/>
      <c r="E348" s="50"/>
      <c r="F348" s="146"/>
      <c r="G348" s="16"/>
      <c r="H348" s="16"/>
      <c r="I348" s="29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</row>
    <row r="349" spans="1:118" s="1" customFormat="1" ht="15.6" x14ac:dyDescent="0.3">
      <c r="A349" s="36"/>
      <c r="B349" s="56"/>
      <c r="C349" s="40"/>
      <c r="D349" s="40"/>
      <c r="E349" s="50"/>
      <c r="F349" s="146"/>
      <c r="G349" s="16"/>
      <c r="H349" s="16"/>
      <c r="I349" s="29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</row>
    <row r="350" spans="1:118" s="1" customFormat="1" ht="15.6" x14ac:dyDescent="0.3">
      <c r="A350" s="36"/>
      <c r="B350" s="56"/>
      <c r="C350" s="40"/>
      <c r="D350" s="40"/>
      <c r="E350" s="50"/>
      <c r="F350" s="146"/>
      <c r="G350" s="16"/>
      <c r="H350" s="16"/>
      <c r="I350" s="29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</row>
    <row r="351" spans="1:118" s="1" customFormat="1" ht="15.6" x14ac:dyDescent="0.3">
      <c r="A351" s="36"/>
      <c r="B351" s="56"/>
      <c r="C351" s="40"/>
      <c r="D351" s="40"/>
      <c r="E351" s="50"/>
      <c r="F351" s="146"/>
      <c r="G351" s="16"/>
      <c r="H351" s="16"/>
      <c r="I351" s="29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</row>
    <row r="352" spans="1:118" s="1" customFormat="1" ht="15.6" x14ac:dyDescent="0.3">
      <c r="A352" s="36"/>
      <c r="B352" s="56"/>
      <c r="C352" s="40"/>
      <c r="D352" s="40"/>
      <c r="E352" s="50"/>
      <c r="F352" s="146"/>
      <c r="G352" s="16"/>
      <c r="H352" s="16"/>
      <c r="I352" s="29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</row>
    <row r="353" spans="1:118" s="1" customFormat="1" ht="15.6" x14ac:dyDescent="0.3">
      <c r="A353" s="36"/>
      <c r="B353" s="56"/>
      <c r="C353" s="40"/>
      <c r="D353" s="40"/>
      <c r="E353" s="50"/>
      <c r="F353" s="146"/>
      <c r="G353" s="16"/>
      <c r="H353" s="16"/>
      <c r="I353" s="29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</row>
    <row r="354" spans="1:118" s="1" customFormat="1" ht="15.6" x14ac:dyDescent="0.3">
      <c r="A354" s="36"/>
      <c r="B354" s="56"/>
      <c r="C354" s="40"/>
      <c r="D354" s="40"/>
      <c r="E354" s="50"/>
      <c r="F354" s="146"/>
      <c r="G354" s="16"/>
      <c r="H354" s="16"/>
      <c r="I354" s="29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</row>
    <row r="355" spans="1:118" s="1" customFormat="1" ht="15.6" x14ac:dyDescent="0.3">
      <c r="A355" s="36"/>
      <c r="B355" s="56"/>
      <c r="C355" s="40"/>
      <c r="D355" s="40"/>
      <c r="E355" s="50"/>
      <c r="F355" s="146"/>
      <c r="G355" s="16"/>
      <c r="H355" s="16"/>
      <c r="I355" s="29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</row>
    <row r="356" spans="1:118" s="1" customFormat="1" ht="15.6" x14ac:dyDescent="0.3">
      <c r="A356" s="36"/>
      <c r="B356" s="56"/>
      <c r="C356" s="40"/>
      <c r="D356" s="40"/>
      <c r="E356" s="50"/>
      <c r="F356" s="146"/>
      <c r="G356" s="16"/>
      <c r="H356" s="16"/>
      <c r="I356" s="29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</row>
    <row r="357" spans="1:118" s="1" customFormat="1" ht="15.6" x14ac:dyDescent="0.3">
      <c r="A357" s="36"/>
      <c r="B357" s="56"/>
      <c r="C357" s="40"/>
      <c r="D357" s="40"/>
      <c r="E357" s="50"/>
      <c r="F357" s="146"/>
      <c r="G357" s="16"/>
      <c r="H357" s="16"/>
      <c r="I357" s="29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</row>
    <row r="358" spans="1:118" s="1" customFormat="1" ht="15.6" x14ac:dyDescent="0.3">
      <c r="A358" s="36"/>
      <c r="B358" s="56"/>
      <c r="C358" s="40"/>
      <c r="D358" s="40"/>
      <c r="E358" s="50"/>
      <c r="F358" s="146"/>
      <c r="G358" s="16"/>
      <c r="H358" s="16"/>
      <c r="I358" s="29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</row>
    <row r="359" spans="1:118" s="1" customFormat="1" ht="15.6" x14ac:dyDescent="0.3">
      <c r="A359" s="36"/>
      <c r="B359" s="56"/>
      <c r="C359" s="40"/>
      <c r="D359" s="40"/>
      <c r="E359" s="50"/>
      <c r="F359" s="146"/>
      <c r="G359" s="16"/>
      <c r="H359" s="16"/>
      <c r="I359" s="29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</row>
    <row r="360" spans="1:118" s="1" customFormat="1" ht="15.6" x14ac:dyDescent="0.3">
      <c r="A360" s="36"/>
      <c r="B360" s="56"/>
      <c r="C360" s="40"/>
      <c r="D360" s="40"/>
      <c r="E360" s="50"/>
      <c r="F360" s="146"/>
      <c r="G360" s="16"/>
      <c r="H360" s="16"/>
      <c r="I360" s="29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</row>
    <row r="361" spans="1:118" s="1" customFormat="1" ht="15.6" x14ac:dyDescent="0.3">
      <c r="A361" s="36"/>
      <c r="B361" s="56"/>
      <c r="C361" s="40"/>
      <c r="D361" s="40"/>
      <c r="E361" s="50"/>
      <c r="F361" s="146"/>
      <c r="G361" s="16"/>
      <c r="H361" s="16"/>
      <c r="I361" s="29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</row>
    <row r="362" spans="1:118" s="1" customFormat="1" ht="15.6" x14ac:dyDescent="0.3">
      <c r="A362" s="36"/>
      <c r="B362" s="56"/>
      <c r="C362" s="40"/>
      <c r="D362" s="40"/>
      <c r="E362" s="50"/>
      <c r="F362" s="146"/>
      <c r="G362" s="16"/>
      <c r="H362" s="16"/>
      <c r="I362" s="29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</row>
    <row r="363" spans="1:118" s="1" customFormat="1" ht="15.6" x14ac:dyDescent="0.3">
      <c r="A363" s="56"/>
      <c r="B363" s="56"/>
      <c r="C363" s="40"/>
      <c r="D363" s="40"/>
      <c r="E363" s="50"/>
      <c r="F363" s="146"/>
      <c r="G363" s="16"/>
      <c r="H363" s="16"/>
      <c r="I363" s="29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</row>
    <row r="364" spans="1:118" s="1" customFormat="1" ht="15.6" x14ac:dyDescent="0.3">
      <c r="A364" s="36"/>
      <c r="B364" s="56"/>
      <c r="C364" s="40"/>
      <c r="D364" s="40"/>
      <c r="E364" s="50"/>
      <c r="F364" s="146"/>
      <c r="G364" s="16"/>
      <c r="H364" s="16"/>
      <c r="I364" s="29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</row>
    <row r="365" spans="1:118" s="1" customFormat="1" ht="15.6" x14ac:dyDescent="0.3">
      <c r="A365" s="36"/>
      <c r="B365" s="56"/>
      <c r="C365" s="40"/>
      <c r="D365" s="40"/>
      <c r="E365" s="50"/>
      <c r="F365" s="146"/>
      <c r="G365" s="16"/>
      <c r="H365" s="16"/>
      <c r="I365" s="29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</row>
    <row r="366" spans="1:118" s="1" customFormat="1" ht="15.6" x14ac:dyDescent="0.3">
      <c r="A366" s="36"/>
      <c r="B366" s="56"/>
      <c r="C366" s="40"/>
      <c r="D366" s="40"/>
      <c r="E366" s="50"/>
      <c r="F366" s="146"/>
      <c r="G366" s="16"/>
      <c r="H366" s="16"/>
      <c r="I366" s="29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</row>
    <row r="367" spans="1:118" s="1" customFormat="1" ht="15.6" x14ac:dyDescent="0.3">
      <c r="A367" s="36"/>
      <c r="B367" s="56"/>
      <c r="C367" s="40"/>
      <c r="D367" s="40"/>
      <c r="E367" s="50"/>
      <c r="F367" s="146"/>
      <c r="G367" s="16"/>
      <c r="H367" s="16"/>
      <c r="I367" s="29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</row>
    <row r="368" spans="1:118" s="1" customFormat="1" ht="15.6" x14ac:dyDescent="0.3">
      <c r="A368" s="36"/>
      <c r="B368" s="56"/>
      <c r="C368" s="40"/>
      <c r="D368" s="40"/>
      <c r="E368" s="50"/>
      <c r="F368" s="146"/>
      <c r="G368" s="16"/>
      <c r="H368" s="16"/>
      <c r="I368" s="29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</row>
    <row r="369" spans="1:118" s="1" customFormat="1" ht="15.6" x14ac:dyDescent="0.3">
      <c r="A369" s="35"/>
      <c r="B369" s="57"/>
      <c r="C369" s="58"/>
      <c r="D369" s="58"/>
      <c r="E369" s="59"/>
      <c r="F369" s="146"/>
      <c r="G369" s="16"/>
      <c r="H369" s="16"/>
      <c r="I369" s="29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</row>
    <row r="370" spans="1:118" s="1" customFormat="1" ht="15.6" x14ac:dyDescent="0.3">
      <c r="A370" s="35"/>
      <c r="B370" s="57"/>
      <c r="C370" s="58"/>
      <c r="D370" s="58"/>
      <c r="E370" s="59"/>
      <c r="F370" s="146"/>
      <c r="G370" s="16"/>
      <c r="H370" s="16"/>
      <c r="I370" s="29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</row>
    <row r="371" spans="1:118" s="1" customFormat="1" ht="15.6" x14ac:dyDescent="0.3">
      <c r="A371" s="35"/>
      <c r="B371" s="57"/>
      <c r="C371" s="58"/>
      <c r="D371" s="58"/>
      <c r="E371" s="59"/>
      <c r="F371" s="146"/>
      <c r="G371" s="16"/>
      <c r="H371" s="16"/>
      <c r="I371" s="29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</row>
    <row r="372" spans="1:118" s="1" customFormat="1" ht="15.6" x14ac:dyDescent="0.3">
      <c r="A372" s="35"/>
      <c r="B372" s="57"/>
      <c r="C372" s="58"/>
      <c r="D372" s="58"/>
      <c r="E372" s="59"/>
      <c r="F372" s="146"/>
      <c r="G372" s="16"/>
      <c r="H372" s="16"/>
      <c r="I372" s="29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</row>
    <row r="373" spans="1:118" s="1" customFormat="1" ht="15.6" x14ac:dyDescent="0.3">
      <c r="A373" s="35"/>
      <c r="B373" s="60"/>
      <c r="C373" s="58"/>
      <c r="D373" s="61"/>
      <c r="E373" s="59"/>
      <c r="F373" s="146"/>
      <c r="G373" s="16"/>
      <c r="H373" s="16"/>
      <c r="I373" s="29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</row>
    <row r="374" spans="1:118" s="1" customFormat="1" ht="15.6" x14ac:dyDescent="0.3">
      <c r="A374" s="35"/>
      <c r="B374" s="60"/>
      <c r="C374" s="58"/>
      <c r="D374" s="61"/>
      <c r="E374" s="59"/>
      <c r="F374" s="146"/>
      <c r="G374" s="16"/>
      <c r="H374" s="16"/>
      <c r="I374" s="29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</row>
    <row r="375" spans="1:118" s="1" customFormat="1" ht="15.6" x14ac:dyDescent="0.3">
      <c r="A375" s="35"/>
      <c r="B375" s="60"/>
      <c r="C375" s="58"/>
      <c r="D375" s="61"/>
      <c r="E375" s="59"/>
      <c r="F375" s="146"/>
      <c r="G375" s="16"/>
      <c r="H375" s="16"/>
      <c r="I375" s="29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</row>
    <row r="376" spans="1:118" s="1" customFormat="1" ht="15.6" x14ac:dyDescent="0.3">
      <c r="A376" s="35"/>
      <c r="B376" s="62"/>
      <c r="C376" s="58"/>
      <c r="D376" s="61"/>
      <c r="E376" s="59"/>
      <c r="F376" s="146"/>
      <c r="G376" s="16"/>
      <c r="H376" s="16"/>
      <c r="I376" s="29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</row>
    <row r="377" spans="1:118" s="1" customFormat="1" ht="15.6" x14ac:dyDescent="0.3">
      <c r="A377" s="35"/>
      <c r="B377" s="62"/>
      <c r="C377" s="58"/>
      <c r="D377" s="61"/>
      <c r="E377" s="59"/>
      <c r="F377" s="146"/>
      <c r="G377" s="16"/>
      <c r="H377" s="16"/>
      <c r="I377" s="29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</row>
    <row r="378" spans="1:118" s="1" customFormat="1" ht="15.6" x14ac:dyDescent="0.3">
      <c r="A378" s="35"/>
      <c r="B378" s="62"/>
      <c r="C378" s="58"/>
      <c r="D378" s="61"/>
      <c r="E378" s="59"/>
      <c r="F378" s="146"/>
      <c r="G378" s="16"/>
      <c r="H378" s="16"/>
      <c r="I378" s="29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</row>
    <row r="379" spans="1:118" s="1" customFormat="1" ht="15.6" x14ac:dyDescent="0.3">
      <c r="A379" s="36"/>
      <c r="B379" s="62"/>
      <c r="C379" s="58"/>
      <c r="D379" s="61"/>
      <c r="E379" s="59"/>
      <c r="F379" s="146"/>
      <c r="G379" s="16"/>
      <c r="H379" s="16"/>
      <c r="I379" s="29"/>
      <c r="J379" s="36"/>
      <c r="K379" s="63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</row>
    <row r="380" spans="1:118" s="1" customFormat="1" ht="15.6" x14ac:dyDescent="0.3">
      <c r="A380" s="35"/>
      <c r="B380" s="62"/>
      <c r="C380" s="58"/>
      <c r="D380" s="61"/>
      <c r="E380" s="59"/>
      <c r="F380" s="146"/>
      <c r="G380" s="16"/>
      <c r="H380" s="16"/>
      <c r="I380" s="29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</row>
    <row r="381" spans="1:118" s="1" customFormat="1" ht="15.6" x14ac:dyDescent="0.3">
      <c r="A381" s="35"/>
      <c r="B381" s="62"/>
      <c r="C381" s="58"/>
      <c r="D381" s="61"/>
      <c r="E381" s="59"/>
      <c r="F381" s="146"/>
      <c r="G381" s="16"/>
      <c r="H381" s="16"/>
      <c r="I381" s="29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</row>
    <row r="382" spans="1:118" s="1" customFormat="1" ht="15.6" x14ac:dyDescent="0.3">
      <c r="A382" s="35"/>
      <c r="B382" s="62"/>
      <c r="C382" s="58"/>
      <c r="D382" s="61"/>
      <c r="E382" s="59"/>
      <c r="F382" s="146"/>
      <c r="G382" s="16"/>
      <c r="H382" s="16"/>
      <c r="I382" s="29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</row>
    <row r="383" spans="1:118" s="3" customFormat="1" ht="15.6" x14ac:dyDescent="0.3">
      <c r="A383" s="35"/>
      <c r="B383" s="62"/>
      <c r="C383" s="58"/>
      <c r="D383" s="61"/>
      <c r="E383" s="59"/>
      <c r="F383" s="146"/>
      <c r="G383" s="16"/>
      <c r="H383" s="16"/>
      <c r="I383" s="29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</row>
    <row r="384" spans="1:118" s="1" customFormat="1" ht="16.2" x14ac:dyDescent="0.3">
      <c r="A384" s="35"/>
      <c r="B384" s="62"/>
      <c r="C384" s="58"/>
      <c r="D384" s="61"/>
      <c r="E384" s="59"/>
      <c r="F384" s="146"/>
      <c r="G384" s="16"/>
      <c r="H384" s="16"/>
      <c r="I384" s="29"/>
      <c r="J384" s="36"/>
      <c r="K384" s="64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</row>
    <row r="385" spans="1:118" s="3" customFormat="1" ht="15.6" x14ac:dyDescent="0.3">
      <c r="A385" s="35"/>
      <c r="B385" s="62"/>
      <c r="C385" s="58"/>
      <c r="D385" s="61"/>
      <c r="E385" s="59"/>
      <c r="F385" s="146"/>
      <c r="G385" s="16"/>
      <c r="H385" s="16"/>
      <c r="I385" s="29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</row>
    <row r="386" spans="1:118" s="1" customFormat="1" ht="15.6" x14ac:dyDescent="0.3">
      <c r="A386" s="35"/>
      <c r="B386" s="62"/>
      <c r="C386" s="58"/>
      <c r="D386" s="61"/>
      <c r="E386" s="59"/>
      <c r="F386" s="146"/>
      <c r="G386" s="16"/>
      <c r="H386" s="16"/>
      <c r="I386" s="29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</row>
    <row r="387" spans="1:118" s="1" customFormat="1" ht="15.6" x14ac:dyDescent="0.3">
      <c r="A387" s="35"/>
      <c r="B387" s="62"/>
      <c r="C387" s="58"/>
      <c r="D387" s="61"/>
      <c r="E387" s="59"/>
      <c r="F387" s="146"/>
      <c r="G387" s="16"/>
      <c r="H387" s="16"/>
      <c r="I387" s="29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</row>
    <row r="388" spans="1:118" s="1" customFormat="1" ht="15.6" x14ac:dyDescent="0.3">
      <c r="A388" s="35"/>
      <c r="B388" s="62"/>
      <c r="C388" s="49"/>
      <c r="D388" s="49"/>
      <c r="E388" s="59"/>
      <c r="F388" s="146"/>
      <c r="G388" s="16"/>
      <c r="H388" s="16"/>
      <c r="I388" s="29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</row>
    <row r="389" spans="1:118" s="1" customFormat="1" ht="15.6" x14ac:dyDescent="0.3">
      <c r="A389" s="35"/>
      <c r="B389" s="62"/>
      <c r="C389" s="49"/>
      <c r="D389" s="49"/>
      <c r="E389" s="59"/>
      <c r="F389" s="146"/>
      <c r="G389" s="16"/>
      <c r="H389" s="16"/>
      <c r="I389" s="29"/>
      <c r="J389" s="36"/>
      <c r="K389" s="36"/>
      <c r="L389" s="36"/>
      <c r="M389" s="36"/>
      <c r="N389" s="32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</row>
    <row r="390" spans="1:118" s="1" customFormat="1" ht="15.6" x14ac:dyDescent="0.3">
      <c r="A390" s="35"/>
      <c r="B390" s="62"/>
      <c r="C390" s="62"/>
      <c r="D390" s="49"/>
      <c r="E390" s="59"/>
      <c r="F390" s="146"/>
      <c r="G390" s="16"/>
      <c r="H390" s="16"/>
      <c r="I390" s="29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</row>
    <row r="391" spans="1:118" s="1" customFormat="1" ht="15.6" x14ac:dyDescent="0.3">
      <c r="A391" s="35"/>
      <c r="B391" s="62"/>
      <c r="C391" s="49"/>
      <c r="D391" s="49"/>
      <c r="E391" s="59"/>
      <c r="F391" s="146"/>
      <c r="G391" s="16"/>
      <c r="H391" s="16"/>
      <c r="I391" s="29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</row>
    <row r="392" spans="1:118" s="1" customFormat="1" ht="15.6" x14ac:dyDescent="0.3">
      <c r="A392" s="35"/>
      <c r="B392" s="62"/>
      <c r="C392" s="49"/>
      <c r="D392" s="49"/>
      <c r="E392" s="59"/>
      <c r="F392" s="146"/>
      <c r="G392" s="16"/>
      <c r="H392" s="16"/>
      <c r="I392" s="29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</row>
    <row r="393" spans="1:118" s="1" customFormat="1" ht="15.6" x14ac:dyDescent="0.3">
      <c r="A393" s="35"/>
      <c r="B393" s="62"/>
      <c r="C393" s="49"/>
      <c r="D393" s="49"/>
      <c r="E393" s="59"/>
      <c r="F393" s="146"/>
      <c r="G393" s="16"/>
      <c r="H393" s="16"/>
      <c r="I393" s="29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</row>
    <row r="394" spans="1:118" s="1" customFormat="1" ht="15.6" x14ac:dyDescent="0.3">
      <c r="A394" s="35"/>
      <c r="B394" s="62"/>
      <c r="C394" s="62"/>
      <c r="D394" s="49"/>
      <c r="E394" s="59"/>
      <c r="F394" s="146"/>
      <c r="G394" s="16"/>
      <c r="H394" s="16"/>
      <c r="I394" s="29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</row>
    <row r="395" spans="1:118" s="1" customFormat="1" ht="15.6" x14ac:dyDescent="0.3">
      <c r="A395" s="35"/>
      <c r="B395" s="62"/>
      <c r="C395" s="62"/>
      <c r="D395" s="49"/>
      <c r="E395" s="59"/>
      <c r="F395" s="146"/>
      <c r="G395" s="16"/>
      <c r="H395" s="16"/>
      <c r="I395" s="29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</row>
    <row r="396" spans="1:118" s="1" customFormat="1" ht="15.6" x14ac:dyDescent="0.3">
      <c r="A396" s="35"/>
      <c r="B396" s="62"/>
      <c r="C396" s="62"/>
      <c r="D396" s="49"/>
      <c r="E396" s="59"/>
      <c r="F396" s="146"/>
      <c r="G396" s="16"/>
      <c r="H396" s="16"/>
      <c r="I396" s="29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</row>
    <row r="397" spans="1:118" s="1" customFormat="1" ht="15.6" x14ac:dyDescent="0.3">
      <c r="A397" s="35"/>
      <c r="B397" s="62"/>
      <c r="C397" s="62"/>
      <c r="D397" s="49"/>
      <c r="E397" s="59"/>
      <c r="F397" s="146"/>
      <c r="G397" s="16"/>
      <c r="H397" s="16"/>
      <c r="I397" s="29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</row>
    <row r="398" spans="1:118" s="1" customFormat="1" ht="15.6" x14ac:dyDescent="0.3">
      <c r="A398" s="35"/>
      <c r="B398" s="62"/>
      <c r="C398" s="62"/>
      <c r="D398" s="49"/>
      <c r="E398" s="59"/>
      <c r="F398" s="146"/>
      <c r="G398" s="16"/>
      <c r="H398" s="16"/>
      <c r="I398" s="29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</row>
    <row r="399" spans="1:118" s="1" customFormat="1" ht="15.6" x14ac:dyDescent="0.3">
      <c r="A399" s="35"/>
      <c r="B399" s="62"/>
      <c r="C399" s="62"/>
      <c r="D399" s="49"/>
      <c r="E399" s="59"/>
      <c r="F399" s="146"/>
      <c r="G399" s="16"/>
      <c r="H399" s="16"/>
      <c r="I399" s="29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</row>
    <row r="400" spans="1:118" s="1" customFormat="1" ht="15.6" x14ac:dyDescent="0.3">
      <c r="A400" s="35"/>
      <c r="B400" s="62"/>
      <c r="C400" s="62"/>
      <c r="D400" s="49"/>
      <c r="E400" s="59"/>
      <c r="F400" s="146"/>
      <c r="G400" s="16"/>
      <c r="H400" s="16"/>
      <c r="I400" s="29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</row>
    <row r="401" spans="1:118" s="1" customFormat="1" ht="15.6" x14ac:dyDescent="0.3">
      <c r="A401" s="35"/>
      <c r="B401" s="40"/>
      <c r="C401" s="62"/>
      <c r="D401" s="62"/>
      <c r="E401" s="59"/>
      <c r="F401" s="146"/>
      <c r="G401" s="16"/>
      <c r="H401" s="16"/>
      <c r="I401" s="29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</row>
    <row r="402" spans="1:118" s="1" customFormat="1" ht="15.6" x14ac:dyDescent="0.3">
      <c r="A402" s="35"/>
      <c r="B402" s="40"/>
      <c r="C402" s="62"/>
      <c r="D402" s="62"/>
      <c r="E402" s="59"/>
      <c r="F402" s="146"/>
      <c r="G402" s="16"/>
      <c r="H402" s="16"/>
      <c r="I402" s="29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</row>
    <row r="403" spans="1:118" s="1" customFormat="1" ht="15.6" x14ac:dyDescent="0.3">
      <c r="A403" s="35"/>
      <c r="B403" s="40"/>
      <c r="C403" s="62"/>
      <c r="D403" s="62"/>
      <c r="E403" s="59"/>
      <c r="F403" s="146"/>
      <c r="G403" s="16"/>
      <c r="H403" s="16"/>
      <c r="I403" s="29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</row>
    <row r="404" spans="1:118" s="1" customFormat="1" ht="15.6" x14ac:dyDescent="0.3">
      <c r="A404" s="35"/>
      <c r="B404" s="40"/>
      <c r="C404" s="62"/>
      <c r="D404" s="62"/>
      <c r="E404" s="59"/>
      <c r="F404" s="146"/>
      <c r="G404" s="16"/>
      <c r="H404" s="16"/>
      <c r="I404" s="29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</row>
    <row r="405" spans="1:118" s="1" customFormat="1" ht="15.6" x14ac:dyDescent="0.3">
      <c r="A405" s="36"/>
      <c r="B405" s="56"/>
      <c r="C405" s="40"/>
      <c r="D405" s="40"/>
      <c r="E405" s="50"/>
      <c r="F405" s="146"/>
      <c r="G405" s="16"/>
      <c r="H405" s="16"/>
      <c r="I405" s="29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</row>
    <row r="406" spans="1:118" s="1" customFormat="1" ht="15.6" x14ac:dyDescent="0.3">
      <c r="A406" s="35"/>
      <c r="B406" s="56"/>
      <c r="C406" s="40"/>
      <c r="D406" s="40"/>
      <c r="E406" s="50"/>
      <c r="F406" s="146"/>
      <c r="G406" s="16"/>
      <c r="H406" s="16"/>
      <c r="I406" s="29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</row>
    <row r="407" spans="1:118" s="1" customFormat="1" ht="15.6" x14ac:dyDescent="0.3">
      <c r="A407" s="35"/>
      <c r="B407" s="56"/>
      <c r="C407" s="40"/>
      <c r="D407" s="40"/>
      <c r="E407" s="50"/>
      <c r="F407" s="146"/>
      <c r="G407" s="16"/>
      <c r="H407" s="16"/>
      <c r="I407" s="29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</row>
    <row r="408" spans="1:118" s="1" customFormat="1" ht="15.6" x14ac:dyDescent="0.3">
      <c r="A408" s="35"/>
      <c r="B408" s="56"/>
      <c r="C408" s="40"/>
      <c r="D408" s="40"/>
      <c r="E408" s="50"/>
      <c r="F408" s="146"/>
      <c r="G408" s="16"/>
      <c r="H408" s="16"/>
      <c r="I408" s="29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</row>
    <row r="409" spans="1:118" s="1" customFormat="1" ht="15.6" x14ac:dyDescent="0.3">
      <c r="A409" s="35"/>
      <c r="B409" s="56"/>
      <c r="C409" s="40"/>
      <c r="D409" s="40"/>
      <c r="E409" s="50"/>
      <c r="F409" s="146"/>
      <c r="G409" s="16"/>
      <c r="H409" s="16"/>
      <c r="I409" s="29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</row>
    <row r="410" spans="1:118" s="1" customFormat="1" ht="15.6" x14ac:dyDescent="0.3">
      <c r="A410" s="35"/>
      <c r="B410" s="56"/>
      <c r="C410" s="40"/>
      <c r="D410" s="40"/>
      <c r="E410" s="50"/>
      <c r="F410" s="146"/>
      <c r="G410" s="16"/>
      <c r="H410" s="16"/>
      <c r="I410" s="29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</row>
    <row r="411" spans="1:118" s="1" customFormat="1" ht="15.6" x14ac:dyDescent="0.3">
      <c r="A411" s="35"/>
      <c r="B411" s="56"/>
      <c r="C411" s="40"/>
      <c r="D411" s="40"/>
      <c r="E411" s="50"/>
      <c r="F411" s="146"/>
      <c r="G411" s="16"/>
      <c r="H411" s="16"/>
      <c r="I411" s="29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</row>
    <row r="412" spans="1:118" s="1" customFormat="1" ht="15.6" x14ac:dyDescent="0.3">
      <c r="A412" s="35"/>
      <c r="B412" s="49"/>
      <c r="C412" s="49"/>
      <c r="D412" s="49"/>
      <c r="E412" s="50"/>
      <c r="F412" s="146"/>
      <c r="G412" s="16"/>
      <c r="H412" s="16"/>
      <c r="I412" s="29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</row>
    <row r="413" spans="1:118" s="1" customFormat="1" ht="15.6" x14ac:dyDescent="0.3">
      <c r="A413" s="35"/>
      <c r="B413" s="40"/>
      <c r="C413" s="49"/>
      <c r="D413" s="49"/>
      <c r="E413" s="50"/>
      <c r="F413" s="146"/>
      <c r="G413" s="16"/>
      <c r="H413" s="16"/>
      <c r="I413" s="29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</row>
    <row r="414" spans="1:118" s="1" customFormat="1" ht="15.6" x14ac:dyDescent="0.3">
      <c r="A414" s="35"/>
      <c r="B414" s="40"/>
      <c r="C414" s="49"/>
      <c r="D414" s="49"/>
      <c r="E414" s="50"/>
      <c r="F414" s="146"/>
      <c r="G414" s="16"/>
      <c r="H414" s="16"/>
      <c r="I414" s="29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</row>
    <row r="415" spans="1:118" s="1" customFormat="1" ht="15.6" x14ac:dyDescent="0.3">
      <c r="A415" s="35"/>
      <c r="B415" s="40"/>
      <c r="C415" s="49"/>
      <c r="D415" s="49"/>
      <c r="E415" s="50"/>
      <c r="F415" s="146"/>
      <c r="G415" s="16"/>
      <c r="H415" s="16"/>
      <c r="I415" s="29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</row>
    <row r="416" spans="1:118" s="1" customFormat="1" ht="15.6" x14ac:dyDescent="0.3">
      <c r="A416" s="35"/>
      <c r="B416" s="40"/>
      <c r="C416" s="49"/>
      <c r="D416" s="49"/>
      <c r="E416" s="50"/>
      <c r="F416" s="146"/>
      <c r="G416" s="16"/>
      <c r="H416" s="16"/>
      <c r="I416" s="29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</row>
    <row r="417" spans="1:118" s="1" customFormat="1" ht="15.6" x14ac:dyDescent="0.3">
      <c r="A417" s="35"/>
      <c r="B417" s="40"/>
      <c r="C417" s="49"/>
      <c r="D417" s="49"/>
      <c r="E417" s="50"/>
      <c r="F417" s="146"/>
      <c r="G417" s="16"/>
      <c r="H417" s="16"/>
      <c r="I417" s="29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</row>
    <row r="418" spans="1:118" s="1" customFormat="1" ht="15.6" x14ac:dyDescent="0.3">
      <c r="A418" s="35"/>
      <c r="B418" s="40"/>
      <c r="C418" s="49"/>
      <c r="D418" s="49"/>
      <c r="E418" s="50"/>
      <c r="F418" s="146"/>
      <c r="G418" s="16"/>
      <c r="H418" s="16"/>
      <c r="I418" s="29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</row>
    <row r="419" spans="1:118" s="1" customFormat="1" ht="15.6" x14ac:dyDescent="0.3">
      <c r="A419" s="35"/>
      <c r="B419" s="49"/>
      <c r="C419" s="49"/>
      <c r="D419" s="49"/>
      <c r="E419" s="50"/>
      <c r="F419" s="146"/>
      <c r="G419" s="16"/>
      <c r="H419" s="16"/>
      <c r="I419" s="29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</row>
    <row r="420" spans="1:118" s="1" customFormat="1" ht="15.6" x14ac:dyDescent="0.3">
      <c r="A420" s="35"/>
      <c r="B420" s="40"/>
      <c r="C420" s="40"/>
      <c r="D420" s="49"/>
      <c r="E420" s="50"/>
      <c r="F420" s="146"/>
      <c r="G420" s="16"/>
      <c r="H420" s="16"/>
      <c r="I420" s="29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</row>
    <row r="421" spans="1:118" s="1" customFormat="1" ht="15.6" x14ac:dyDescent="0.3">
      <c r="A421" s="35"/>
      <c r="B421" s="49"/>
      <c r="C421" s="49"/>
      <c r="D421" s="49"/>
      <c r="E421" s="50"/>
      <c r="F421" s="146"/>
      <c r="G421" s="16"/>
      <c r="H421" s="16"/>
      <c r="I421" s="29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</row>
    <row r="422" spans="1:118" s="1" customFormat="1" ht="15.6" x14ac:dyDescent="0.3">
      <c r="A422" s="35"/>
      <c r="B422" s="49"/>
      <c r="C422" s="49"/>
      <c r="D422" s="49"/>
      <c r="E422" s="50"/>
      <c r="F422" s="146"/>
      <c r="G422" s="16"/>
      <c r="H422" s="16"/>
      <c r="I422" s="29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</row>
    <row r="423" spans="1:118" s="1" customFormat="1" ht="15.6" x14ac:dyDescent="0.3">
      <c r="A423" s="36"/>
      <c r="B423" s="65"/>
      <c r="C423" s="49"/>
      <c r="D423" s="49"/>
      <c r="E423" s="50"/>
      <c r="F423" s="146"/>
      <c r="G423" s="16"/>
      <c r="H423" s="16"/>
      <c r="I423" s="29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</row>
    <row r="424" spans="1:118" s="1" customFormat="1" ht="15.6" x14ac:dyDescent="0.3">
      <c r="A424" s="35"/>
      <c r="B424" s="49"/>
      <c r="C424" s="49"/>
      <c r="D424" s="49"/>
      <c r="E424" s="50"/>
      <c r="F424" s="146"/>
      <c r="G424" s="16"/>
      <c r="H424" s="16"/>
      <c r="I424" s="29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</row>
    <row r="425" spans="1:118" s="1" customFormat="1" ht="15.6" x14ac:dyDescent="0.3">
      <c r="A425" s="36"/>
      <c r="B425" s="65"/>
      <c r="C425" s="65"/>
      <c r="D425" s="65"/>
      <c r="E425" s="50"/>
      <c r="F425" s="146"/>
      <c r="G425" s="16"/>
      <c r="H425" s="16"/>
      <c r="I425" s="29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</row>
    <row r="426" spans="1:118" s="1" customFormat="1" ht="15.6" x14ac:dyDescent="0.3">
      <c r="A426" s="36"/>
      <c r="B426" s="65"/>
      <c r="C426" s="65"/>
      <c r="D426" s="65"/>
      <c r="E426" s="50"/>
      <c r="F426" s="146"/>
      <c r="G426" s="16"/>
      <c r="H426" s="16"/>
      <c r="I426" s="29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</row>
    <row r="427" spans="1:118" s="1" customFormat="1" ht="15.6" x14ac:dyDescent="0.3">
      <c r="A427" s="36"/>
      <c r="B427" s="65"/>
      <c r="C427" s="65"/>
      <c r="D427" s="65"/>
      <c r="E427" s="50"/>
      <c r="F427" s="146"/>
      <c r="G427" s="16"/>
      <c r="H427" s="16"/>
      <c r="I427" s="29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</row>
    <row r="428" spans="1:118" s="1" customFormat="1" ht="15.6" x14ac:dyDescent="0.3">
      <c r="A428" s="36"/>
      <c r="B428" s="65"/>
      <c r="C428" s="65"/>
      <c r="D428" s="65"/>
      <c r="E428" s="50"/>
      <c r="F428" s="146"/>
      <c r="G428" s="16"/>
      <c r="H428" s="16"/>
      <c r="I428" s="29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</row>
    <row r="429" spans="1:118" s="1" customFormat="1" ht="15.6" x14ac:dyDescent="0.3">
      <c r="A429" s="36"/>
      <c r="B429" s="65"/>
      <c r="C429" s="65"/>
      <c r="D429" s="65"/>
      <c r="E429" s="50"/>
      <c r="F429" s="146"/>
      <c r="G429" s="16"/>
      <c r="H429" s="16"/>
      <c r="I429" s="29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</row>
    <row r="430" spans="1:118" s="1" customFormat="1" ht="15.6" x14ac:dyDescent="0.3">
      <c r="A430" s="36"/>
      <c r="B430" s="49"/>
      <c r="C430" s="49"/>
      <c r="D430" s="49"/>
      <c r="E430" s="50"/>
      <c r="F430" s="146"/>
      <c r="G430" s="16"/>
      <c r="H430" s="16"/>
      <c r="I430" s="29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</row>
    <row r="431" spans="1:118" s="1" customFormat="1" ht="15.6" x14ac:dyDescent="0.3">
      <c r="A431" s="36"/>
      <c r="B431" s="65"/>
      <c r="C431" s="65"/>
      <c r="D431" s="49"/>
      <c r="E431" s="50"/>
      <c r="F431" s="146"/>
      <c r="G431" s="16"/>
      <c r="H431" s="16"/>
      <c r="I431" s="29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</row>
    <row r="432" spans="1:118" s="1" customFormat="1" ht="15.6" x14ac:dyDescent="0.3">
      <c r="A432" s="36"/>
      <c r="B432" s="65"/>
      <c r="C432" s="65"/>
      <c r="D432" s="49"/>
      <c r="E432" s="50"/>
      <c r="F432" s="148"/>
      <c r="G432" s="16"/>
      <c r="H432" s="16"/>
      <c r="I432" s="29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</row>
    <row r="433" spans="1:118" s="1" customFormat="1" ht="15.6" x14ac:dyDescent="0.3">
      <c r="A433" s="36"/>
      <c r="B433" s="49"/>
      <c r="C433" s="49"/>
      <c r="D433" s="49"/>
      <c r="E433" s="50"/>
      <c r="F433" s="146"/>
      <c r="G433" s="16"/>
      <c r="H433" s="16"/>
      <c r="I433" s="29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</row>
    <row r="434" spans="1:118" s="1" customFormat="1" ht="15.6" x14ac:dyDescent="0.3">
      <c r="A434" s="36"/>
      <c r="B434" s="65"/>
      <c r="C434" s="65"/>
      <c r="D434" s="65"/>
      <c r="E434" s="50"/>
      <c r="F434" s="146"/>
      <c r="G434" s="16"/>
      <c r="H434" s="16"/>
      <c r="I434" s="29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</row>
    <row r="435" spans="1:118" s="1" customFormat="1" ht="15.6" x14ac:dyDescent="0.3">
      <c r="A435" s="36"/>
      <c r="B435" s="49"/>
      <c r="C435" s="49"/>
      <c r="D435" s="49"/>
      <c r="E435" s="50"/>
      <c r="F435" s="146"/>
      <c r="G435" s="16"/>
      <c r="H435" s="16"/>
      <c r="I435" s="29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</row>
    <row r="436" spans="1:118" s="1" customFormat="1" ht="15.6" x14ac:dyDescent="0.3">
      <c r="A436" s="36"/>
      <c r="B436" s="65"/>
      <c r="C436" s="65"/>
      <c r="D436" s="49"/>
      <c r="E436" s="50"/>
      <c r="F436" s="146"/>
      <c r="G436" s="16"/>
      <c r="H436" s="16"/>
      <c r="I436" s="29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</row>
    <row r="437" spans="1:118" s="1" customFormat="1" ht="15.6" x14ac:dyDescent="0.3">
      <c r="A437" s="36"/>
      <c r="B437" s="65"/>
      <c r="C437" s="65"/>
      <c r="D437" s="49"/>
      <c r="E437" s="50"/>
      <c r="F437" s="146"/>
      <c r="G437" s="16"/>
      <c r="H437" s="16"/>
      <c r="I437" s="29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</row>
    <row r="438" spans="1:118" s="1" customFormat="1" ht="15.6" x14ac:dyDescent="0.3">
      <c r="A438" s="36"/>
      <c r="B438" s="65"/>
      <c r="C438" s="65"/>
      <c r="D438" s="49"/>
      <c r="E438" s="50"/>
      <c r="F438" s="146"/>
      <c r="G438" s="16"/>
      <c r="H438" s="16"/>
      <c r="I438" s="29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</row>
    <row r="439" spans="1:118" s="1" customFormat="1" ht="15.6" x14ac:dyDescent="0.3">
      <c r="A439" s="36"/>
      <c r="B439" s="65"/>
      <c r="C439" s="65"/>
      <c r="D439" s="49"/>
      <c r="E439" s="50"/>
      <c r="F439" s="146"/>
      <c r="G439" s="16"/>
      <c r="H439" s="16"/>
      <c r="I439" s="29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</row>
    <row r="440" spans="1:118" s="1" customFormat="1" ht="15.6" x14ac:dyDescent="0.3">
      <c r="A440" s="36"/>
      <c r="B440" s="49"/>
      <c r="C440" s="49"/>
      <c r="D440" s="49"/>
      <c r="E440" s="50"/>
      <c r="F440" s="146"/>
      <c r="G440" s="16"/>
      <c r="H440" s="16"/>
      <c r="I440" s="29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</row>
    <row r="441" spans="1:118" s="1" customFormat="1" ht="15.6" x14ac:dyDescent="0.3">
      <c r="A441" s="36"/>
      <c r="B441" s="56"/>
      <c r="C441" s="40"/>
      <c r="D441" s="40"/>
      <c r="E441" s="50"/>
      <c r="F441" s="146"/>
      <c r="G441" s="16"/>
      <c r="H441" s="16"/>
      <c r="I441" s="29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</row>
    <row r="442" spans="1:118" s="1" customFormat="1" ht="15.6" x14ac:dyDescent="0.3">
      <c r="A442" s="36"/>
      <c r="B442" s="49"/>
      <c r="C442" s="49"/>
      <c r="D442" s="49"/>
      <c r="E442" s="50"/>
      <c r="F442" s="146"/>
      <c r="G442" s="16"/>
      <c r="H442" s="16"/>
      <c r="I442" s="29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</row>
    <row r="443" spans="1:118" s="1" customFormat="1" ht="15.6" x14ac:dyDescent="0.3">
      <c r="A443" s="36"/>
      <c r="B443" s="49"/>
      <c r="C443" s="49"/>
      <c r="D443" s="49"/>
      <c r="E443" s="50"/>
      <c r="F443" s="146"/>
      <c r="G443" s="16"/>
      <c r="H443" s="16"/>
      <c r="I443" s="29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</row>
    <row r="444" spans="1:118" s="1" customFormat="1" ht="15.6" x14ac:dyDescent="0.3">
      <c r="A444" s="36"/>
      <c r="B444" s="49"/>
      <c r="C444" s="49"/>
      <c r="D444" s="49"/>
      <c r="E444" s="50"/>
      <c r="F444" s="146"/>
      <c r="G444" s="16"/>
      <c r="H444" s="16"/>
      <c r="I444" s="29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</row>
    <row r="445" spans="1:118" s="1" customFormat="1" ht="15.6" x14ac:dyDescent="0.3">
      <c r="A445" s="36"/>
      <c r="B445" s="49"/>
      <c r="C445" s="49"/>
      <c r="D445" s="49"/>
      <c r="E445" s="50"/>
      <c r="F445" s="146"/>
      <c r="G445" s="16"/>
      <c r="H445" s="16"/>
      <c r="I445" s="29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</row>
    <row r="446" spans="1:118" s="1" customFormat="1" ht="15.6" x14ac:dyDescent="0.3">
      <c r="A446" s="36"/>
      <c r="B446" s="49"/>
      <c r="C446" s="49"/>
      <c r="D446" s="49"/>
      <c r="E446" s="50"/>
      <c r="F446" s="146"/>
      <c r="G446" s="16"/>
      <c r="H446" s="16"/>
      <c r="I446" s="29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</row>
    <row r="447" spans="1:118" s="1" customFormat="1" ht="15.6" x14ac:dyDescent="0.3">
      <c r="A447" s="36"/>
      <c r="B447" s="49"/>
      <c r="C447" s="49"/>
      <c r="D447" s="49"/>
      <c r="E447" s="50"/>
      <c r="F447" s="146"/>
      <c r="G447" s="16"/>
      <c r="H447" s="16"/>
      <c r="I447" s="29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</row>
    <row r="448" spans="1:118" s="1" customFormat="1" ht="15.6" x14ac:dyDescent="0.3">
      <c r="A448" s="66"/>
      <c r="B448" s="49"/>
      <c r="C448" s="49"/>
      <c r="D448" s="49"/>
      <c r="E448" s="50"/>
      <c r="F448" s="149"/>
      <c r="G448" s="16"/>
      <c r="H448" s="16"/>
      <c r="I448" s="29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</row>
    <row r="449" spans="1:118" s="1" customFormat="1" ht="15.6" x14ac:dyDescent="0.3">
      <c r="A449" s="36"/>
      <c r="B449" s="49"/>
      <c r="C449" s="49"/>
      <c r="D449" s="49"/>
      <c r="E449" s="50"/>
      <c r="F449" s="146"/>
      <c r="G449" s="16"/>
      <c r="H449" s="16"/>
      <c r="I449" s="29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</row>
    <row r="450" spans="1:118" s="1" customFormat="1" ht="15.6" x14ac:dyDescent="0.3">
      <c r="A450" s="36"/>
      <c r="B450" s="49"/>
      <c r="C450" s="49"/>
      <c r="D450" s="49"/>
      <c r="E450" s="50"/>
      <c r="F450" s="146"/>
      <c r="G450" s="16"/>
      <c r="H450" s="16"/>
      <c r="I450" s="29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</row>
    <row r="451" spans="1:118" s="1" customFormat="1" ht="15.6" x14ac:dyDescent="0.3">
      <c r="A451" s="36"/>
      <c r="B451" s="49"/>
      <c r="C451" s="49"/>
      <c r="D451" s="49"/>
      <c r="E451" s="50"/>
      <c r="F451" s="146"/>
      <c r="G451" s="16"/>
      <c r="H451" s="16"/>
      <c r="I451" s="29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</row>
    <row r="452" spans="1:118" s="1" customFormat="1" ht="15.6" x14ac:dyDescent="0.3">
      <c r="A452" s="36"/>
      <c r="B452" s="40"/>
      <c r="C452" s="49"/>
      <c r="D452" s="49"/>
      <c r="E452" s="50"/>
      <c r="F452" s="146"/>
      <c r="G452" s="16"/>
      <c r="H452" s="16"/>
      <c r="I452" s="29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</row>
    <row r="453" spans="1:118" s="1" customFormat="1" ht="15.6" x14ac:dyDescent="0.3">
      <c r="A453" s="67"/>
      <c r="B453" s="40"/>
      <c r="C453" s="40"/>
      <c r="D453" s="49"/>
      <c r="E453" s="50"/>
      <c r="F453" s="146"/>
      <c r="G453" s="16"/>
      <c r="H453" s="16"/>
      <c r="I453" s="29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</row>
    <row r="454" spans="1:118" s="1" customFormat="1" ht="15.6" x14ac:dyDescent="0.3">
      <c r="A454" s="67"/>
      <c r="B454" s="40"/>
      <c r="C454" s="40"/>
      <c r="D454" s="49"/>
      <c r="E454" s="50"/>
      <c r="F454" s="146"/>
      <c r="G454" s="16"/>
      <c r="H454" s="16"/>
      <c r="I454" s="29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</row>
    <row r="455" spans="1:118" s="1" customFormat="1" ht="15.6" x14ac:dyDescent="0.3">
      <c r="A455" s="67"/>
      <c r="B455" s="40"/>
      <c r="C455" s="40"/>
      <c r="D455" s="49"/>
      <c r="E455" s="50"/>
      <c r="F455" s="146"/>
      <c r="G455" s="16"/>
      <c r="H455" s="16"/>
      <c r="I455" s="29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</row>
    <row r="456" spans="1:118" s="1" customFormat="1" ht="15.6" x14ac:dyDescent="0.3">
      <c r="A456" s="36"/>
      <c r="B456" s="40"/>
      <c r="C456" s="40"/>
      <c r="D456" s="49"/>
      <c r="E456" s="50"/>
      <c r="F456" s="146"/>
      <c r="G456" s="16"/>
      <c r="H456" s="16"/>
      <c r="I456" s="29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</row>
    <row r="457" spans="1:118" s="1" customFormat="1" ht="15.6" x14ac:dyDescent="0.3">
      <c r="A457" s="66"/>
      <c r="B457" s="49"/>
      <c r="C457" s="49"/>
      <c r="D457" s="68"/>
      <c r="E457" s="50"/>
      <c r="F457" s="146"/>
      <c r="G457" s="16"/>
      <c r="H457" s="16"/>
      <c r="I457" s="29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</row>
    <row r="458" spans="1:118" s="1" customFormat="1" ht="15.6" x14ac:dyDescent="0.3">
      <c r="A458" s="66"/>
      <c r="B458" s="49"/>
      <c r="C458" s="49"/>
      <c r="D458" s="68"/>
      <c r="E458" s="50"/>
      <c r="F458" s="149"/>
      <c r="G458" s="16"/>
      <c r="H458" s="16"/>
      <c r="I458" s="29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</row>
    <row r="459" spans="1:118" s="1" customFormat="1" ht="15.6" x14ac:dyDescent="0.3">
      <c r="A459" s="66"/>
      <c r="B459" s="40"/>
      <c r="C459" s="49"/>
      <c r="D459" s="68"/>
      <c r="E459" s="50"/>
      <c r="F459" s="149"/>
      <c r="G459" s="16"/>
      <c r="H459" s="16"/>
      <c r="I459" s="29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</row>
    <row r="460" spans="1:118" s="1" customFormat="1" ht="15.6" x14ac:dyDescent="0.3">
      <c r="A460" s="66"/>
      <c r="B460" s="49"/>
      <c r="C460" s="49"/>
      <c r="D460" s="68"/>
      <c r="E460" s="50"/>
      <c r="F460" s="149"/>
      <c r="G460" s="16"/>
      <c r="H460" s="16"/>
      <c r="I460" s="29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</row>
    <row r="461" spans="1:118" s="1" customFormat="1" ht="15.6" x14ac:dyDescent="0.3">
      <c r="A461" s="66"/>
      <c r="B461" s="49"/>
      <c r="C461" s="49"/>
      <c r="D461" s="68"/>
      <c r="E461" s="50"/>
      <c r="F461" s="149"/>
      <c r="G461" s="16"/>
      <c r="H461" s="16"/>
      <c r="I461" s="29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</row>
    <row r="462" spans="1:118" s="1" customFormat="1" ht="15.6" x14ac:dyDescent="0.3">
      <c r="A462" s="66"/>
      <c r="B462" s="49"/>
      <c r="C462" s="49"/>
      <c r="D462" s="68"/>
      <c r="E462" s="50"/>
      <c r="F462" s="149"/>
      <c r="G462" s="16"/>
      <c r="H462" s="16"/>
      <c r="I462" s="29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</row>
    <row r="463" spans="1:118" s="1" customFormat="1" ht="15.6" x14ac:dyDescent="0.3">
      <c r="A463" s="66"/>
      <c r="B463" s="49"/>
      <c r="C463" s="49"/>
      <c r="D463" s="68"/>
      <c r="E463" s="50"/>
      <c r="F463" s="149"/>
      <c r="G463" s="16"/>
      <c r="H463" s="16"/>
      <c r="I463" s="29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</row>
    <row r="464" spans="1:118" s="1" customFormat="1" ht="15.6" x14ac:dyDescent="0.3">
      <c r="A464" s="66"/>
      <c r="B464" s="49"/>
      <c r="C464" s="68"/>
      <c r="D464" s="68"/>
      <c r="E464" s="50"/>
      <c r="F464" s="149"/>
      <c r="G464" s="16"/>
      <c r="H464" s="16"/>
      <c r="I464" s="29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</row>
    <row r="465" spans="1:118" s="1" customFormat="1" ht="15.6" x14ac:dyDescent="0.3">
      <c r="A465" s="66"/>
      <c r="B465" s="49"/>
      <c r="C465" s="49"/>
      <c r="D465" s="68"/>
      <c r="E465" s="50"/>
      <c r="F465" s="149"/>
      <c r="G465" s="16"/>
      <c r="H465" s="16"/>
      <c r="I465" s="29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</row>
    <row r="466" spans="1:118" s="1" customFormat="1" ht="15.6" x14ac:dyDescent="0.3">
      <c r="A466" s="66"/>
      <c r="B466" s="49"/>
      <c r="C466" s="49"/>
      <c r="D466" s="68"/>
      <c r="E466" s="50"/>
      <c r="F466" s="149"/>
      <c r="G466" s="16"/>
      <c r="H466" s="16"/>
      <c r="I466" s="29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</row>
    <row r="467" spans="1:118" s="1" customFormat="1" ht="15.6" x14ac:dyDescent="0.3">
      <c r="A467" s="66"/>
      <c r="B467" s="49"/>
      <c r="C467" s="49"/>
      <c r="D467" s="49"/>
      <c r="E467" s="50"/>
      <c r="F467" s="149"/>
      <c r="G467" s="16"/>
      <c r="H467" s="16"/>
      <c r="I467" s="29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</row>
    <row r="468" spans="1:118" s="3" customFormat="1" ht="15.6" x14ac:dyDescent="0.3">
      <c r="A468" s="66"/>
      <c r="B468" s="49"/>
      <c r="C468" s="49"/>
      <c r="D468" s="49"/>
      <c r="E468" s="50"/>
      <c r="F468" s="149"/>
      <c r="G468" s="16"/>
      <c r="H468" s="16"/>
      <c r="I468" s="29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</row>
    <row r="469" spans="1:118" s="3" customFormat="1" ht="15.6" x14ac:dyDescent="0.3">
      <c r="A469" s="66"/>
      <c r="B469" s="49"/>
      <c r="C469" s="49"/>
      <c r="D469" s="68"/>
      <c r="E469" s="50"/>
      <c r="F469" s="149"/>
      <c r="G469" s="16"/>
      <c r="H469" s="16"/>
      <c r="I469" s="29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</row>
    <row r="470" spans="1:118" s="1" customFormat="1" ht="15.6" x14ac:dyDescent="0.3">
      <c r="A470" s="36"/>
      <c r="B470" s="56"/>
      <c r="C470" s="40"/>
      <c r="D470" s="40"/>
      <c r="E470" s="50"/>
      <c r="F470" s="146"/>
      <c r="G470" s="16"/>
      <c r="H470" s="16"/>
      <c r="I470" s="29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</row>
    <row r="471" spans="1:118" s="1" customFormat="1" ht="15.6" x14ac:dyDescent="0.3">
      <c r="A471" s="66"/>
      <c r="B471" s="56"/>
      <c r="C471" s="40"/>
      <c r="D471" s="40"/>
      <c r="E471" s="50"/>
      <c r="F471" s="146"/>
      <c r="G471" s="16"/>
      <c r="H471" s="16"/>
      <c r="I471" s="29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</row>
    <row r="472" spans="1:118" s="1" customFormat="1" ht="15.6" x14ac:dyDescent="0.3">
      <c r="A472" s="36"/>
      <c r="B472" s="48"/>
      <c r="C472" s="49"/>
      <c r="D472" s="49"/>
      <c r="E472" s="69"/>
      <c r="F472" s="146"/>
      <c r="G472" s="16"/>
      <c r="H472" s="16"/>
      <c r="I472" s="29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</row>
    <row r="473" spans="1:118" s="1" customFormat="1" ht="15.6" x14ac:dyDescent="0.3">
      <c r="A473" s="36"/>
      <c r="B473" s="48"/>
      <c r="C473" s="49"/>
      <c r="D473" s="49"/>
      <c r="E473" s="50"/>
      <c r="F473" s="146"/>
      <c r="G473" s="16"/>
      <c r="H473" s="16"/>
      <c r="I473" s="29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</row>
    <row r="474" spans="1:118" s="1" customFormat="1" ht="15.6" x14ac:dyDescent="0.3">
      <c r="A474" s="36"/>
      <c r="B474" s="48"/>
      <c r="C474" s="49"/>
      <c r="D474" s="49"/>
      <c r="E474" s="50"/>
      <c r="F474" s="146"/>
      <c r="G474" s="16"/>
      <c r="H474" s="16"/>
      <c r="I474" s="29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</row>
    <row r="475" spans="1:118" s="1" customFormat="1" ht="15.6" x14ac:dyDescent="0.3">
      <c r="A475" s="36"/>
      <c r="B475" s="48"/>
      <c r="C475" s="48"/>
      <c r="D475" s="49"/>
      <c r="E475" s="50"/>
      <c r="F475" s="146"/>
      <c r="G475" s="16"/>
      <c r="H475" s="16"/>
      <c r="I475" s="29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</row>
    <row r="476" spans="1:118" s="1" customFormat="1" ht="15.6" x14ac:dyDescent="0.3">
      <c r="A476" s="36"/>
      <c r="B476" s="48"/>
      <c r="C476" s="48"/>
      <c r="D476" s="48"/>
      <c r="E476" s="50"/>
      <c r="F476" s="146"/>
      <c r="G476" s="16"/>
      <c r="H476" s="16"/>
      <c r="I476" s="29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</row>
    <row r="477" spans="1:118" s="1" customFormat="1" ht="15.6" x14ac:dyDescent="0.3">
      <c r="A477" s="36"/>
      <c r="B477" s="48"/>
      <c r="C477" s="48"/>
      <c r="D477" s="49"/>
      <c r="E477" s="50"/>
      <c r="F477" s="146"/>
      <c r="G477" s="16"/>
      <c r="H477" s="16"/>
      <c r="I477" s="29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/>
      <c r="CS477" s="36"/>
      <c r="CT477" s="36"/>
      <c r="CU477" s="36"/>
      <c r="CV477" s="36"/>
      <c r="CW477" s="36"/>
      <c r="CX477" s="36"/>
      <c r="CY477" s="36"/>
      <c r="CZ477" s="36"/>
      <c r="DA477" s="36"/>
      <c r="DB477" s="36"/>
      <c r="DC477" s="36"/>
      <c r="DD477" s="36"/>
      <c r="DE477" s="36"/>
      <c r="DF477" s="36"/>
      <c r="DG477" s="36"/>
      <c r="DH477" s="36"/>
      <c r="DI477" s="36"/>
      <c r="DJ477" s="36"/>
      <c r="DK477" s="36"/>
      <c r="DL477" s="36"/>
      <c r="DM477" s="36"/>
      <c r="DN477" s="36"/>
    </row>
    <row r="478" spans="1:118" s="3" customFormat="1" ht="15.6" x14ac:dyDescent="0.3">
      <c r="A478" s="36"/>
      <c r="B478" s="56"/>
      <c r="C478" s="48"/>
      <c r="D478" s="49"/>
      <c r="E478" s="50"/>
      <c r="F478" s="146"/>
      <c r="G478" s="16"/>
      <c r="H478" s="16"/>
      <c r="I478" s="29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</row>
    <row r="479" spans="1:118" s="1" customFormat="1" ht="15.6" x14ac:dyDescent="0.3">
      <c r="A479" s="36"/>
      <c r="B479" s="49"/>
      <c r="C479" s="48"/>
      <c r="D479" s="61"/>
      <c r="E479" s="50"/>
      <c r="F479" s="146"/>
      <c r="G479" s="16"/>
      <c r="H479" s="16"/>
      <c r="I479" s="29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  <c r="CN479" s="36"/>
      <c r="CO479" s="36"/>
      <c r="CP479" s="36"/>
      <c r="CQ479" s="36"/>
      <c r="CR479" s="36"/>
      <c r="CS479" s="36"/>
      <c r="CT479" s="36"/>
      <c r="CU479" s="36"/>
      <c r="CV479" s="36"/>
      <c r="CW479" s="36"/>
      <c r="CX479" s="36"/>
      <c r="CY479" s="36"/>
      <c r="CZ479" s="36"/>
      <c r="DA479" s="36"/>
      <c r="DB479" s="36"/>
      <c r="DC479" s="36"/>
      <c r="DD479" s="36"/>
      <c r="DE479" s="36"/>
      <c r="DF479" s="36"/>
      <c r="DG479" s="36"/>
      <c r="DH479" s="36"/>
      <c r="DI479" s="36"/>
      <c r="DJ479" s="36"/>
      <c r="DK479" s="36"/>
      <c r="DL479" s="36"/>
      <c r="DM479" s="36"/>
      <c r="DN479" s="36"/>
    </row>
    <row r="480" spans="1:118" s="1" customFormat="1" ht="15.6" x14ac:dyDescent="0.3">
      <c r="A480" s="36"/>
      <c r="B480" s="56"/>
      <c r="C480" s="40"/>
      <c r="D480" s="40"/>
      <c r="E480" s="50"/>
      <c r="F480" s="146"/>
      <c r="G480" s="16"/>
      <c r="H480" s="16"/>
      <c r="I480" s="29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</row>
    <row r="481" spans="1:118" s="1" customFormat="1" ht="15.6" x14ac:dyDescent="0.3">
      <c r="A481" s="36"/>
      <c r="B481" s="56"/>
      <c r="C481" s="49"/>
      <c r="D481" s="49"/>
      <c r="E481" s="50"/>
      <c r="F481" s="146"/>
      <c r="G481" s="16"/>
      <c r="H481" s="16"/>
      <c r="I481" s="29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/>
      <c r="DA481" s="36"/>
      <c r="DB481" s="36"/>
      <c r="DC481" s="36"/>
      <c r="DD481" s="36"/>
      <c r="DE481" s="36"/>
      <c r="DF481" s="36"/>
      <c r="DG481" s="36"/>
      <c r="DH481" s="36"/>
      <c r="DI481" s="36"/>
      <c r="DJ481" s="36"/>
      <c r="DK481" s="36"/>
      <c r="DL481" s="36"/>
      <c r="DM481" s="36"/>
      <c r="DN481" s="36"/>
    </row>
    <row r="482" spans="1:118" s="1" customFormat="1" ht="15.6" x14ac:dyDescent="0.3">
      <c r="A482" s="36"/>
      <c r="B482" s="56"/>
      <c r="C482" s="49"/>
      <c r="D482" s="49"/>
      <c r="E482" s="50"/>
      <c r="F482" s="146"/>
      <c r="G482" s="16"/>
      <c r="H482" s="16"/>
      <c r="I482" s="29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</row>
    <row r="483" spans="1:118" s="1" customFormat="1" ht="15.6" x14ac:dyDescent="0.3">
      <c r="A483" s="36"/>
      <c r="B483" s="56"/>
      <c r="C483" s="49"/>
      <c r="D483" s="49"/>
      <c r="E483" s="50"/>
      <c r="F483" s="146"/>
      <c r="G483" s="16"/>
      <c r="H483" s="16"/>
      <c r="I483" s="29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</row>
    <row r="484" spans="1:118" s="1" customFormat="1" ht="15.6" x14ac:dyDescent="0.3">
      <c r="A484" s="36"/>
      <c r="B484" s="56"/>
      <c r="C484" s="49"/>
      <c r="D484" s="49"/>
      <c r="E484" s="50"/>
      <c r="F484" s="146"/>
      <c r="G484" s="16"/>
      <c r="H484" s="16"/>
      <c r="I484" s="29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</row>
    <row r="485" spans="1:118" s="1" customFormat="1" ht="15.6" x14ac:dyDescent="0.3">
      <c r="A485" s="36"/>
      <c r="B485" s="56"/>
      <c r="C485" s="49"/>
      <c r="D485" s="49"/>
      <c r="E485" s="50"/>
      <c r="F485" s="146"/>
      <c r="G485" s="16"/>
      <c r="H485" s="16"/>
      <c r="I485" s="29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CL485" s="36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36"/>
      <c r="CY485" s="36"/>
      <c r="CZ485" s="36"/>
      <c r="DA485" s="36"/>
      <c r="DB485" s="36"/>
      <c r="DC485" s="36"/>
      <c r="DD485" s="36"/>
      <c r="DE485" s="36"/>
      <c r="DF485" s="36"/>
      <c r="DG485" s="36"/>
      <c r="DH485" s="36"/>
      <c r="DI485" s="36"/>
      <c r="DJ485" s="36"/>
      <c r="DK485" s="36"/>
      <c r="DL485" s="36"/>
      <c r="DM485" s="36"/>
      <c r="DN485" s="36"/>
    </row>
    <row r="486" spans="1:118" s="1" customFormat="1" ht="15.6" x14ac:dyDescent="0.3">
      <c r="A486" s="36"/>
      <c r="B486" s="56"/>
      <c r="C486" s="49"/>
      <c r="D486" s="49"/>
      <c r="E486" s="50"/>
      <c r="F486" s="146"/>
      <c r="G486" s="16"/>
      <c r="H486" s="16"/>
      <c r="I486" s="29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CL486" s="36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36"/>
      <c r="CY486" s="36"/>
      <c r="CZ486" s="36"/>
      <c r="DA486" s="36"/>
      <c r="DB486" s="36"/>
      <c r="DC486" s="36"/>
      <c r="DD486" s="36"/>
      <c r="DE486" s="36"/>
      <c r="DF486" s="36"/>
      <c r="DG486" s="36"/>
      <c r="DH486" s="36"/>
      <c r="DI486" s="36"/>
      <c r="DJ486" s="36"/>
      <c r="DK486" s="36"/>
      <c r="DL486" s="36"/>
      <c r="DM486" s="36"/>
      <c r="DN486" s="36"/>
    </row>
    <row r="487" spans="1:118" s="1" customFormat="1" ht="15.6" x14ac:dyDescent="0.3">
      <c r="A487" s="36"/>
      <c r="B487" s="56"/>
      <c r="C487" s="49"/>
      <c r="D487" s="49"/>
      <c r="E487" s="50"/>
      <c r="F487" s="146"/>
      <c r="G487" s="16"/>
      <c r="H487" s="16"/>
      <c r="I487" s="29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</row>
    <row r="488" spans="1:118" s="1" customFormat="1" ht="15.6" x14ac:dyDescent="0.3">
      <c r="A488" s="36"/>
      <c r="B488" s="56"/>
      <c r="C488" s="40"/>
      <c r="D488" s="49"/>
      <c r="E488" s="50"/>
      <c r="F488" s="146"/>
      <c r="G488" s="16"/>
      <c r="H488" s="16"/>
      <c r="I488" s="29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</row>
    <row r="489" spans="1:118" s="1" customFormat="1" ht="15.6" x14ac:dyDescent="0.3">
      <c r="A489" s="36"/>
      <c r="B489" s="56"/>
      <c r="C489" s="49"/>
      <c r="D489" s="49"/>
      <c r="E489" s="50"/>
      <c r="F489" s="146"/>
      <c r="G489" s="16"/>
      <c r="H489" s="16"/>
      <c r="I489" s="29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/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</row>
    <row r="490" spans="1:118" s="1" customFormat="1" ht="15.6" x14ac:dyDescent="0.3">
      <c r="A490" s="36"/>
      <c r="B490" s="48"/>
      <c r="C490" s="40"/>
      <c r="D490" s="49"/>
      <c r="E490" s="50"/>
      <c r="F490" s="146"/>
      <c r="G490" s="16"/>
      <c r="H490" s="16"/>
      <c r="I490" s="29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</row>
    <row r="491" spans="1:118" s="1" customFormat="1" ht="15.6" x14ac:dyDescent="0.3">
      <c r="A491" s="36"/>
      <c r="B491" s="48"/>
      <c r="C491" s="49"/>
      <c r="D491" s="70"/>
      <c r="E491" s="50"/>
      <c r="F491" s="146"/>
      <c r="G491" s="16"/>
      <c r="H491" s="16"/>
      <c r="I491" s="29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</row>
    <row r="492" spans="1:118" s="1" customFormat="1" ht="15.6" x14ac:dyDescent="0.3">
      <c r="A492" s="36"/>
      <c r="B492" s="48"/>
      <c r="C492" s="49"/>
      <c r="D492" s="49"/>
      <c r="E492" s="50"/>
      <c r="F492" s="146"/>
      <c r="G492" s="16"/>
      <c r="H492" s="16"/>
      <c r="I492" s="29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</row>
    <row r="493" spans="1:118" s="1" customFormat="1" ht="15.6" x14ac:dyDescent="0.3">
      <c r="A493" s="36"/>
      <c r="B493" s="48"/>
      <c r="C493" s="49"/>
      <c r="D493" s="49"/>
      <c r="E493" s="50"/>
      <c r="F493" s="146"/>
      <c r="G493" s="16"/>
      <c r="H493" s="16"/>
      <c r="I493" s="29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  <c r="CN493" s="36"/>
      <c r="CO493" s="36"/>
      <c r="CP493" s="36"/>
      <c r="CQ493" s="36"/>
      <c r="CR493" s="36"/>
      <c r="CS493" s="36"/>
      <c r="CT493" s="36"/>
      <c r="CU493" s="36"/>
      <c r="CV493" s="36"/>
      <c r="CW493" s="36"/>
      <c r="CX493" s="36"/>
      <c r="CY493" s="36"/>
      <c r="CZ493" s="36"/>
      <c r="DA493" s="36"/>
      <c r="DB493" s="36"/>
      <c r="DC493" s="36"/>
      <c r="DD493" s="36"/>
      <c r="DE493" s="36"/>
      <c r="DF493" s="36"/>
      <c r="DG493" s="36"/>
      <c r="DH493" s="36"/>
      <c r="DI493" s="36"/>
      <c r="DJ493" s="36"/>
      <c r="DK493" s="36"/>
      <c r="DL493" s="36"/>
      <c r="DM493" s="36"/>
      <c r="DN493" s="36"/>
    </row>
    <row r="494" spans="1:118" s="1" customFormat="1" ht="15.6" x14ac:dyDescent="0.3">
      <c r="A494" s="36"/>
      <c r="B494" s="48"/>
      <c r="C494" s="49"/>
      <c r="D494" s="49"/>
      <c r="E494" s="50"/>
      <c r="F494" s="146"/>
      <c r="G494" s="16"/>
      <c r="H494" s="16"/>
      <c r="I494" s="29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  <c r="CN494" s="36"/>
      <c r="CO494" s="36"/>
      <c r="CP494" s="36"/>
      <c r="CQ494" s="36"/>
      <c r="CR494" s="36"/>
      <c r="CS494" s="36"/>
      <c r="CT494" s="36"/>
      <c r="CU494" s="36"/>
      <c r="CV494" s="36"/>
      <c r="CW494" s="36"/>
      <c r="CX494" s="36"/>
      <c r="CY494" s="36"/>
      <c r="CZ494" s="36"/>
      <c r="DA494" s="36"/>
      <c r="DB494" s="36"/>
      <c r="DC494" s="36"/>
      <c r="DD494" s="36"/>
      <c r="DE494" s="36"/>
      <c r="DF494" s="36"/>
      <c r="DG494" s="36"/>
      <c r="DH494" s="36"/>
      <c r="DI494" s="36"/>
      <c r="DJ494" s="36"/>
      <c r="DK494" s="36"/>
      <c r="DL494" s="36"/>
      <c r="DM494" s="36"/>
      <c r="DN494" s="36"/>
    </row>
    <row r="495" spans="1:118" s="1" customFormat="1" ht="15.6" x14ac:dyDescent="0.3">
      <c r="A495" s="36"/>
      <c r="B495" s="48"/>
      <c r="C495" s="49"/>
      <c r="D495" s="49"/>
      <c r="E495" s="50"/>
      <c r="F495" s="146"/>
      <c r="G495" s="16"/>
      <c r="H495" s="16"/>
      <c r="I495" s="29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CL495" s="36"/>
      <c r="CM495" s="36"/>
      <c r="CN495" s="36"/>
      <c r="CO495" s="36"/>
      <c r="CP495" s="36"/>
      <c r="CQ495" s="36"/>
      <c r="CR495" s="36"/>
      <c r="CS495" s="36"/>
      <c r="CT495" s="36"/>
      <c r="CU495" s="36"/>
      <c r="CV495" s="36"/>
      <c r="CW495" s="36"/>
      <c r="CX495" s="36"/>
      <c r="CY495" s="36"/>
      <c r="CZ495" s="36"/>
      <c r="DA495" s="36"/>
      <c r="DB495" s="36"/>
      <c r="DC495" s="36"/>
      <c r="DD495" s="36"/>
      <c r="DE495" s="36"/>
      <c r="DF495" s="36"/>
      <c r="DG495" s="36"/>
      <c r="DH495" s="36"/>
      <c r="DI495" s="36"/>
      <c r="DJ495" s="36"/>
      <c r="DK495" s="36"/>
      <c r="DL495" s="36"/>
      <c r="DM495" s="36"/>
      <c r="DN495" s="36"/>
    </row>
    <row r="496" spans="1:118" s="1" customFormat="1" ht="15.6" x14ac:dyDescent="0.3">
      <c r="A496" s="36"/>
      <c r="B496" s="48"/>
      <c r="C496" s="49"/>
      <c r="D496" s="49"/>
      <c r="E496" s="50"/>
      <c r="F496" s="146"/>
      <c r="G496" s="16"/>
      <c r="H496" s="16"/>
      <c r="I496" s="29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36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</row>
    <row r="497" spans="1:118" s="1" customFormat="1" ht="15.6" x14ac:dyDescent="0.3">
      <c r="A497" s="36"/>
      <c r="B497" s="56"/>
      <c r="C497" s="40"/>
      <c r="D497" s="40"/>
      <c r="E497" s="50"/>
      <c r="F497" s="146"/>
      <c r="G497" s="16"/>
      <c r="H497" s="16"/>
      <c r="I497" s="29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CL497" s="36"/>
      <c r="CM497" s="36"/>
      <c r="CN497" s="36"/>
      <c r="CO497" s="36"/>
      <c r="CP497" s="36"/>
      <c r="CQ497" s="36"/>
      <c r="CR497" s="36"/>
      <c r="CS497" s="36"/>
      <c r="CT497" s="36"/>
      <c r="CU497" s="36"/>
      <c r="CV497" s="36"/>
      <c r="CW497" s="36"/>
      <c r="CX497" s="36"/>
      <c r="CY497" s="36"/>
      <c r="CZ497" s="36"/>
      <c r="DA497" s="36"/>
      <c r="DB497" s="36"/>
      <c r="DC497" s="36"/>
      <c r="DD497" s="36"/>
      <c r="DE497" s="36"/>
      <c r="DF497" s="36"/>
      <c r="DG497" s="36"/>
      <c r="DH497" s="36"/>
      <c r="DI497" s="36"/>
      <c r="DJ497" s="36"/>
      <c r="DK497" s="36"/>
      <c r="DL497" s="36"/>
      <c r="DM497" s="36"/>
      <c r="DN497" s="36"/>
    </row>
    <row r="498" spans="1:118" s="1" customFormat="1" ht="15.6" x14ac:dyDescent="0.3">
      <c r="A498" s="36"/>
      <c r="B498" s="56"/>
      <c r="C498" s="49"/>
      <c r="D498" s="49"/>
      <c r="E498" s="50"/>
      <c r="F498" s="146"/>
      <c r="G498" s="16"/>
      <c r="H498" s="16"/>
      <c r="I498" s="29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  <c r="CN498" s="36"/>
      <c r="CO498" s="36"/>
      <c r="CP498" s="36"/>
      <c r="CQ498" s="36"/>
      <c r="CR498" s="36"/>
      <c r="CS498" s="36"/>
      <c r="CT498" s="36"/>
      <c r="CU498" s="36"/>
      <c r="CV498" s="36"/>
      <c r="CW498" s="36"/>
      <c r="CX498" s="36"/>
      <c r="CY498" s="36"/>
      <c r="CZ498" s="36"/>
      <c r="DA498" s="36"/>
      <c r="DB498" s="36"/>
      <c r="DC498" s="36"/>
      <c r="DD498" s="36"/>
      <c r="DE498" s="36"/>
      <c r="DF498" s="36"/>
      <c r="DG498" s="36"/>
      <c r="DH498" s="36"/>
      <c r="DI498" s="36"/>
      <c r="DJ498" s="36"/>
      <c r="DK498" s="36"/>
      <c r="DL498" s="36"/>
      <c r="DM498" s="36"/>
      <c r="DN498" s="36"/>
    </row>
    <row r="499" spans="1:118" s="1" customFormat="1" ht="15.6" x14ac:dyDescent="0.3">
      <c r="A499" s="36"/>
      <c r="B499" s="56"/>
      <c r="C499" s="49"/>
      <c r="D499" s="49"/>
      <c r="E499" s="50"/>
      <c r="F499" s="146"/>
      <c r="G499" s="16"/>
      <c r="H499" s="16"/>
      <c r="I499" s="29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/>
      <c r="DB499" s="36"/>
      <c r="DC499" s="36"/>
      <c r="DD499" s="36"/>
      <c r="DE499" s="36"/>
      <c r="DF499" s="36"/>
      <c r="DG499" s="36"/>
      <c r="DH499" s="36"/>
      <c r="DI499" s="36"/>
      <c r="DJ499" s="36"/>
      <c r="DK499" s="36"/>
      <c r="DL499" s="36"/>
      <c r="DM499" s="36"/>
      <c r="DN499" s="36"/>
    </row>
    <row r="500" spans="1:118" s="1" customFormat="1" ht="15.6" x14ac:dyDescent="0.3">
      <c r="A500" s="36"/>
      <c r="B500" s="48"/>
      <c r="C500" s="49"/>
      <c r="D500" s="49"/>
      <c r="E500" s="50"/>
      <c r="F500" s="146"/>
      <c r="G500" s="16"/>
      <c r="H500" s="16"/>
      <c r="I500" s="29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  <c r="CN500" s="36"/>
      <c r="CO500" s="36"/>
      <c r="CP500" s="36"/>
      <c r="CQ500" s="36"/>
      <c r="CR500" s="36"/>
      <c r="CS500" s="36"/>
      <c r="CT500" s="36"/>
      <c r="CU500" s="36"/>
      <c r="CV500" s="36"/>
      <c r="CW500" s="36"/>
      <c r="CX500" s="36"/>
      <c r="CY500" s="36"/>
      <c r="CZ500" s="36"/>
      <c r="DA500" s="36"/>
      <c r="DB500" s="36"/>
      <c r="DC500" s="36"/>
      <c r="DD500" s="36"/>
      <c r="DE500" s="36"/>
      <c r="DF500" s="36"/>
      <c r="DG500" s="36"/>
      <c r="DH500" s="36"/>
      <c r="DI500" s="36"/>
      <c r="DJ500" s="36"/>
      <c r="DK500" s="36"/>
      <c r="DL500" s="36"/>
      <c r="DM500" s="36"/>
      <c r="DN500" s="36"/>
    </row>
    <row r="501" spans="1:118" s="1" customFormat="1" ht="15.6" x14ac:dyDescent="0.3">
      <c r="A501" s="36"/>
      <c r="B501" s="48"/>
      <c r="C501" s="49"/>
      <c r="D501" s="49"/>
      <c r="E501" s="50"/>
      <c r="F501" s="146"/>
      <c r="G501" s="16"/>
      <c r="H501" s="16"/>
      <c r="I501" s="29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CL501" s="36"/>
      <c r="CM501" s="36"/>
      <c r="CN501" s="36"/>
      <c r="CO501" s="36"/>
      <c r="CP501" s="36"/>
      <c r="CQ501" s="36"/>
      <c r="CR501" s="36"/>
      <c r="CS501" s="36"/>
      <c r="CT501" s="36"/>
      <c r="CU501" s="36"/>
      <c r="CV501" s="36"/>
      <c r="CW501" s="36"/>
      <c r="CX501" s="36"/>
      <c r="CY501" s="36"/>
      <c r="CZ501" s="36"/>
      <c r="DA501" s="36"/>
      <c r="DB501" s="36"/>
      <c r="DC501" s="36"/>
      <c r="DD501" s="36"/>
      <c r="DE501" s="36"/>
      <c r="DF501" s="36"/>
      <c r="DG501" s="36"/>
      <c r="DH501" s="36"/>
      <c r="DI501" s="36"/>
      <c r="DJ501" s="36"/>
      <c r="DK501" s="36"/>
      <c r="DL501" s="36"/>
      <c r="DM501" s="36"/>
      <c r="DN501" s="36"/>
    </row>
    <row r="502" spans="1:118" s="1" customFormat="1" ht="15.6" x14ac:dyDescent="0.3">
      <c r="A502" s="36"/>
      <c r="B502" s="48"/>
      <c r="C502" s="49"/>
      <c r="D502" s="49"/>
      <c r="E502" s="50"/>
      <c r="F502" s="146"/>
      <c r="G502" s="16"/>
      <c r="H502" s="16"/>
      <c r="I502" s="29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CL502" s="36"/>
      <c r="CM502" s="36"/>
      <c r="CN502" s="36"/>
      <c r="CO502" s="36"/>
      <c r="CP502" s="36"/>
      <c r="CQ502" s="36"/>
      <c r="CR502" s="36"/>
      <c r="CS502" s="36"/>
      <c r="CT502" s="36"/>
      <c r="CU502" s="36"/>
      <c r="CV502" s="36"/>
      <c r="CW502" s="36"/>
      <c r="CX502" s="36"/>
      <c r="CY502" s="36"/>
      <c r="CZ502" s="36"/>
      <c r="DA502" s="36"/>
      <c r="DB502" s="36"/>
      <c r="DC502" s="36"/>
      <c r="DD502" s="36"/>
      <c r="DE502" s="36"/>
      <c r="DF502" s="36"/>
      <c r="DG502" s="36"/>
      <c r="DH502" s="36"/>
      <c r="DI502" s="36"/>
      <c r="DJ502" s="36"/>
      <c r="DK502" s="36"/>
      <c r="DL502" s="36"/>
      <c r="DM502" s="36"/>
      <c r="DN502" s="36"/>
    </row>
    <row r="503" spans="1:118" s="1" customFormat="1" ht="15.6" x14ac:dyDescent="0.3">
      <c r="A503" s="36"/>
      <c r="B503" s="48"/>
      <c r="C503" s="49"/>
      <c r="D503" s="49"/>
      <c r="E503" s="50"/>
      <c r="F503" s="146"/>
      <c r="G503" s="16"/>
      <c r="H503" s="16"/>
      <c r="I503" s="29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CL503" s="36"/>
      <c r="CM503" s="36"/>
      <c r="CN503" s="36"/>
      <c r="CO503" s="36"/>
      <c r="CP503" s="36"/>
      <c r="CQ503" s="36"/>
      <c r="CR503" s="36"/>
      <c r="CS503" s="36"/>
      <c r="CT503" s="36"/>
      <c r="CU503" s="36"/>
      <c r="CV503" s="36"/>
      <c r="CW503" s="36"/>
      <c r="CX503" s="36"/>
      <c r="CY503" s="36"/>
      <c r="CZ503" s="36"/>
      <c r="DA503" s="36"/>
      <c r="DB503" s="36"/>
      <c r="DC503" s="36"/>
      <c r="DD503" s="36"/>
      <c r="DE503" s="36"/>
      <c r="DF503" s="36"/>
      <c r="DG503" s="36"/>
      <c r="DH503" s="36"/>
      <c r="DI503" s="36"/>
      <c r="DJ503" s="36"/>
      <c r="DK503" s="36"/>
      <c r="DL503" s="36"/>
      <c r="DM503" s="36"/>
      <c r="DN503" s="36"/>
    </row>
    <row r="504" spans="1:118" s="1" customFormat="1" ht="15.6" x14ac:dyDescent="0.3">
      <c r="A504" s="36"/>
      <c r="B504" s="48"/>
      <c r="C504" s="49"/>
      <c r="D504" s="49"/>
      <c r="E504" s="50"/>
      <c r="F504" s="146"/>
      <c r="G504" s="16"/>
      <c r="H504" s="16"/>
      <c r="I504" s="29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/>
      <c r="CR504" s="36"/>
      <c r="CS504" s="36"/>
      <c r="CT504" s="36"/>
      <c r="CU504" s="36"/>
      <c r="CV504" s="36"/>
      <c r="CW504" s="36"/>
      <c r="CX504" s="36"/>
      <c r="CY504" s="36"/>
      <c r="CZ504" s="36"/>
      <c r="DA504" s="36"/>
      <c r="DB504" s="36"/>
      <c r="DC504" s="36"/>
      <c r="DD504" s="36"/>
      <c r="DE504" s="36"/>
      <c r="DF504" s="36"/>
      <c r="DG504" s="36"/>
      <c r="DH504" s="36"/>
      <c r="DI504" s="36"/>
      <c r="DJ504" s="36"/>
      <c r="DK504" s="36"/>
      <c r="DL504" s="36"/>
      <c r="DM504" s="36"/>
      <c r="DN504" s="36"/>
    </row>
    <row r="505" spans="1:118" s="1" customFormat="1" ht="15.6" x14ac:dyDescent="0.3">
      <c r="A505" s="36"/>
      <c r="B505" s="48"/>
      <c r="C505" s="49"/>
      <c r="D505" s="49"/>
      <c r="E505" s="50"/>
      <c r="F505" s="146"/>
      <c r="G505" s="16"/>
      <c r="H505" s="16"/>
      <c r="I505" s="29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/>
      <c r="CQ505" s="36"/>
      <c r="CR505" s="36"/>
      <c r="CS505" s="36"/>
      <c r="CT505" s="36"/>
      <c r="CU505" s="36"/>
      <c r="CV505" s="36"/>
      <c r="CW505" s="36"/>
      <c r="CX505" s="36"/>
      <c r="CY505" s="36"/>
      <c r="CZ505" s="36"/>
      <c r="DA505" s="36"/>
      <c r="DB505" s="36"/>
      <c r="DC505" s="36"/>
      <c r="DD505" s="36"/>
      <c r="DE505" s="36"/>
      <c r="DF505" s="36"/>
      <c r="DG505" s="36"/>
      <c r="DH505" s="36"/>
      <c r="DI505" s="36"/>
      <c r="DJ505" s="36"/>
      <c r="DK505" s="36"/>
      <c r="DL505" s="36"/>
      <c r="DM505" s="36"/>
      <c r="DN505" s="36"/>
    </row>
    <row r="506" spans="1:118" s="1" customFormat="1" ht="15.6" x14ac:dyDescent="0.3">
      <c r="A506" s="36"/>
      <c r="B506" s="48"/>
      <c r="C506" s="49"/>
      <c r="D506" s="49"/>
      <c r="E506" s="50"/>
      <c r="F506" s="146"/>
      <c r="G506" s="16"/>
      <c r="H506" s="16"/>
      <c r="I506" s="29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</row>
    <row r="507" spans="1:118" s="1" customFormat="1" ht="15.6" x14ac:dyDescent="0.3">
      <c r="A507" s="36"/>
      <c r="B507" s="48"/>
      <c r="C507" s="49"/>
      <c r="D507" s="49"/>
      <c r="E507" s="50"/>
      <c r="F507" s="146"/>
      <c r="G507" s="16"/>
      <c r="H507" s="16"/>
      <c r="I507" s="29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</row>
    <row r="508" spans="1:118" s="1" customFormat="1" ht="15.6" x14ac:dyDescent="0.3">
      <c r="A508" s="36"/>
      <c r="B508" s="48"/>
      <c r="C508" s="49"/>
      <c r="D508" s="49"/>
      <c r="E508" s="50"/>
      <c r="F508" s="146"/>
      <c r="G508" s="16"/>
      <c r="H508" s="16"/>
      <c r="I508" s="29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</row>
    <row r="509" spans="1:118" s="1" customFormat="1" ht="15.6" x14ac:dyDescent="0.3">
      <c r="A509" s="36"/>
      <c r="B509" s="48"/>
      <c r="C509" s="49"/>
      <c r="D509" s="49"/>
      <c r="E509" s="50"/>
      <c r="F509" s="146"/>
      <c r="G509" s="16"/>
      <c r="H509" s="16"/>
      <c r="I509" s="29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</row>
    <row r="510" spans="1:118" s="1" customFormat="1" ht="15.6" x14ac:dyDescent="0.3">
      <c r="A510" s="36"/>
      <c r="B510" s="48"/>
      <c r="C510" s="49"/>
      <c r="D510" s="49"/>
      <c r="E510" s="50"/>
      <c r="F510" s="146"/>
      <c r="G510" s="16"/>
      <c r="H510" s="16"/>
      <c r="I510" s="29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</row>
    <row r="511" spans="1:118" s="1" customFormat="1" ht="15.6" x14ac:dyDescent="0.3">
      <c r="A511" s="36"/>
      <c r="B511" s="49"/>
      <c r="C511" s="49"/>
      <c r="D511" s="49"/>
      <c r="E511" s="50"/>
      <c r="F511" s="146"/>
      <c r="G511" s="16"/>
      <c r="H511" s="16"/>
      <c r="I511" s="29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</row>
    <row r="512" spans="1:118" s="1" customFormat="1" ht="15.6" x14ac:dyDescent="0.3">
      <c r="A512" s="36"/>
      <c r="B512" s="48"/>
      <c r="C512" s="49"/>
      <c r="D512" s="49"/>
      <c r="E512" s="50"/>
      <c r="F512" s="146"/>
      <c r="G512" s="16"/>
      <c r="H512" s="16"/>
      <c r="I512" s="29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</row>
    <row r="513" spans="1:118" s="1" customFormat="1" ht="15.6" x14ac:dyDescent="0.3">
      <c r="A513" s="36"/>
      <c r="B513" s="48"/>
      <c r="C513" s="49"/>
      <c r="D513" s="49"/>
      <c r="E513" s="50"/>
      <c r="F513" s="146"/>
      <c r="G513" s="16"/>
      <c r="H513" s="16"/>
      <c r="I513" s="29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</row>
    <row r="514" spans="1:118" s="1" customFormat="1" ht="15.6" x14ac:dyDescent="0.3">
      <c r="A514" s="36"/>
      <c r="B514" s="48"/>
      <c r="C514" s="49"/>
      <c r="D514" s="49"/>
      <c r="E514" s="50"/>
      <c r="F514" s="146"/>
      <c r="G514" s="16"/>
      <c r="H514" s="16"/>
      <c r="I514" s="29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</row>
    <row r="515" spans="1:118" s="1" customFormat="1" ht="15.6" x14ac:dyDescent="0.3">
      <c r="A515" s="36"/>
      <c r="B515" s="48"/>
      <c r="C515" s="48"/>
      <c r="D515" s="49"/>
      <c r="E515" s="50"/>
      <c r="F515" s="146"/>
      <c r="G515" s="16"/>
      <c r="H515" s="16"/>
      <c r="I515" s="29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</row>
    <row r="516" spans="1:118" s="1" customFormat="1" ht="15.6" x14ac:dyDescent="0.3">
      <c r="A516" s="36"/>
      <c r="B516" s="48"/>
      <c r="C516" s="49"/>
      <c r="D516" s="49"/>
      <c r="E516" s="50"/>
      <c r="F516" s="146"/>
      <c r="G516" s="16"/>
      <c r="H516" s="16"/>
      <c r="I516" s="29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</row>
    <row r="517" spans="1:118" s="1" customFormat="1" ht="15.6" x14ac:dyDescent="0.3">
      <c r="A517" s="36"/>
      <c r="B517" s="48"/>
      <c r="C517" s="49"/>
      <c r="D517" s="49"/>
      <c r="E517" s="50"/>
      <c r="F517" s="146"/>
      <c r="G517" s="16"/>
      <c r="H517" s="16"/>
      <c r="I517" s="29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</row>
    <row r="518" spans="1:118" s="1" customFormat="1" ht="15.6" x14ac:dyDescent="0.3">
      <c r="A518" s="36"/>
      <c r="B518" s="48"/>
      <c r="C518" s="49"/>
      <c r="D518" s="49"/>
      <c r="E518" s="50"/>
      <c r="F518" s="146"/>
      <c r="G518" s="16"/>
      <c r="H518" s="16"/>
      <c r="I518" s="29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</row>
    <row r="519" spans="1:118" s="1" customFormat="1" ht="15.6" x14ac:dyDescent="0.3">
      <c r="A519" s="36"/>
      <c r="B519" s="48"/>
      <c r="C519" s="49"/>
      <c r="D519" s="49"/>
      <c r="E519" s="50"/>
      <c r="F519" s="146"/>
      <c r="G519" s="16"/>
      <c r="H519" s="16"/>
      <c r="I519" s="29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</row>
    <row r="520" spans="1:118" s="1" customFormat="1" ht="15.6" x14ac:dyDescent="0.3">
      <c r="A520" s="36"/>
      <c r="B520" s="48"/>
      <c r="C520" s="49"/>
      <c r="D520" s="49"/>
      <c r="E520" s="50"/>
      <c r="F520" s="146"/>
      <c r="G520" s="16"/>
      <c r="H520" s="16"/>
      <c r="I520" s="29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</row>
    <row r="521" spans="1:118" s="1" customFormat="1" ht="15.6" x14ac:dyDescent="0.3">
      <c r="A521" s="36"/>
      <c r="B521" s="48"/>
      <c r="C521" s="49"/>
      <c r="D521" s="49"/>
      <c r="E521" s="50"/>
      <c r="F521" s="146"/>
      <c r="G521" s="16"/>
      <c r="H521" s="16"/>
      <c r="I521" s="29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</row>
    <row r="522" spans="1:118" s="1" customFormat="1" ht="15.6" x14ac:dyDescent="0.3">
      <c r="A522" s="36"/>
      <c r="B522" s="48"/>
      <c r="C522" s="49"/>
      <c r="D522" s="49"/>
      <c r="E522" s="50"/>
      <c r="F522" s="146"/>
      <c r="G522" s="16"/>
      <c r="H522" s="16"/>
      <c r="I522" s="29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</row>
    <row r="523" spans="1:118" s="1" customFormat="1" ht="15.6" x14ac:dyDescent="0.3">
      <c r="A523" s="36"/>
      <c r="B523" s="48"/>
      <c r="C523" s="49"/>
      <c r="D523" s="49"/>
      <c r="E523" s="50"/>
      <c r="F523" s="146"/>
      <c r="G523" s="16"/>
      <c r="H523" s="16"/>
      <c r="I523" s="29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</row>
    <row r="524" spans="1:118" s="1" customFormat="1" ht="15.6" x14ac:dyDescent="0.3">
      <c r="A524" s="36"/>
      <c r="B524" s="48"/>
      <c r="C524" s="49"/>
      <c r="D524" s="49"/>
      <c r="E524" s="50"/>
      <c r="F524" s="146"/>
      <c r="G524" s="16"/>
      <c r="H524" s="16"/>
      <c r="I524" s="29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</row>
    <row r="525" spans="1:118" s="1" customFormat="1" ht="15.6" x14ac:dyDescent="0.3">
      <c r="A525" s="36"/>
      <c r="B525" s="48"/>
      <c r="C525" s="49"/>
      <c r="D525" s="49"/>
      <c r="E525" s="50"/>
      <c r="F525" s="146"/>
      <c r="G525" s="16"/>
      <c r="H525" s="16"/>
      <c r="I525" s="29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</row>
    <row r="526" spans="1:118" s="1" customFormat="1" ht="15.6" x14ac:dyDescent="0.3">
      <c r="A526" s="36"/>
      <c r="B526" s="48"/>
      <c r="C526" s="49"/>
      <c r="D526" s="49"/>
      <c r="E526" s="50"/>
      <c r="F526" s="146"/>
      <c r="G526" s="16"/>
      <c r="H526" s="16"/>
      <c r="I526" s="29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</row>
    <row r="527" spans="1:118" s="1" customFormat="1" ht="15.6" x14ac:dyDescent="0.3">
      <c r="A527" s="36"/>
      <c r="B527" s="56"/>
      <c r="C527" s="40"/>
      <c r="D527" s="40"/>
      <c r="E527" s="50"/>
      <c r="F527" s="146"/>
      <c r="G527" s="16"/>
      <c r="H527" s="16"/>
      <c r="I527" s="29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</row>
    <row r="528" spans="1:118" s="1" customFormat="1" ht="15.6" x14ac:dyDescent="0.3">
      <c r="A528" s="36"/>
      <c r="B528" s="56"/>
      <c r="C528" s="49"/>
      <c r="D528" s="49"/>
      <c r="E528" s="50"/>
      <c r="F528" s="146"/>
      <c r="G528" s="16"/>
      <c r="H528" s="16"/>
      <c r="I528" s="29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</row>
    <row r="529" spans="1:118" s="1" customFormat="1" ht="15.6" x14ac:dyDescent="0.3">
      <c r="A529" s="36"/>
      <c r="B529" s="56"/>
      <c r="C529" s="49"/>
      <c r="D529" s="49"/>
      <c r="E529" s="50"/>
      <c r="F529" s="146"/>
      <c r="G529" s="16"/>
      <c r="H529" s="16"/>
      <c r="I529" s="29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</row>
    <row r="530" spans="1:118" s="1" customFormat="1" ht="15.6" x14ac:dyDescent="0.3">
      <c r="A530" s="36"/>
      <c r="B530" s="56"/>
      <c r="C530" s="56"/>
      <c r="D530" s="49"/>
      <c r="E530" s="50"/>
      <c r="F530" s="146"/>
      <c r="G530" s="16"/>
      <c r="H530" s="16"/>
      <c r="I530" s="29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</row>
    <row r="531" spans="1:118" s="1" customFormat="1" ht="15.6" x14ac:dyDescent="0.3">
      <c r="A531" s="36"/>
      <c r="B531" s="56"/>
      <c r="C531" s="49"/>
      <c r="D531" s="49"/>
      <c r="E531" s="50"/>
      <c r="F531" s="146"/>
      <c r="G531" s="16"/>
      <c r="H531" s="16"/>
      <c r="I531" s="29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</row>
    <row r="532" spans="1:118" s="1" customFormat="1" ht="15.6" x14ac:dyDescent="0.3">
      <c r="A532" s="36"/>
      <c r="B532" s="56"/>
      <c r="C532" s="49"/>
      <c r="D532" s="49"/>
      <c r="E532" s="50"/>
      <c r="F532" s="146"/>
      <c r="G532" s="16"/>
      <c r="H532" s="16"/>
      <c r="I532" s="29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</row>
    <row r="533" spans="1:118" s="1" customFormat="1" ht="15.6" x14ac:dyDescent="0.3">
      <c r="A533" s="36"/>
      <c r="B533" s="56"/>
      <c r="C533" s="49"/>
      <c r="D533" s="49"/>
      <c r="E533" s="50"/>
      <c r="F533" s="146"/>
      <c r="G533" s="16"/>
      <c r="H533" s="16"/>
      <c r="I533" s="29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</row>
    <row r="534" spans="1:118" s="1" customFormat="1" ht="15.6" x14ac:dyDescent="0.3">
      <c r="A534" s="36"/>
      <c r="B534" s="56"/>
      <c r="C534" s="40"/>
      <c r="D534" s="40"/>
      <c r="E534" s="50"/>
      <c r="F534" s="146"/>
      <c r="G534" s="16"/>
      <c r="H534" s="16"/>
      <c r="I534" s="29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</row>
    <row r="535" spans="1:118" s="1" customFormat="1" ht="15.6" x14ac:dyDescent="0.3">
      <c r="A535" s="36"/>
      <c r="B535" s="56"/>
      <c r="C535" s="49"/>
      <c r="D535" s="49"/>
      <c r="E535" s="50"/>
      <c r="F535" s="146"/>
      <c r="G535" s="16"/>
      <c r="H535" s="16"/>
      <c r="I535" s="29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</row>
    <row r="536" spans="1:118" s="1" customFormat="1" ht="15.6" x14ac:dyDescent="0.3">
      <c r="A536" s="36"/>
      <c r="B536" s="56"/>
      <c r="C536" s="49"/>
      <c r="D536" s="49"/>
      <c r="E536" s="50"/>
      <c r="F536" s="146"/>
      <c r="G536" s="16"/>
      <c r="H536" s="16"/>
      <c r="I536" s="29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</row>
    <row r="537" spans="1:118" s="1" customFormat="1" ht="15.6" x14ac:dyDescent="0.3">
      <c r="A537" s="36"/>
      <c r="B537" s="56"/>
      <c r="C537" s="49"/>
      <c r="D537" s="49"/>
      <c r="E537" s="50"/>
      <c r="F537" s="146"/>
      <c r="G537" s="16"/>
      <c r="H537" s="16"/>
      <c r="I537" s="29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</row>
    <row r="538" spans="1:118" s="1" customFormat="1" ht="15.6" x14ac:dyDescent="0.3">
      <c r="A538" s="36"/>
      <c r="B538" s="56"/>
      <c r="C538" s="49"/>
      <c r="D538" s="49"/>
      <c r="E538" s="50"/>
      <c r="F538" s="146"/>
      <c r="G538" s="16"/>
      <c r="H538" s="16"/>
      <c r="I538" s="29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</row>
    <row r="539" spans="1:118" s="1" customFormat="1" ht="15.6" x14ac:dyDescent="0.3">
      <c r="A539" s="36"/>
      <c r="B539" s="56"/>
      <c r="C539" s="49"/>
      <c r="D539" s="49"/>
      <c r="E539" s="50"/>
      <c r="F539" s="146"/>
      <c r="G539" s="16"/>
      <c r="H539" s="16"/>
      <c r="I539" s="29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</row>
    <row r="540" spans="1:118" s="1" customFormat="1" ht="15.6" x14ac:dyDescent="0.3">
      <c r="A540" s="36"/>
      <c r="B540" s="56"/>
      <c r="C540" s="49"/>
      <c r="D540" s="49"/>
      <c r="E540" s="50"/>
      <c r="F540" s="146"/>
      <c r="G540" s="16"/>
      <c r="H540" s="16"/>
      <c r="I540" s="29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</row>
    <row r="541" spans="1:118" s="1" customFormat="1" ht="15.6" x14ac:dyDescent="0.3">
      <c r="A541" s="36"/>
      <c r="B541" s="56"/>
      <c r="C541" s="49"/>
      <c r="D541" s="49"/>
      <c r="E541" s="50"/>
      <c r="F541" s="146"/>
      <c r="G541" s="16"/>
      <c r="H541" s="16"/>
      <c r="I541" s="29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</row>
    <row r="542" spans="1:118" s="1" customFormat="1" ht="15.6" x14ac:dyDescent="0.3">
      <c r="A542" s="36"/>
      <c r="B542" s="56"/>
      <c r="C542" s="49"/>
      <c r="D542" s="49"/>
      <c r="E542" s="50"/>
      <c r="F542" s="146"/>
      <c r="G542" s="16"/>
      <c r="H542" s="16"/>
      <c r="I542" s="29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</row>
    <row r="543" spans="1:118" s="1" customFormat="1" ht="15.6" x14ac:dyDescent="0.3">
      <c r="A543" s="36"/>
      <c r="B543" s="56"/>
      <c r="C543" s="49"/>
      <c r="D543" s="49"/>
      <c r="E543" s="50"/>
      <c r="F543" s="146"/>
      <c r="G543" s="16"/>
      <c r="H543" s="16"/>
      <c r="I543" s="29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</row>
    <row r="544" spans="1:118" s="1" customFormat="1" ht="15.6" x14ac:dyDescent="0.3">
      <c r="A544" s="36"/>
      <c r="B544" s="56"/>
      <c r="C544" s="49"/>
      <c r="D544" s="49"/>
      <c r="E544" s="50"/>
      <c r="F544" s="146"/>
      <c r="G544" s="16"/>
      <c r="H544" s="16"/>
      <c r="I544" s="29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</row>
    <row r="545" spans="1:118" s="1" customFormat="1" ht="15.6" x14ac:dyDescent="0.3">
      <c r="A545" s="36"/>
      <c r="B545" s="56"/>
      <c r="C545" s="49"/>
      <c r="D545" s="49"/>
      <c r="E545" s="50"/>
      <c r="F545" s="146"/>
      <c r="G545" s="16"/>
      <c r="H545" s="16"/>
      <c r="I545" s="29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</row>
    <row r="546" spans="1:118" s="1" customFormat="1" ht="15.6" x14ac:dyDescent="0.3">
      <c r="A546" s="36"/>
      <c r="B546" s="56"/>
      <c r="C546" s="49"/>
      <c r="D546" s="49"/>
      <c r="E546" s="50"/>
      <c r="F546" s="146"/>
      <c r="G546" s="16"/>
      <c r="H546" s="16"/>
      <c r="I546" s="29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</row>
    <row r="547" spans="1:118" s="1" customFormat="1" ht="15.6" x14ac:dyDescent="0.3">
      <c r="A547" s="36"/>
      <c r="B547" s="56"/>
      <c r="C547" s="40"/>
      <c r="D547" s="40"/>
      <c r="E547" s="50"/>
      <c r="F547" s="146"/>
      <c r="G547" s="16"/>
      <c r="H547" s="16"/>
      <c r="I547" s="29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</row>
    <row r="548" spans="1:118" s="1" customFormat="1" ht="15.6" x14ac:dyDescent="0.3">
      <c r="A548" s="36"/>
      <c r="B548" s="56"/>
      <c r="C548" s="56"/>
      <c r="D548" s="49"/>
      <c r="E548" s="50"/>
      <c r="F548" s="146"/>
      <c r="G548" s="16"/>
      <c r="H548" s="16"/>
      <c r="I548" s="29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</row>
    <row r="549" spans="1:118" s="1" customFormat="1" ht="15.6" x14ac:dyDescent="0.3">
      <c r="A549" s="36"/>
      <c r="B549" s="56"/>
      <c r="C549" s="49"/>
      <c r="D549" s="49"/>
      <c r="E549" s="50"/>
      <c r="F549" s="146"/>
      <c r="G549" s="16"/>
      <c r="H549" s="16"/>
      <c r="I549" s="29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</row>
    <row r="550" spans="1:118" s="1" customFormat="1" ht="15.6" x14ac:dyDescent="0.3">
      <c r="A550" s="36"/>
      <c r="B550" s="56"/>
      <c r="C550" s="49"/>
      <c r="D550" s="49"/>
      <c r="E550" s="50"/>
      <c r="F550" s="146"/>
      <c r="G550" s="16"/>
      <c r="H550" s="16"/>
      <c r="I550" s="29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</row>
    <row r="551" spans="1:118" s="1" customFormat="1" ht="15.6" x14ac:dyDescent="0.3">
      <c r="A551" s="36"/>
      <c r="B551" s="56"/>
      <c r="C551" s="56"/>
      <c r="D551" s="40"/>
      <c r="E551" s="50"/>
      <c r="F551" s="146"/>
      <c r="G551" s="16"/>
      <c r="H551" s="16"/>
      <c r="I551" s="29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</row>
    <row r="552" spans="1:118" s="1" customFormat="1" ht="15.6" x14ac:dyDescent="0.3">
      <c r="A552" s="36"/>
      <c r="B552" s="56"/>
      <c r="C552" s="56"/>
      <c r="D552" s="49"/>
      <c r="E552" s="50"/>
      <c r="F552" s="146"/>
      <c r="G552" s="16"/>
      <c r="H552" s="16"/>
      <c r="I552" s="29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</row>
    <row r="553" spans="1:118" s="1" customFormat="1" ht="15.6" x14ac:dyDescent="0.3">
      <c r="A553" s="36"/>
      <c r="B553" s="48"/>
      <c r="C553" s="40"/>
      <c r="D553" s="49"/>
      <c r="E553" s="50"/>
      <c r="F553" s="146"/>
      <c r="G553" s="16"/>
      <c r="H553" s="16"/>
      <c r="I553" s="29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</row>
    <row r="554" spans="1:118" s="1" customFormat="1" ht="15.6" x14ac:dyDescent="0.3">
      <c r="A554" s="36"/>
      <c r="B554" s="48"/>
      <c r="C554" s="40"/>
      <c r="D554" s="49"/>
      <c r="E554" s="50"/>
      <c r="F554" s="146"/>
      <c r="G554" s="16"/>
      <c r="H554" s="16"/>
      <c r="I554" s="29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</row>
    <row r="555" spans="1:118" s="1" customFormat="1" ht="15.6" x14ac:dyDescent="0.3">
      <c r="A555" s="36"/>
      <c r="B555" s="48"/>
      <c r="C555" s="49"/>
      <c r="D555" s="49"/>
      <c r="E555" s="50"/>
      <c r="F555" s="146"/>
      <c r="G555" s="16"/>
      <c r="H555" s="16"/>
      <c r="I555" s="29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</row>
    <row r="556" spans="1:118" s="1" customFormat="1" ht="15.6" x14ac:dyDescent="0.3">
      <c r="A556" s="36"/>
      <c r="B556" s="48"/>
      <c r="C556" s="40"/>
      <c r="D556" s="49"/>
      <c r="E556" s="50"/>
      <c r="F556" s="146"/>
      <c r="G556" s="16"/>
      <c r="H556" s="16"/>
      <c r="I556" s="29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</row>
    <row r="557" spans="1:118" s="1" customFormat="1" ht="15.6" x14ac:dyDescent="0.3">
      <c r="A557" s="36"/>
      <c r="B557" s="48"/>
      <c r="C557" s="49"/>
      <c r="D557" s="49"/>
      <c r="E557" s="50"/>
      <c r="F557" s="146"/>
      <c r="G557" s="16"/>
      <c r="H557" s="16"/>
      <c r="I557" s="29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</row>
    <row r="558" spans="1:118" s="1" customFormat="1" ht="15.6" x14ac:dyDescent="0.3">
      <c r="A558" s="36"/>
      <c r="B558" s="48"/>
      <c r="C558" s="48"/>
      <c r="D558" s="49"/>
      <c r="E558" s="50"/>
      <c r="F558" s="146"/>
      <c r="G558" s="16"/>
      <c r="H558" s="16"/>
      <c r="I558" s="29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</row>
    <row r="559" spans="1:118" s="1" customFormat="1" ht="15.6" x14ac:dyDescent="0.3">
      <c r="A559" s="36"/>
      <c r="B559" s="49"/>
      <c r="C559" s="49"/>
      <c r="D559" s="49"/>
      <c r="E559" s="50"/>
      <c r="F559" s="146"/>
      <c r="G559" s="16"/>
      <c r="H559" s="16"/>
      <c r="I559" s="29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</row>
    <row r="560" spans="1:118" s="1" customFormat="1" ht="15.6" x14ac:dyDescent="0.3">
      <c r="A560" s="36"/>
      <c r="B560" s="48"/>
      <c r="C560" s="40"/>
      <c r="D560" s="49"/>
      <c r="E560" s="50"/>
      <c r="F560" s="146"/>
      <c r="G560" s="16"/>
      <c r="H560" s="16"/>
      <c r="I560" s="29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</row>
    <row r="561" spans="1:118" s="1" customFormat="1" ht="15.6" x14ac:dyDescent="0.3">
      <c r="A561" s="36"/>
      <c r="B561" s="48"/>
      <c r="C561" s="40"/>
      <c r="D561" s="49"/>
      <c r="E561" s="50"/>
      <c r="F561" s="146"/>
      <c r="G561" s="16"/>
      <c r="H561" s="16"/>
      <c r="I561" s="29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</row>
    <row r="562" spans="1:118" s="1" customFormat="1" ht="15.6" x14ac:dyDescent="0.3">
      <c r="A562" s="36"/>
      <c r="B562" s="48"/>
      <c r="C562" s="40"/>
      <c r="D562" s="49"/>
      <c r="E562" s="50"/>
      <c r="F562" s="146"/>
      <c r="G562" s="16"/>
      <c r="H562" s="16"/>
      <c r="I562" s="29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</row>
    <row r="563" spans="1:118" s="1" customFormat="1" ht="15.6" x14ac:dyDescent="0.3">
      <c r="A563" s="36"/>
      <c r="B563" s="48"/>
      <c r="C563" s="40"/>
      <c r="D563" s="49"/>
      <c r="E563" s="50"/>
      <c r="F563" s="146"/>
      <c r="G563" s="16"/>
      <c r="H563" s="16"/>
      <c r="I563" s="29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</row>
    <row r="564" spans="1:118" s="1" customFormat="1" ht="15.6" x14ac:dyDescent="0.3">
      <c r="A564" s="36"/>
      <c r="B564" s="56"/>
      <c r="C564" s="40"/>
      <c r="D564" s="40"/>
      <c r="E564" s="50"/>
      <c r="F564" s="146"/>
      <c r="G564" s="16"/>
      <c r="H564" s="16"/>
      <c r="I564" s="29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</row>
    <row r="565" spans="1:118" s="1" customFormat="1" ht="15.6" x14ac:dyDescent="0.3">
      <c r="A565" s="36"/>
      <c r="B565" s="56"/>
      <c r="C565" s="40"/>
      <c r="D565" s="40"/>
      <c r="E565" s="50"/>
      <c r="F565" s="146"/>
      <c r="G565" s="16"/>
      <c r="H565" s="16"/>
      <c r="I565" s="29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</row>
    <row r="566" spans="1:118" s="3" customFormat="1" ht="15.6" x14ac:dyDescent="0.3">
      <c r="A566" s="36"/>
      <c r="B566" s="56"/>
      <c r="C566" s="40"/>
      <c r="D566" s="40"/>
      <c r="E566" s="50"/>
      <c r="F566" s="146"/>
      <c r="G566" s="16"/>
      <c r="H566" s="16"/>
      <c r="I566" s="29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</row>
    <row r="567" spans="1:118" s="1" customFormat="1" ht="15.6" x14ac:dyDescent="0.3">
      <c r="A567" s="36"/>
      <c r="B567" s="56"/>
      <c r="C567" s="40"/>
      <c r="D567" s="40"/>
      <c r="E567" s="50"/>
      <c r="F567" s="146"/>
      <c r="G567" s="16"/>
      <c r="H567" s="16"/>
      <c r="I567" s="29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</row>
    <row r="568" spans="1:118" s="1" customFormat="1" ht="15.6" x14ac:dyDescent="0.3">
      <c r="A568" s="36"/>
      <c r="B568" s="56"/>
      <c r="C568" s="40"/>
      <c r="D568" s="40"/>
      <c r="E568" s="50"/>
      <c r="F568" s="146"/>
      <c r="G568" s="16"/>
      <c r="H568" s="16"/>
      <c r="I568" s="29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</row>
    <row r="569" spans="1:118" s="1" customFormat="1" ht="15.6" x14ac:dyDescent="0.3">
      <c r="A569" s="36"/>
      <c r="B569" s="65"/>
      <c r="C569" s="65"/>
      <c r="D569" s="40"/>
      <c r="E569" s="50"/>
      <c r="F569" s="146"/>
      <c r="G569" s="16"/>
      <c r="H569" s="16"/>
      <c r="I569" s="29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</row>
    <row r="570" spans="1:118" s="1" customFormat="1" ht="15.6" x14ac:dyDescent="0.3">
      <c r="A570" s="36"/>
      <c r="B570" s="65"/>
      <c r="C570" s="65"/>
      <c r="D570" s="40"/>
      <c r="E570" s="50"/>
      <c r="F570" s="146"/>
      <c r="G570" s="16"/>
      <c r="H570" s="16"/>
      <c r="I570" s="29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</row>
    <row r="571" spans="1:118" s="3" customFormat="1" ht="15.6" x14ac:dyDescent="0.3">
      <c r="A571" s="36"/>
      <c r="B571" s="65"/>
      <c r="C571" s="65"/>
      <c r="D571" s="40"/>
      <c r="E571" s="50"/>
      <c r="F571" s="146"/>
      <c r="G571" s="16"/>
      <c r="H571" s="16"/>
      <c r="I571" s="29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</row>
    <row r="572" spans="1:118" s="1" customFormat="1" ht="15.6" x14ac:dyDescent="0.3">
      <c r="A572" s="36"/>
      <c r="B572" s="49"/>
      <c r="C572" s="65"/>
      <c r="D572" s="65"/>
      <c r="E572" s="50"/>
      <c r="F572" s="146"/>
      <c r="G572" s="16"/>
      <c r="H572" s="16"/>
      <c r="I572" s="29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</row>
    <row r="573" spans="1:118" s="3" customFormat="1" ht="15.6" x14ac:dyDescent="0.3">
      <c r="A573" s="36"/>
      <c r="B573" s="49"/>
      <c r="C573" s="65"/>
      <c r="D573" s="49"/>
      <c r="E573" s="50"/>
      <c r="F573" s="146"/>
      <c r="G573" s="16"/>
      <c r="H573" s="16"/>
      <c r="I573" s="29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  <c r="CN573" s="36"/>
      <c r="CO573" s="36"/>
      <c r="CP573" s="36"/>
      <c r="CQ573" s="36"/>
      <c r="CR573" s="36"/>
      <c r="CS573" s="36"/>
      <c r="CT573" s="36"/>
      <c r="CU573" s="36"/>
      <c r="CV573" s="36"/>
      <c r="CW573" s="36"/>
      <c r="CX573" s="36"/>
      <c r="CY573" s="36"/>
      <c r="CZ573" s="36"/>
      <c r="DA573" s="36"/>
      <c r="DB573" s="36"/>
      <c r="DC573" s="36"/>
      <c r="DD573" s="36"/>
      <c r="DE573" s="36"/>
      <c r="DF573" s="36"/>
      <c r="DG573" s="36"/>
      <c r="DH573" s="36"/>
      <c r="DI573" s="36"/>
      <c r="DJ573" s="36"/>
      <c r="DK573" s="36"/>
      <c r="DL573" s="36"/>
      <c r="DM573" s="36"/>
      <c r="DN573" s="36"/>
    </row>
    <row r="574" spans="1:118" s="1" customFormat="1" ht="15.6" x14ac:dyDescent="0.3">
      <c r="A574" s="36"/>
      <c r="B574" s="49"/>
      <c r="C574" s="49"/>
      <c r="D574" s="49"/>
      <c r="E574" s="50"/>
      <c r="F574" s="146"/>
      <c r="G574" s="16"/>
      <c r="H574" s="16"/>
      <c r="I574" s="29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36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</row>
    <row r="575" spans="1:118" s="1" customFormat="1" ht="15.6" x14ac:dyDescent="0.3">
      <c r="A575" s="36"/>
      <c r="B575" s="40"/>
      <c r="C575" s="49"/>
      <c r="D575" s="49"/>
      <c r="E575" s="50"/>
      <c r="F575" s="146"/>
      <c r="G575" s="16"/>
      <c r="H575" s="16"/>
      <c r="I575" s="29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/>
      <c r="DG575" s="36"/>
      <c r="DH575" s="36"/>
      <c r="DI575" s="36"/>
      <c r="DJ575" s="36"/>
      <c r="DK575" s="36"/>
      <c r="DL575" s="36"/>
      <c r="DM575" s="36"/>
      <c r="DN575" s="36"/>
    </row>
    <row r="576" spans="1:118" s="1" customFormat="1" ht="15.6" x14ac:dyDescent="0.3">
      <c r="A576" s="36"/>
      <c r="B576" s="49"/>
      <c r="C576" s="49"/>
      <c r="D576" s="49"/>
      <c r="E576" s="50"/>
      <c r="F576" s="146"/>
      <c r="G576" s="16"/>
      <c r="H576" s="16"/>
      <c r="I576" s="29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</row>
    <row r="577" spans="1:118" s="1" customFormat="1" ht="15.6" x14ac:dyDescent="0.3">
      <c r="A577" s="36"/>
      <c r="B577" s="49"/>
      <c r="C577" s="49"/>
      <c r="D577" s="49"/>
      <c r="E577" s="50"/>
      <c r="F577" s="146"/>
      <c r="G577" s="16"/>
      <c r="H577" s="16"/>
      <c r="I577" s="29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  <c r="CN577" s="36"/>
      <c r="CO577" s="36"/>
      <c r="CP577" s="36"/>
      <c r="CQ577" s="36"/>
      <c r="CR577" s="36"/>
      <c r="CS577" s="36"/>
      <c r="CT577" s="36"/>
      <c r="CU577" s="36"/>
      <c r="CV577" s="36"/>
      <c r="CW577" s="36"/>
      <c r="CX577" s="36"/>
      <c r="CY577" s="36"/>
      <c r="CZ577" s="36"/>
      <c r="DA577" s="36"/>
      <c r="DB577" s="36"/>
      <c r="DC577" s="36"/>
      <c r="DD577" s="36"/>
      <c r="DE577" s="36"/>
      <c r="DF577" s="36"/>
      <c r="DG577" s="36"/>
      <c r="DH577" s="36"/>
      <c r="DI577" s="36"/>
      <c r="DJ577" s="36"/>
      <c r="DK577" s="36"/>
      <c r="DL577" s="36"/>
      <c r="DM577" s="36"/>
      <c r="DN577" s="36"/>
    </row>
    <row r="578" spans="1:118" s="1" customFormat="1" ht="15.6" x14ac:dyDescent="0.3">
      <c r="A578" s="36"/>
      <c r="B578" s="49"/>
      <c r="C578" s="49"/>
      <c r="D578" s="49"/>
      <c r="E578" s="50"/>
      <c r="F578" s="146"/>
      <c r="G578" s="16"/>
      <c r="H578" s="16"/>
      <c r="I578" s="29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  <c r="CN578" s="36"/>
      <c r="CO578" s="36"/>
      <c r="CP578" s="36"/>
      <c r="CQ578" s="36"/>
      <c r="CR578" s="36"/>
      <c r="CS578" s="36"/>
      <c r="CT578" s="36"/>
      <c r="CU578" s="36"/>
      <c r="CV578" s="36"/>
      <c r="CW578" s="36"/>
      <c r="CX578" s="36"/>
      <c r="CY578" s="36"/>
      <c r="CZ578" s="36"/>
      <c r="DA578" s="36"/>
      <c r="DB578" s="36"/>
      <c r="DC578" s="36"/>
      <c r="DD578" s="36"/>
      <c r="DE578" s="36"/>
      <c r="DF578" s="36"/>
      <c r="DG578" s="36"/>
      <c r="DH578" s="36"/>
      <c r="DI578" s="36"/>
      <c r="DJ578" s="36"/>
      <c r="DK578" s="36"/>
      <c r="DL578" s="36"/>
      <c r="DM578" s="36"/>
      <c r="DN578" s="36"/>
    </row>
    <row r="579" spans="1:118" s="1" customFormat="1" ht="15.6" x14ac:dyDescent="0.3">
      <c r="A579" s="36"/>
      <c r="B579" s="49"/>
      <c r="C579" s="49"/>
      <c r="D579" s="49"/>
      <c r="E579" s="50"/>
      <c r="F579" s="146"/>
      <c r="G579" s="16"/>
      <c r="H579" s="16"/>
      <c r="I579" s="29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  <c r="CN579" s="36"/>
      <c r="CO579" s="36"/>
      <c r="CP579" s="36"/>
      <c r="CQ579" s="36"/>
      <c r="CR579" s="36"/>
      <c r="CS579" s="36"/>
      <c r="CT579" s="36"/>
      <c r="CU579" s="36"/>
      <c r="CV579" s="36"/>
      <c r="CW579" s="36"/>
      <c r="CX579" s="36"/>
      <c r="CY579" s="36"/>
      <c r="CZ579" s="36"/>
      <c r="DA579" s="36"/>
      <c r="DB579" s="36"/>
      <c r="DC579" s="36"/>
      <c r="DD579" s="36"/>
      <c r="DE579" s="36"/>
      <c r="DF579" s="36"/>
      <c r="DG579" s="36"/>
      <c r="DH579" s="36"/>
      <c r="DI579" s="36"/>
      <c r="DJ579" s="36"/>
      <c r="DK579" s="36"/>
      <c r="DL579" s="36"/>
      <c r="DM579" s="36"/>
      <c r="DN579" s="36"/>
    </row>
    <row r="580" spans="1:118" s="1" customFormat="1" ht="15.6" x14ac:dyDescent="0.3">
      <c r="A580" s="36"/>
      <c r="B580" s="49"/>
      <c r="C580" s="49"/>
      <c r="D580" s="49"/>
      <c r="E580" s="50"/>
      <c r="F580" s="146"/>
      <c r="G580" s="16"/>
      <c r="H580" s="16"/>
      <c r="I580" s="29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  <c r="BS580" s="36"/>
      <c r="BT580" s="36"/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36"/>
      <c r="DH580" s="36"/>
      <c r="DI580" s="36"/>
      <c r="DJ580" s="36"/>
      <c r="DK580" s="36"/>
      <c r="DL580" s="36"/>
      <c r="DM580" s="36"/>
      <c r="DN580" s="36"/>
    </row>
    <row r="581" spans="1:118" s="1" customFormat="1" ht="15.6" x14ac:dyDescent="0.3">
      <c r="A581" s="36"/>
      <c r="B581" s="49"/>
      <c r="C581" s="49"/>
      <c r="D581" s="49"/>
      <c r="E581" s="50"/>
      <c r="F581" s="146"/>
      <c r="G581" s="16"/>
      <c r="H581" s="16"/>
      <c r="I581" s="29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  <c r="BS581" s="36"/>
      <c r="BT581" s="36"/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CL581" s="36"/>
      <c r="CM581" s="36"/>
      <c r="CN581" s="36"/>
      <c r="CO581" s="36"/>
      <c r="CP581" s="36"/>
      <c r="CQ581" s="36"/>
      <c r="CR581" s="36"/>
      <c r="CS581" s="36"/>
      <c r="CT581" s="36"/>
      <c r="CU581" s="36"/>
      <c r="CV581" s="36"/>
      <c r="CW581" s="36"/>
      <c r="CX581" s="36"/>
      <c r="CY581" s="36"/>
      <c r="CZ581" s="36"/>
      <c r="DA581" s="36"/>
      <c r="DB581" s="36"/>
      <c r="DC581" s="36"/>
      <c r="DD581" s="36"/>
      <c r="DE581" s="36"/>
      <c r="DF581" s="36"/>
      <c r="DG581" s="36"/>
      <c r="DH581" s="36"/>
      <c r="DI581" s="36"/>
      <c r="DJ581" s="36"/>
      <c r="DK581" s="36"/>
      <c r="DL581" s="36"/>
      <c r="DM581" s="36"/>
      <c r="DN581" s="36"/>
    </row>
    <row r="582" spans="1:118" s="1" customFormat="1" ht="15.6" x14ac:dyDescent="0.3">
      <c r="A582" s="36"/>
      <c r="B582" s="49"/>
      <c r="C582" s="49"/>
      <c r="D582" s="49"/>
      <c r="E582" s="50"/>
      <c r="F582" s="146"/>
      <c r="G582" s="16"/>
      <c r="H582" s="16"/>
      <c r="I582" s="29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  <c r="BS582" s="36"/>
      <c r="BT582" s="36"/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CL582" s="36"/>
      <c r="CM582" s="36"/>
      <c r="CN582" s="36"/>
      <c r="CO582" s="36"/>
      <c r="CP582" s="36"/>
      <c r="CQ582" s="36"/>
      <c r="CR582" s="36"/>
      <c r="CS582" s="36"/>
      <c r="CT582" s="36"/>
      <c r="CU582" s="36"/>
      <c r="CV582" s="36"/>
      <c r="CW582" s="36"/>
      <c r="CX582" s="36"/>
      <c r="CY582" s="36"/>
      <c r="CZ582" s="36"/>
      <c r="DA582" s="36"/>
      <c r="DB582" s="36"/>
      <c r="DC582" s="36"/>
      <c r="DD582" s="36"/>
      <c r="DE582" s="36"/>
      <c r="DF582" s="36"/>
      <c r="DG582" s="36"/>
      <c r="DH582" s="36"/>
      <c r="DI582" s="36"/>
      <c r="DJ582" s="36"/>
      <c r="DK582" s="36"/>
      <c r="DL582" s="36"/>
      <c r="DM582" s="36"/>
      <c r="DN582" s="36"/>
    </row>
    <row r="583" spans="1:118" s="1" customFormat="1" ht="15.6" x14ac:dyDescent="0.3">
      <c r="A583" s="36"/>
      <c r="B583" s="49"/>
      <c r="C583" s="49"/>
      <c r="D583" s="49"/>
      <c r="E583" s="50"/>
      <c r="F583" s="146"/>
      <c r="G583" s="16"/>
      <c r="H583" s="16"/>
      <c r="I583" s="29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  <c r="BS583" s="36"/>
      <c r="BT583" s="36"/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CL583" s="36"/>
      <c r="CM583" s="36"/>
      <c r="CN583" s="36"/>
      <c r="CO583" s="36"/>
      <c r="CP583" s="36"/>
      <c r="CQ583" s="36"/>
      <c r="CR583" s="36"/>
      <c r="CS583" s="36"/>
      <c r="CT583" s="36"/>
      <c r="CU583" s="36"/>
      <c r="CV583" s="36"/>
      <c r="CW583" s="36"/>
      <c r="CX583" s="36"/>
      <c r="CY583" s="36"/>
      <c r="CZ583" s="36"/>
      <c r="DA583" s="36"/>
      <c r="DB583" s="36"/>
      <c r="DC583" s="36"/>
      <c r="DD583" s="36"/>
      <c r="DE583" s="36"/>
      <c r="DF583" s="36"/>
      <c r="DG583" s="36"/>
      <c r="DH583" s="36"/>
      <c r="DI583" s="36"/>
      <c r="DJ583" s="36"/>
      <c r="DK583" s="36"/>
      <c r="DL583" s="36"/>
      <c r="DM583" s="36"/>
      <c r="DN583" s="36"/>
    </row>
    <row r="584" spans="1:118" s="1" customFormat="1" ht="15.6" x14ac:dyDescent="0.3">
      <c r="A584" s="36"/>
      <c r="B584" s="49"/>
      <c r="C584" s="49"/>
      <c r="D584" s="49"/>
      <c r="E584" s="50"/>
      <c r="F584" s="146"/>
      <c r="G584" s="16"/>
      <c r="H584" s="16"/>
      <c r="I584" s="29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  <c r="BS584" s="36"/>
      <c r="BT584" s="36"/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CL584" s="36"/>
      <c r="CM584" s="36"/>
      <c r="CN584" s="36"/>
      <c r="CO584" s="36"/>
      <c r="CP584" s="36"/>
      <c r="CQ584" s="36"/>
      <c r="CR584" s="36"/>
      <c r="CS584" s="36"/>
      <c r="CT584" s="36"/>
      <c r="CU584" s="36"/>
      <c r="CV584" s="36"/>
      <c r="CW584" s="36"/>
      <c r="CX584" s="36"/>
      <c r="CY584" s="36"/>
      <c r="CZ584" s="36"/>
      <c r="DA584" s="36"/>
      <c r="DB584" s="36"/>
      <c r="DC584" s="36"/>
      <c r="DD584" s="36"/>
      <c r="DE584" s="36"/>
      <c r="DF584" s="36"/>
      <c r="DG584" s="36"/>
      <c r="DH584" s="36"/>
      <c r="DI584" s="36"/>
      <c r="DJ584" s="36"/>
      <c r="DK584" s="36"/>
      <c r="DL584" s="36"/>
      <c r="DM584" s="36"/>
      <c r="DN584" s="36"/>
    </row>
    <row r="585" spans="1:118" s="1" customFormat="1" ht="15.6" x14ac:dyDescent="0.3">
      <c r="A585" s="36"/>
      <c r="B585" s="49"/>
      <c r="C585" s="49"/>
      <c r="D585" s="49"/>
      <c r="E585" s="50"/>
      <c r="F585" s="146"/>
      <c r="G585" s="16"/>
      <c r="H585" s="16"/>
      <c r="I585" s="29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  <c r="BS585" s="36"/>
      <c r="BT585" s="36"/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CL585" s="36"/>
      <c r="CM585" s="36"/>
      <c r="CN585" s="36"/>
      <c r="CO585" s="36"/>
      <c r="CP585" s="36"/>
      <c r="CQ585" s="36"/>
      <c r="CR585" s="36"/>
      <c r="CS585" s="36"/>
      <c r="CT585" s="36"/>
      <c r="CU585" s="36"/>
      <c r="CV585" s="36"/>
      <c r="CW585" s="36"/>
      <c r="CX585" s="36"/>
      <c r="CY585" s="36"/>
      <c r="CZ585" s="36"/>
      <c r="DA585" s="36"/>
      <c r="DB585" s="36"/>
      <c r="DC585" s="36"/>
      <c r="DD585" s="36"/>
      <c r="DE585" s="36"/>
      <c r="DF585" s="36"/>
      <c r="DG585" s="36"/>
      <c r="DH585" s="36"/>
      <c r="DI585" s="36"/>
      <c r="DJ585" s="36"/>
      <c r="DK585" s="36"/>
      <c r="DL585" s="36"/>
      <c r="DM585" s="36"/>
      <c r="DN585" s="36"/>
    </row>
    <row r="586" spans="1:118" s="1" customFormat="1" ht="15.6" x14ac:dyDescent="0.3">
      <c r="A586" s="36"/>
      <c r="B586" s="49"/>
      <c r="C586" s="49"/>
      <c r="D586" s="49"/>
      <c r="E586" s="50"/>
      <c r="F586" s="146"/>
      <c r="G586" s="16"/>
      <c r="H586" s="16"/>
      <c r="I586" s="29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/>
      <c r="CR586" s="36"/>
      <c r="CS586" s="36"/>
      <c r="CT586" s="36"/>
      <c r="CU586" s="36"/>
      <c r="CV586" s="36"/>
      <c r="CW586" s="36"/>
      <c r="CX586" s="36"/>
      <c r="CY586" s="36"/>
      <c r="CZ586" s="36"/>
      <c r="DA586" s="36"/>
      <c r="DB586" s="36"/>
      <c r="DC586" s="36"/>
      <c r="DD586" s="36"/>
      <c r="DE586" s="36"/>
      <c r="DF586" s="36"/>
      <c r="DG586" s="36"/>
      <c r="DH586" s="36"/>
      <c r="DI586" s="36"/>
      <c r="DJ586" s="36"/>
      <c r="DK586" s="36"/>
      <c r="DL586" s="36"/>
      <c r="DM586" s="36"/>
      <c r="DN586" s="36"/>
    </row>
    <row r="587" spans="1:118" s="1" customFormat="1" ht="15.6" x14ac:dyDescent="0.3">
      <c r="A587" s="36"/>
      <c r="B587" s="49"/>
      <c r="C587" s="72"/>
      <c r="D587" s="49"/>
      <c r="E587" s="50"/>
      <c r="F587" s="146"/>
      <c r="G587" s="16"/>
      <c r="H587" s="16"/>
      <c r="I587" s="29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</row>
    <row r="588" spans="1:118" s="1" customFormat="1" ht="15.6" x14ac:dyDescent="0.3">
      <c r="A588" s="36"/>
      <c r="B588" s="49"/>
      <c r="C588" s="72"/>
      <c r="D588" s="49"/>
      <c r="E588" s="50"/>
      <c r="F588" s="146"/>
      <c r="G588" s="16"/>
      <c r="H588" s="16"/>
      <c r="I588" s="29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  <c r="BS588" s="36"/>
      <c r="BT588" s="36"/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CL588" s="36"/>
      <c r="CM588" s="36"/>
      <c r="CN588" s="36"/>
      <c r="CO588" s="36"/>
      <c r="CP588" s="36"/>
      <c r="CQ588" s="36"/>
      <c r="CR588" s="36"/>
      <c r="CS588" s="36"/>
      <c r="CT588" s="36"/>
      <c r="CU588" s="36"/>
      <c r="CV588" s="36"/>
      <c r="CW588" s="36"/>
      <c r="CX588" s="36"/>
      <c r="CY588" s="36"/>
      <c r="CZ588" s="36"/>
      <c r="DA588" s="36"/>
      <c r="DB588" s="36"/>
      <c r="DC588" s="36"/>
      <c r="DD588" s="36"/>
      <c r="DE588" s="36"/>
      <c r="DF588" s="36"/>
      <c r="DG588" s="36"/>
      <c r="DH588" s="36"/>
      <c r="DI588" s="36"/>
      <c r="DJ588" s="36"/>
      <c r="DK588" s="36"/>
      <c r="DL588" s="36"/>
      <c r="DM588" s="36"/>
      <c r="DN588" s="36"/>
    </row>
    <row r="589" spans="1:118" s="1" customFormat="1" ht="15.6" x14ac:dyDescent="0.3">
      <c r="A589" s="36"/>
      <c r="B589" s="49"/>
      <c r="C589" s="72"/>
      <c r="D589" s="49"/>
      <c r="E589" s="50"/>
      <c r="F589" s="146"/>
      <c r="G589" s="16"/>
      <c r="H589" s="16"/>
      <c r="I589" s="29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</row>
    <row r="590" spans="1:118" s="1" customFormat="1" ht="15.6" x14ac:dyDescent="0.3">
      <c r="A590" s="36"/>
      <c r="B590" s="49"/>
      <c r="C590" s="72"/>
      <c r="D590" s="49"/>
      <c r="E590" s="50"/>
      <c r="F590" s="146"/>
      <c r="G590" s="16"/>
      <c r="H590" s="16"/>
      <c r="I590" s="29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</row>
    <row r="591" spans="1:118" s="1" customFormat="1" ht="15.6" x14ac:dyDescent="0.3">
      <c r="A591" s="36"/>
      <c r="B591" s="49"/>
      <c r="C591" s="72"/>
      <c r="D591" s="49"/>
      <c r="E591" s="50"/>
      <c r="F591" s="146"/>
      <c r="G591" s="16"/>
      <c r="H591" s="16"/>
      <c r="I591" s="29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</row>
    <row r="592" spans="1:118" s="1" customFormat="1" ht="15.6" x14ac:dyDescent="0.3">
      <c r="A592" s="36"/>
      <c r="B592" s="49"/>
      <c r="C592" s="72"/>
      <c r="D592" s="49"/>
      <c r="E592" s="50"/>
      <c r="F592" s="146"/>
      <c r="G592" s="16"/>
      <c r="H592" s="16"/>
      <c r="I592" s="29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</row>
    <row r="593" spans="1:118" s="1" customFormat="1" ht="15.6" x14ac:dyDescent="0.3">
      <c r="A593" s="36"/>
      <c r="B593" s="49"/>
      <c r="C593" s="72"/>
      <c r="D593" s="49"/>
      <c r="E593" s="50"/>
      <c r="F593" s="146"/>
      <c r="G593" s="16"/>
      <c r="H593" s="16"/>
      <c r="I593" s="29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</row>
    <row r="594" spans="1:118" s="1" customFormat="1" ht="15.6" x14ac:dyDescent="0.3">
      <c r="A594" s="36"/>
      <c r="B594" s="73"/>
      <c r="C594" s="73"/>
      <c r="D594" s="73"/>
      <c r="E594" s="50"/>
      <c r="F594" s="146"/>
      <c r="G594" s="16"/>
      <c r="H594" s="16"/>
      <c r="I594" s="29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</row>
    <row r="595" spans="1:118" s="1" customFormat="1" ht="15.6" x14ac:dyDescent="0.3">
      <c r="A595" s="36"/>
      <c r="B595" s="73"/>
      <c r="C595" s="73"/>
      <c r="D595" s="73"/>
      <c r="E595" s="50"/>
      <c r="F595" s="146"/>
      <c r="G595" s="16"/>
      <c r="H595" s="16"/>
      <c r="I595" s="29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</row>
    <row r="596" spans="1:118" s="1" customFormat="1" ht="15.6" x14ac:dyDescent="0.3">
      <c r="A596" s="36"/>
      <c r="B596" s="73"/>
      <c r="C596" s="73"/>
      <c r="D596" s="73"/>
      <c r="E596" s="50"/>
      <c r="F596" s="146"/>
      <c r="G596" s="16"/>
      <c r="H596" s="16"/>
      <c r="I596" s="29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</row>
    <row r="597" spans="1:118" s="1" customFormat="1" ht="15.6" x14ac:dyDescent="0.3">
      <c r="A597" s="36"/>
      <c r="B597" s="73"/>
      <c r="C597" s="73"/>
      <c r="D597" s="73"/>
      <c r="E597" s="50"/>
      <c r="F597" s="146"/>
      <c r="G597" s="16"/>
      <c r="H597" s="16"/>
      <c r="I597" s="29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</row>
    <row r="598" spans="1:118" s="1" customFormat="1" ht="15.6" x14ac:dyDescent="0.3">
      <c r="A598" s="36"/>
      <c r="B598" s="73"/>
      <c r="C598" s="73"/>
      <c r="D598" s="73"/>
      <c r="E598" s="50"/>
      <c r="F598" s="146"/>
      <c r="G598" s="16"/>
      <c r="H598" s="16"/>
      <c r="I598" s="29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</row>
    <row r="599" spans="1:118" s="1" customFormat="1" ht="15.6" x14ac:dyDescent="0.3">
      <c r="A599" s="36"/>
      <c r="B599" s="73"/>
      <c r="C599" s="73"/>
      <c r="D599" s="73"/>
      <c r="E599" s="50"/>
      <c r="F599" s="146"/>
      <c r="G599" s="16"/>
      <c r="H599" s="16"/>
      <c r="I599" s="29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</row>
    <row r="600" spans="1:118" s="1" customFormat="1" ht="15.6" x14ac:dyDescent="0.3">
      <c r="A600" s="36"/>
      <c r="B600" s="49"/>
      <c r="C600" s="49"/>
      <c r="D600" s="73"/>
      <c r="E600" s="50"/>
      <c r="F600" s="146"/>
      <c r="G600" s="16"/>
      <c r="H600" s="16"/>
      <c r="I600" s="29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</row>
    <row r="601" spans="1:118" s="1" customFormat="1" ht="15.6" x14ac:dyDescent="0.3">
      <c r="A601" s="36"/>
      <c r="B601" s="49"/>
      <c r="C601" s="49"/>
      <c r="D601" s="73"/>
      <c r="E601" s="50"/>
      <c r="F601" s="146"/>
      <c r="G601" s="16"/>
      <c r="H601" s="16"/>
      <c r="I601" s="29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</row>
    <row r="602" spans="1:118" s="1" customFormat="1" ht="15.6" x14ac:dyDescent="0.3">
      <c r="A602" s="36"/>
      <c r="B602" s="49"/>
      <c r="C602" s="49"/>
      <c r="D602" s="73"/>
      <c r="E602" s="50"/>
      <c r="F602" s="146"/>
      <c r="G602" s="16"/>
      <c r="H602" s="16"/>
      <c r="I602" s="29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</row>
    <row r="603" spans="1:118" s="1" customFormat="1" ht="15.6" x14ac:dyDescent="0.3">
      <c r="A603" s="36"/>
      <c r="B603" s="49"/>
      <c r="C603" s="49"/>
      <c r="D603" s="73"/>
      <c r="E603" s="50"/>
      <c r="F603" s="146"/>
      <c r="G603" s="16"/>
      <c r="H603" s="16"/>
      <c r="I603" s="29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</row>
    <row r="604" spans="1:118" s="1" customFormat="1" ht="15.6" x14ac:dyDescent="0.3">
      <c r="A604" s="36"/>
      <c r="B604" s="49"/>
      <c r="C604" s="49"/>
      <c r="D604" s="49"/>
      <c r="E604" s="50"/>
      <c r="F604" s="146"/>
      <c r="G604" s="16"/>
      <c r="H604" s="16"/>
      <c r="I604" s="29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</row>
    <row r="605" spans="1:118" s="1" customFormat="1" ht="15.6" x14ac:dyDescent="0.3">
      <c r="A605" s="36"/>
      <c r="B605" s="49"/>
      <c r="C605" s="49"/>
      <c r="D605" s="49"/>
      <c r="E605" s="50"/>
      <c r="F605" s="146"/>
      <c r="G605" s="16"/>
      <c r="H605" s="16"/>
      <c r="I605" s="29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</row>
    <row r="606" spans="1:118" s="1" customFormat="1" ht="15.6" x14ac:dyDescent="0.3">
      <c r="A606" s="36"/>
      <c r="B606" s="49"/>
      <c r="C606" s="49"/>
      <c r="D606" s="49"/>
      <c r="E606" s="50"/>
      <c r="F606" s="146"/>
      <c r="G606" s="16"/>
      <c r="H606" s="16"/>
      <c r="I606" s="29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</row>
    <row r="607" spans="1:118" s="1" customFormat="1" ht="15.6" x14ac:dyDescent="0.3">
      <c r="A607" s="36"/>
      <c r="B607" s="49"/>
      <c r="C607" s="49"/>
      <c r="D607" s="49"/>
      <c r="E607" s="50"/>
      <c r="F607" s="146"/>
      <c r="G607" s="16"/>
      <c r="H607" s="16"/>
      <c r="I607" s="29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</row>
    <row r="608" spans="1:118" s="1" customFormat="1" ht="15.6" x14ac:dyDescent="0.3">
      <c r="A608" s="36"/>
      <c r="B608" s="49"/>
      <c r="C608" s="49"/>
      <c r="D608" s="49"/>
      <c r="E608" s="50"/>
      <c r="F608" s="146"/>
      <c r="G608" s="16"/>
      <c r="H608" s="16"/>
      <c r="I608" s="29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</row>
    <row r="609" spans="1:118" s="1" customFormat="1" ht="15.6" x14ac:dyDescent="0.3">
      <c r="A609" s="36"/>
      <c r="B609" s="49"/>
      <c r="C609" s="49"/>
      <c r="D609" s="49"/>
      <c r="E609" s="50"/>
      <c r="F609" s="146"/>
      <c r="G609" s="16"/>
      <c r="H609" s="16"/>
      <c r="I609" s="29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</row>
    <row r="610" spans="1:118" s="1" customFormat="1" ht="15.6" x14ac:dyDescent="0.3">
      <c r="A610" s="36"/>
      <c r="B610" s="49"/>
      <c r="C610" s="49"/>
      <c r="D610" s="49"/>
      <c r="E610" s="50"/>
      <c r="F610" s="146"/>
      <c r="G610" s="16"/>
      <c r="H610" s="16"/>
      <c r="I610" s="29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</row>
    <row r="611" spans="1:118" s="1" customFormat="1" ht="15.6" x14ac:dyDescent="0.3">
      <c r="A611" s="36"/>
      <c r="B611" s="49"/>
      <c r="C611" s="49"/>
      <c r="D611" s="49"/>
      <c r="E611" s="50"/>
      <c r="F611" s="146"/>
      <c r="G611" s="16"/>
      <c r="H611" s="16"/>
      <c r="I611" s="29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</row>
    <row r="612" spans="1:118" s="1" customFormat="1" ht="15.6" x14ac:dyDescent="0.3">
      <c r="A612" s="36"/>
      <c r="B612" s="49"/>
      <c r="C612" s="49"/>
      <c r="D612" s="49"/>
      <c r="E612" s="50"/>
      <c r="F612" s="146"/>
      <c r="G612" s="16"/>
      <c r="H612" s="16"/>
      <c r="I612" s="29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</row>
    <row r="613" spans="1:118" s="1" customFormat="1" ht="15.6" x14ac:dyDescent="0.3">
      <c r="A613" s="36"/>
      <c r="B613" s="49"/>
      <c r="C613" s="49"/>
      <c r="D613" s="49"/>
      <c r="E613" s="50"/>
      <c r="F613" s="146"/>
      <c r="G613" s="16"/>
      <c r="H613" s="16"/>
      <c r="I613" s="29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</row>
    <row r="614" spans="1:118" s="1" customFormat="1" ht="15.6" x14ac:dyDescent="0.3">
      <c r="A614" s="36"/>
      <c r="B614" s="49"/>
      <c r="C614" s="49"/>
      <c r="D614" s="49"/>
      <c r="E614" s="50"/>
      <c r="F614" s="146"/>
      <c r="G614" s="16"/>
      <c r="H614" s="16"/>
      <c r="I614" s="29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</row>
    <row r="615" spans="1:118" s="1" customFormat="1" ht="15.6" x14ac:dyDescent="0.3">
      <c r="A615" s="36"/>
      <c r="B615" s="49"/>
      <c r="C615" s="49"/>
      <c r="D615" s="49"/>
      <c r="E615" s="50"/>
      <c r="F615" s="146"/>
      <c r="G615" s="16"/>
      <c r="H615" s="16"/>
      <c r="I615" s="29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</row>
    <row r="616" spans="1:118" s="1" customFormat="1" ht="15.6" x14ac:dyDescent="0.3">
      <c r="A616" s="36"/>
      <c r="B616" s="49"/>
      <c r="C616" s="49"/>
      <c r="D616" s="49"/>
      <c r="E616" s="50"/>
      <c r="F616" s="146"/>
      <c r="G616" s="16"/>
      <c r="H616" s="16"/>
      <c r="I616" s="29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</row>
    <row r="617" spans="1:118" s="1" customFormat="1" ht="15.6" x14ac:dyDescent="0.3">
      <c r="A617" s="36"/>
      <c r="B617" s="49"/>
      <c r="C617" s="49"/>
      <c r="D617" s="49"/>
      <c r="E617" s="50"/>
      <c r="F617" s="146"/>
      <c r="G617" s="16"/>
      <c r="H617" s="16"/>
      <c r="I617" s="29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</row>
    <row r="618" spans="1:118" s="1" customFormat="1" ht="15.6" x14ac:dyDescent="0.3">
      <c r="A618" s="36"/>
      <c r="B618" s="49"/>
      <c r="C618" s="49"/>
      <c r="D618" s="49"/>
      <c r="E618" s="50"/>
      <c r="F618" s="146"/>
      <c r="G618" s="16"/>
      <c r="H618" s="16"/>
      <c r="I618" s="29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</row>
    <row r="619" spans="1:118" s="1" customFormat="1" ht="15.6" x14ac:dyDescent="0.3">
      <c r="A619" s="36"/>
      <c r="B619" s="49"/>
      <c r="C619" s="49"/>
      <c r="D619" s="49"/>
      <c r="E619" s="50"/>
      <c r="F619" s="146"/>
      <c r="G619" s="16"/>
      <c r="H619" s="16"/>
      <c r="I619" s="29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</row>
    <row r="620" spans="1:118" s="1" customFormat="1" ht="15.6" x14ac:dyDescent="0.3">
      <c r="A620" s="36"/>
      <c r="B620" s="49"/>
      <c r="C620" s="49"/>
      <c r="D620" s="49"/>
      <c r="E620" s="50"/>
      <c r="F620" s="146"/>
      <c r="G620" s="16"/>
      <c r="H620" s="16"/>
      <c r="I620" s="29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</row>
    <row r="621" spans="1:118" s="1" customFormat="1" ht="15.6" x14ac:dyDescent="0.3">
      <c r="A621" s="36"/>
      <c r="B621" s="49"/>
      <c r="C621" s="49"/>
      <c r="D621" s="49"/>
      <c r="E621" s="50"/>
      <c r="F621" s="146"/>
      <c r="G621" s="16"/>
      <c r="H621" s="16"/>
      <c r="I621" s="29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</row>
    <row r="622" spans="1:118" s="1" customFormat="1" ht="15.6" x14ac:dyDescent="0.3">
      <c r="A622" s="36"/>
      <c r="B622" s="49"/>
      <c r="C622" s="49"/>
      <c r="D622" s="49"/>
      <c r="E622" s="50"/>
      <c r="F622" s="146"/>
      <c r="G622" s="16"/>
      <c r="H622" s="16"/>
      <c r="I622" s="29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  <c r="BS622" s="36"/>
      <c r="BT622" s="36"/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  <c r="CN622" s="36"/>
      <c r="CO622" s="36"/>
      <c r="CP622" s="36"/>
      <c r="CQ622" s="36"/>
      <c r="CR622" s="36"/>
      <c r="CS622" s="36"/>
      <c r="CT622" s="36"/>
      <c r="CU622" s="36"/>
      <c r="CV622" s="36"/>
      <c r="CW622" s="36"/>
      <c r="CX622" s="36"/>
      <c r="CY622" s="36"/>
      <c r="CZ622" s="36"/>
      <c r="DA622" s="36"/>
      <c r="DB622" s="36"/>
      <c r="DC622" s="36"/>
      <c r="DD622" s="36"/>
      <c r="DE622" s="36"/>
      <c r="DF622" s="36"/>
      <c r="DG622" s="36"/>
      <c r="DH622" s="36"/>
      <c r="DI622" s="36"/>
      <c r="DJ622" s="36"/>
      <c r="DK622" s="36"/>
      <c r="DL622" s="36"/>
      <c r="DM622" s="36"/>
      <c r="DN622" s="36"/>
    </row>
    <row r="623" spans="1:118" s="1" customFormat="1" ht="15.6" x14ac:dyDescent="0.3">
      <c r="A623" s="36"/>
      <c r="B623" s="49"/>
      <c r="C623" s="49"/>
      <c r="D623" s="49"/>
      <c r="E623" s="50"/>
      <c r="F623" s="146"/>
      <c r="G623" s="16"/>
      <c r="H623" s="16"/>
      <c r="I623" s="29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  <c r="BS623" s="36"/>
      <c r="BT623" s="36"/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  <c r="CN623" s="36"/>
      <c r="CO623" s="36"/>
      <c r="CP623" s="36"/>
      <c r="CQ623" s="36"/>
      <c r="CR623" s="36"/>
      <c r="CS623" s="36"/>
      <c r="CT623" s="36"/>
      <c r="CU623" s="36"/>
      <c r="CV623" s="36"/>
      <c r="CW623" s="36"/>
      <c r="CX623" s="36"/>
      <c r="CY623" s="36"/>
      <c r="CZ623" s="36"/>
      <c r="DA623" s="36"/>
      <c r="DB623" s="36"/>
      <c r="DC623" s="36"/>
      <c r="DD623" s="36"/>
      <c r="DE623" s="36"/>
      <c r="DF623" s="36"/>
      <c r="DG623" s="36"/>
      <c r="DH623" s="36"/>
      <c r="DI623" s="36"/>
      <c r="DJ623" s="36"/>
      <c r="DK623" s="36"/>
      <c r="DL623" s="36"/>
      <c r="DM623" s="36"/>
      <c r="DN623" s="36"/>
    </row>
    <row r="624" spans="1:118" s="1" customFormat="1" ht="15.6" x14ac:dyDescent="0.3">
      <c r="A624" s="36"/>
      <c r="B624" s="49"/>
      <c r="C624" s="49"/>
      <c r="D624" s="49"/>
      <c r="E624" s="50"/>
      <c r="F624" s="146"/>
      <c r="G624" s="16"/>
      <c r="H624" s="16"/>
      <c r="I624" s="29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  <c r="BS624" s="36"/>
      <c r="BT624" s="36"/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CL624" s="36"/>
      <c r="CM624" s="36"/>
      <c r="CN624" s="36"/>
      <c r="CO624" s="36"/>
      <c r="CP624" s="36"/>
      <c r="CQ624" s="36"/>
      <c r="CR624" s="36"/>
      <c r="CS624" s="36"/>
      <c r="CT624" s="36"/>
      <c r="CU624" s="36"/>
      <c r="CV624" s="36"/>
      <c r="CW624" s="36"/>
      <c r="CX624" s="36"/>
      <c r="CY624" s="36"/>
      <c r="CZ624" s="36"/>
      <c r="DA624" s="36"/>
      <c r="DB624" s="36"/>
      <c r="DC624" s="36"/>
      <c r="DD624" s="36"/>
      <c r="DE624" s="36"/>
      <c r="DF624" s="36"/>
      <c r="DG624" s="36"/>
      <c r="DH624" s="36"/>
      <c r="DI624" s="36"/>
      <c r="DJ624" s="36"/>
      <c r="DK624" s="36"/>
      <c r="DL624" s="36"/>
      <c r="DM624" s="36"/>
      <c r="DN624" s="36"/>
    </row>
    <row r="625" spans="1:118" s="1" customFormat="1" ht="15.6" x14ac:dyDescent="0.3">
      <c r="A625" s="36"/>
      <c r="B625" s="49"/>
      <c r="C625" s="49"/>
      <c r="D625" s="49"/>
      <c r="E625" s="50"/>
      <c r="F625" s="146"/>
      <c r="G625" s="16"/>
      <c r="H625" s="16"/>
      <c r="I625" s="29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</row>
    <row r="626" spans="1:118" s="1" customFormat="1" ht="15.6" x14ac:dyDescent="0.3">
      <c r="A626" s="36"/>
      <c r="B626" s="49"/>
      <c r="C626" s="49"/>
      <c r="D626" s="49"/>
      <c r="E626" s="50"/>
      <c r="F626" s="146"/>
      <c r="G626" s="16"/>
      <c r="H626" s="16"/>
      <c r="I626" s="29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36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</row>
    <row r="627" spans="1:118" s="7" customFormat="1" ht="15.6" x14ac:dyDescent="0.3">
      <c r="A627" s="36"/>
      <c r="B627" s="49"/>
      <c r="C627" s="49"/>
      <c r="D627" s="49"/>
      <c r="E627" s="69"/>
      <c r="F627" s="150"/>
      <c r="G627" s="16"/>
      <c r="H627" s="16"/>
      <c r="I627" s="29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  <c r="BS627" s="36"/>
      <c r="BT627" s="36"/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/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36"/>
      <c r="DH627" s="36"/>
      <c r="DI627" s="36"/>
      <c r="DJ627" s="36"/>
      <c r="DK627" s="36"/>
      <c r="DL627" s="36"/>
      <c r="DM627" s="36"/>
      <c r="DN627" s="36"/>
    </row>
    <row r="628" spans="1:118" s="7" customFormat="1" ht="15.6" x14ac:dyDescent="0.3">
      <c r="A628" s="36"/>
      <c r="B628" s="49"/>
      <c r="C628" s="49"/>
      <c r="D628" s="49"/>
      <c r="E628" s="69"/>
      <c r="F628" s="150"/>
      <c r="G628" s="16"/>
      <c r="H628" s="16"/>
      <c r="I628" s="29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  <c r="BS628" s="36"/>
      <c r="BT628" s="36"/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36"/>
      <c r="DH628" s="36"/>
      <c r="DI628" s="36"/>
      <c r="DJ628" s="36"/>
      <c r="DK628" s="36"/>
      <c r="DL628" s="36"/>
      <c r="DM628" s="36"/>
      <c r="DN628" s="36"/>
    </row>
    <row r="629" spans="1:118" s="1" customFormat="1" ht="15.6" x14ac:dyDescent="0.3">
      <c r="A629" s="36"/>
      <c r="B629" s="49"/>
      <c r="C629" s="49"/>
      <c r="D629" s="49"/>
      <c r="E629" s="69"/>
      <c r="F629" s="146"/>
      <c r="G629" s="16"/>
      <c r="H629" s="16"/>
      <c r="I629" s="29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</row>
    <row r="630" spans="1:118" s="3" customFormat="1" ht="15.6" x14ac:dyDescent="0.3">
      <c r="A630" s="36"/>
      <c r="B630" s="49"/>
      <c r="C630" s="49"/>
      <c r="D630" s="49"/>
      <c r="E630" s="69"/>
      <c r="F630" s="146"/>
      <c r="G630" s="16"/>
      <c r="H630" s="16"/>
      <c r="I630" s="29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/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</row>
    <row r="631" spans="1:118" s="3" customFormat="1" ht="15.6" x14ac:dyDescent="0.3">
      <c r="A631" s="36"/>
      <c r="B631" s="49"/>
      <c r="C631" s="49"/>
      <c r="D631" s="49"/>
      <c r="E631" s="69"/>
      <c r="F631" s="146"/>
      <c r="G631" s="16"/>
      <c r="H631" s="16"/>
      <c r="I631" s="29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</row>
    <row r="632" spans="1:118" s="3" customFormat="1" ht="15.6" x14ac:dyDescent="0.3">
      <c r="A632" s="36"/>
      <c r="B632" s="49"/>
      <c r="C632" s="49"/>
      <c r="D632" s="49"/>
      <c r="E632" s="69"/>
      <c r="F632" s="146"/>
      <c r="G632" s="16"/>
      <c r="H632" s="16"/>
      <c r="I632" s="29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</row>
    <row r="633" spans="1:118" s="3" customFormat="1" ht="15.6" x14ac:dyDescent="0.3">
      <c r="A633" s="36"/>
      <c r="B633" s="40"/>
      <c r="C633" s="49"/>
      <c r="D633" s="49"/>
      <c r="E633" s="69"/>
      <c r="F633" s="146"/>
      <c r="G633" s="16"/>
      <c r="H633" s="16"/>
      <c r="I633" s="29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</row>
    <row r="634" spans="1:118" s="3" customFormat="1" ht="15.6" x14ac:dyDescent="0.3">
      <c r="A634" s="36"/>
      <c r="B634" s="40"/>
      <c r="C634" s="49"/>
      <c r="D634" s="49"/>
      <c r="E634" s="69"/>
      <c r="F634" s="146"/>
      <c r="G634" s="16"/>
      <c r="H634" s="16"/>
      <c r="I634" s="29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/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</row>
    <row r="635" spans="1:118" s="3" customFormat="1" ht="15.6" x14ac:dyDescent="0.3">
      <c r="A635" s="36"/>
      <c r="B635" s="40"/>
      <c r="C635" s="40"/>
      <c r="D635" s="49"/>
      <c r="E635" s="69"/>
      <c r="F635" s="146"/>
      <c r="G635" s="16"/>
      <c r="H635" s="16"/>
      <c r="I635" s="29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</row>
    <row r="636" spans="1:118" s="3" customFormat="1" ht="15.6" x14ac:dyDescent="0.3">
      <c r="A636" s="36"/>
      <c r="B636" s="40"/>
      <c r="C636" s="40"/>
      <c r="D636" s="49"/>
      <c r="E636" s="69"/>
      <c r="F636" s="146"/>
      <c r="G636" s="16"/>
      <c r="H636" s="16"/>
      <c r="I636" s="29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</row>
    <row r="637" spans="1:118" s="3" customFormat="1" ht="15.6" x14ac:dyDescent="0.3">
      <c r="A637" s="36"/>
      <c r="B637" s="40"/>
      <c r="C637" s="40"/>
      <c r="D637" s="49"/>
      <c r="E637" s="69"/>
      <c r="F637" s="146"/>
      <c r="G637" s="16"/>
      <c r="H637" s="16"/>
      <c r="I637" s="29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</row>
    <row r="638" spans="1:118" s="3" customFormat="1" ht="15.6" x14ac:dyDescent="0.3">
      <c r="A638" s="36"/>
      <c r="B638" s="40"/>
      <c r="C638" s="40"/>
      <c r="D638" s="49"/>
      <c r="E638" s="69"/>
      <c r="F638" s="146"/>
      <c r="G638" s="16"/>
      <c r="H638" s="16"/>
      <c r="I638" s="29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</row>
    <row r="639" spans="1:118" s="3" customFormat="1" ht="15.6" x14ac:dyDescent="0.3">
      <c r="A639" s="36"/>
      <c r="B639" s="49"/>
      <c r="C639" s="40"/>
      <c r="D639" s="49"/>
      <c r="E639" s="69"/>
      <c r="F639" s="146"/>
      <c r="G639" s="16"/>
      <c r="H639" s="16"/>
      <c r="I639" s="29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/>
      <c r="DB639" s="36"/>
      <c r="DC639" s="36"/>
      <c r="DD639" s="36"/>
      <c r="DE639" s="36"/>
      <c r="DF639" s="36"/>
      <c r="DG639" s="36"/>
      <c r="DH639" s="36"/>
      <c r="DI639" s="36"/>
      <c r="DJ639" s="36"/>
      <c r="DK639" s="36"/>
      <c r="DL639" s="36"/>
      <c r="DM639" s="36"/>
      <c r="DN639" s="36"/>
    </row>
    <row r="640" spans="1:118" s="3" customFormat="1" ht="15.6" x14ac:dyDescent="0.3">
      <c r="A640" s="36"/>
      <c r="B640" s="49"/>
      <c r="C640" s="40"/>
      <c r="D640" s="49"/>
      <c r="E640" s="69"/>
      <c r="F640" s="146"/>
      <c r="G640" s="16"/>
      <c r="H640" s="16"/>
      <c r="I640" s="29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</row>
    <row r="641" spans="1:118" s="3" customFormat="1" ht="15.6" x14ac:dyDescent="0.3">
      <c r="A641" s="36"/>
      <c r="B641" s="49"/>
      <c r="C641" s="40"/>
      <c r="D641" s="49"/>
      <c r="E641" s="69"/>
      <c r="F641" s="146"/>
      <c r="G641" s="16"/>
      <c r="H641" s="16"/>
      <c r="I641" s="29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</row>
    <row r="642" spans="1:118" s="3" customFormat="1" ht="15.6" x14ac:dyDescent="0.3">
      <c r="A642" s="36"/>
      <c r="B642" s="40"/>
      <c r="C642" s="40"/>
      <c r="D642" s="49"/>
      <c r="E642" s="69"/>
      <c r="F642" s="146"/>
      <c r="G642" s="16"/>
      <c r="H642" s="16"/>
      <c r="I642" s="29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</row>
    <row r="643" spans="1:118" s="3" customFormat="1" ht="15.6" x14ac:dyDescent="0.3">
      <c r="A643" s="36"/>
      <c r="B643" s="40"/>
      <c r="C643" s="40"/>
      <c r="D643" s="49"/>
      <c r="E643" s="69"/>
      <c r="F643" s="146"/>
      <c r="G643" s="16"/>
      <c r="H643" s="16"/>
      <c r="I643" s="29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</row>
    <row r="644" spans="1:118" s="3" customFormat="1" ht="15.6" x14ac:dyDescent="0.3">
      <c r="A644" s="36"/>
      <c r="B644" s="40"/>
      <c r="C644" s="40"/>
      <c r="D644" s="49"/>
      <c r="E644" s="69"/>
      <c r="F644" s="146"/>
      <c r="G644" s="16"/>
      <c r="H644" s="16"/>
      <c r="I644" s="29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/>
      <c r="CS644" s="36"/>
      <c r="CT644" s="36"/>
      <c r="CU644" s="36"/>
      <c r="CV644" s="36"/>
      <c r="CW644" s="36"/>
      <c r="CX644" s="36"/>
      <c r="CY644" s="36"/>
      <c r="CZ644" s="36"/>
      <c r="DA644" s="36"/>
      <c r="DB644" s="36"/>
      <c r="DC644" s="36"/>
      <c r="DD644" s="36"/>
      <c r="DE644" s="36"/>
      <c r="DF644" s="36"/>
      <c r="DG644" s="36"/>
      <c r="DH644" s="36"/>
      <c r="DI644" s="36"/>
      <c r="DJ644" s="36"/>
      <c r="DK644" s="36"/>
      <c r="DL644" s="36"/>
      <c r="DM644" s="36"/>
      <c r="DN644" s="36"/>
    </row>
    <row r="645" spans="1:118" s="3" customFormat="1" ht="15.6" x14ac:dyDescent="0.3">
      <c r="A645" s="36"/>
      <c r="B645" s="40"/>
      <c r="C645" s="40"/>
      <c r="D645" s="49"/>
      <c r="E645" s="69"/>
      <c r="F645" s="146"/>
      <c r="G645" s="16"/>
      <c r="H645" s="16"/>
      <c r="I645" s="29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</row>
    <row r="646" spans="1:118" s="3" customFormat="1" ht="15.6" x14ac:dyDescent="0.3">
      <c r="A646" s="36"/>
      <c r="B646" s="40"/>
      <c r="C646" s="40"/>
      <c r="D646" s="49"/>
      <c r="E646" s="69"/>
      <c r="F646" s="146"/>
      <c r="G646" s="16"/>
      <c r="H646" s="16"/>
      <c r="I646" s="29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/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</row>
    <row r="647" spans="1:118" s="3" customFormat="1" ht="15.6" x14ac:dyDescent="0.3">
      <c r="A647" s="36"/>
      <c r="B647" s="40"/>
      <c r="C647" s="40"/>
      <c r="D647" s="49"/>
      <c r="E647" s="69"/>
      <c r="F647" s="146"/>
      <c r="G647" s="16"/>
      <c r="H647" s="16"/>
      <c r="I647" s="29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</row>
    <row r="648" spans="1:118" s="3" customFormat="1" ht="15.6" x14ac:dyDescent="0.3">
      <c r="A648" s="36"/>
      <c r="B648" s="40"/>
      <c r="C648" s="40"/>
      <c r="D648" s="49"/>
      <c r="E648" s="69"/>
      <c r="F648" s="146"/>
      <c r="G648" s="16"/>
      <c r="H648" s="16"/>
      <c r="I648" s="29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  <c r="BS648" s="36"/>
      <c r="BT648" s="36"/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/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/>
      <c r="DK648" s="36"/>
      <c r="DL648" s="36"/>
      <c r="DM648" s="36"/>
      <c r="DN648" s="36"/>
    </row>
    <row r="649" spans="1:118" s="1" customFormat="1" ht="15.6" x14ac:dyDescent="0.3">
      <c r="A649" s="36"/>
      <c r="B649" s="49"/>
      <c r="C649" s="40"/>
      <c r="D649" s="40"/>
      <c r="E649" s="50"/>
      <c r="F649" s="146"/>
      <c r="G649" s="16"/>
      <c r="H649" s="16"/>
      <c r="I649" s="29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/>
      <c r="CE649" s="36"/>
      <c r="CF649" s="36"/>
      <c r="CG649" s="36"/>
      <c r="CH649" s="36"/>
      <c r="CI649" s="36"/>
      <c r="CJ649" s="36"/>
      <c r="CK649" s="36"/>
      <c r="CL649" s="36"/>
      <c r="CM649" s="36"/>
      <c r="CN649" s="36"/>
      <c r="CO649" s="36"/>
      <c r="CP649" s="36"/>
      <c r="CQ649" s="36"/>
      <c r="CR649" s="36"/>
      <c r="CS649" s="36"/>
      <c r="CT649" s="36"/>
      <c r="CU649" s="36"/>
      <c r="CV649" s="36"/>
      <c r="CW649" s="36"/>
      <c r="CX649" s="36"/>
      <c r="CY649" s="36"/>
      <c r="CZ649" s="36"/>
      <c r="DA649" s="36"/>
      <c r="DB649" s="36"/>
      <c r="DC649" s="36"/>
      <c r="DD649" s="36"/>
      <c r="DE649" s="36"/>
      <c r="DF649" s="36"/>
      <c r="DG649" s="36"/>
      <c r="DH649" s="36"/>
      <c r="DI649" s="36"/>
      <c r="DJ649" s="36"/>
      <c r="DK649" s="36"/>
      <c r="DL649" s="36"/>
      <c r="DM649" s="36"/>
      <c r="DN649" s="36"/>
    </row>
    <row r="650" spans="1:118" s="1" customFormat="1" ht="15.6" x14ac:dyDescent="0.3">
      <c r="A650" s="36"/>
      <c r="B650" s="49"/>
      <c r="C650" s="56"/>
      <c r="D650" s="40"/>
      <c r="E650" s="50"/>
      <c r="F650" s="146"/>
      <c r="G650" s="16"/>
      <c r="H650" s="16"/>
      <c r="I650" s="29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  <c r="BS650" s="36"/>
      <c r="BT650" s="36"/>
      <c r="BU650" s="36"/>
      <c r="BV650" s="36"/>
      <c r="BW650" s="36"/>
      <c r="BX650" s="36"/>
      <c r="BY650" s="36"/>
      <c r="BZ650" s="36"/>
      <c r="CA650" s="36"/>
      <c r="CB650" s="36"/>
      <c r="CC650" s="36"/>
      <c r="CD650" s="36"/>
      <c r="CE650" s="36"/>
      <c r="CF650" s="36"/>
      <c r="CG650" s="36"/>
      <c r="CH650" s="36"/>
      <c r="CI650" s="36"/>
      <c r="CJ650" s="36"/>
      <c r="CK650" s="36"/>
      <c r="CL650" s="36"/>
      <c r="CM650" s="36"/>
      <c r="CN650" s="36"/>
      <c r="CO650" s="36"/>
      <c r="CP650" s="36"/>
      <c r="CQ650" s="36"/>
      <c r="CR650" s="36"/>
      <c r="CS650" s="36"/>
      <c r="CT650" s="36"/>
      <c r="CU650" s="36"/>
      <c r="CV650" s="36"/>
      <c r="CW650" s="36"/>
      <c r="CX650" s="36"/>
      <c r="CY650" s="36"/>
      <c r="CZ650" s="36"/>
      <c r="DA650" s="36"/>
      <c r="DB650" s="36"/>
      <c r="DC650" s="36"/>
      <c r="DD650" s="36"/>
      <c r="DE650" s="36"/>
      <c r="DF650" s="36"/>
      <c r="DG650" s="36"/>
      <c r="DH650" s="36"/>
      <c r="DI650" s="36"/>
      <c r="DJ650" s="36"/>
      <c r="DK650" s="36"/>
      <c r="DL650" s="36"/>
      <c r="DM650" s="36"/>
      <c r="DN650" s="36"/>
    </row>
    <row r="651" spans="1:118" s="1" customFormat="1" ht="15.6" x14ac:dyDescent="0.3">
      <c r="A651" s="36"/>
      <c r="B651" s="49"/>
      <c r="C651" s="56"/>
      <c r="D651" s="40"/>
      <c r="E651" s="50"/>
      <c r="F651" s="146"/>
      <c r="G651" s="16"/>
      <c r="H651" s="16"/>
      <c r="I651" s="29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  <c r="BS651" s="36"/>
      <c r="BT651" s="36"/>
      <c r="BU651" s="36"/>
      <c r="BV651" s="36"/>
      <c r="BW651" s="36"/>
      <c r="BX651" s="36"/>
      <c r="BY651" s="36"/>
      <c r="BZ651" s="36"/>
      <c r="CA651" s="36"/>
      <c r="CB651" s="36"/>
      <c r="CC651" s="36"/>
      <c r="CD651" s="36"/>
      <c r="CE651" s="36"/>
      <c r="CF651" s="36"/>
      <c r="CG651" s="36"/>
      <c r="CH651" s="36"/>
      <c r="CI651" s="36"/>
      <c r="CJ651" s="36"/>
      <c r="CK651" s="36"/>
      <c r="CL651" s="36"/>
      <c r="CM651" s="36"/>
      <c r="CN651" s="36"/>
      <c r="CO651" s="36"/>
      <c r="CP651" s="36"/>
      <c r="CQ651" s="36"/>
      <c r="CR651" s="36"/>
      <c r="CS651" s="36"/>
      <c r="CT651" s="36"/>
      <c r="CU651" s="36"/>
      <c r="CV651" s="36"/>
      <c r="CW651" s="36"/>
      <c r="CX651" s="36"/>
      <c r="CY651" s="36"/>
      <c r="CZ651" s="36"/>
      <c r="DA651" s="36"/>
      <c r="DB651" s="36"/>
      <c r="DC651" s="36"/>
      <c r="DD651" s="36"/>
      <c r="DE651" s="36"/>
      <c r="DF651" s="36"/>
      <c r="DG651" s="36"/>
      <c r="DH651" s="36"/>
      <c r="DI651" s="36"/>
      <c r="DJ651" s="36"/>
      <c r="DK651" s="36"/>
      <c r="DL651" s="36"/>
      <c r="DM651" s="36"/>
      <c r="DN651" s="36"/>
    </row>
    <row r="652" spans="1:118" s="1" customFormat="1" ht="15.6" x14ac:dyDescent="0.3">
      <c r="A652" s="36"/>
      <c r="B652" s="49"/>
      <c r="C652" s="56"/>
      <c r="D652" s="40"/>
      <c r="E652" s="50"/>
      <c r="F652" s="146"/>
      <c r="G652" s="16"/>
      <c r="H652" s="16"/>
      <c r="I652" s="29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CL652" s="36"/>
      <c r="CM652" s="36"/>
      <c r="CN652" s="36"/>
      <c r="CO652" s="36"/>
      <c r="CP652" s="36"/>
      <c r="CQ652" s="36"/>
      <c r="CR652" s="36"/>
      <c r="CS652" s="36"/>
      <c r="CT652" s="36"/>
      <c r="CU652" s="36"/>
      <c r="CV652" s="36"/>
      <c r="CW652" s="36"/>
      <c r="CX652" s="36"/>
      <c r="CY652" s="36"/>
      <c r="CZ652" s="36"/>
      <c r="DA652" s="36"/>
      <c r="DB652" s="36"/>
      <c r="DC652" s="36"/>
      <c r="DD652" s="36"/>
      <c r="DE652" s="36"/>
      <c r="DF652" s="36"/>
      <c r="DG652" s="36"/>
      <c r="DH652" s="36"/>
      <c r="DI652" s="36"/>
      <c r="DJ652" s="36"/>
      <c r="DK652" s="36"/>
      <c r="DL652" s="36"/>
      <c r="DM652" s="36"/>
      <c r="DN652" s="36"/>
    </row>
    <row r="653" spans="1:118" s="1" customFormat="1" ht="15.6" x14ac:dyDescent="0.3">
      <c r="A653" s="36"/>
      <c r="B653" s="49"/>
      <c r="C653" s="56"/>
      <c r="D653" s="40"/>
      <c r="E653" s="50"/>
      <c r="F653" s="146"/>
      <c r="G653" s="16"/>
      <c r="H653" s="16"/>
      <c r="I653" s="29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  <c r="BS653" s="36"/>
      <c r="BT653" s="36"/>
      <c r="BU653" s="36"/>
      <c r="BV653" s="36"/>
      <c r="BW653" s="36"/>
      <c r="BX653" s="36"/>
      <c r="BY653" s="36"/>
      <c r="BZ653" s="36"/>
      <c r="CA653" s="36"/>
      <c r="CB653" s="36"/>
      <c r="CC653" s="36"/>
      <c r="CD653" s="36"/>
      <c r="CE653" s="36"/>
      <c r="CF653" s="36"/>
      <c r="CG653" s="36"/>
      <c r="CH653" s="36"/>
      <c r="CI653" s="36"/>
      <c r="CJ653" s="36"/>
      <c r="CK653" s="36"/>
      <c r="CL653" s="36"/>
      <c r="CM653" s="36"/>
      <c r="CN653" s="36"/>
      <c r="CO653" s="36"/>
      <c r="CP653" s="36"/>
      <c r="CQ653" s="36"/>
      <c r="CR653" s="36"/>
      <c r="CS653" s="36"/>
      <c r="CT653" s="36"/>
      <c r="CU653" s="36"/>
      <c r="CV653" s="36"/>
      <c r="CW653" s="36"/>
      <c r="CX653" s="36"/>
      <c r="CY653" s="36"/>
      <c r="CZ653" s="36"/>
      <c r="DA653" s="36"/>
      <c r="DB653" s="36"/>
      <c r="DC653" s="36"/>
      <c r="DD653" s="36"/>
      <c r="DE653" s="36"/>
      <c r="DF653" s="36"/>
      <c r="DG653" s="36"/>
      <c r="DH653" s="36"/>
      <c r="DI653" s="36"/>
      <c r="DJ653" s="36"/>
      <c r="DK653" s="36"/>
      <c r="DL653" s="36"/>
      <c r="DM653" s="36"/>
      <c r="DN653" s="36"/>
    </row>
    <row r="654" spans="1:118" s="1" customFormat="1" ht="15.6" x14ac:dyDescent="0.3">
      <c r="A654" s="36"/>
      <c r="B654" s="49"/>
      <c r="C654" s="56"/>
      <c r="D654" s="40"/>
      <c r="E654" s="50"/>
      <c r="F654" s="146"/>
      <c r="G654" s="16"/>
      <c r="H654" s="16"/>
      <c r="I654" s="29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  <c r="BS654" s="36"/>
      <c r="BT654" s="36"/>
      <c r="BU654" s="36"/>
      <c r="BV654" s="36"/>
      <c r="BW654" s="36"/>
      <c r="BX654" s="36"/>
      <c r="BY654" s="36"/>
      <c r="BZ654" s="36"/>
      <c r="CA654" s="36"/>
      <c r="CB654" s="36"/>
      <c r="CC654" s="36"/>
      <c r="CD654" s="36"/>
      <c r="CE654" s="36"/>
      <c r="CF654" s="36"/>
      <c r="CG654" s="36"/>
      <c r="CH654" s="36"/>
      <c r="CI654" s="36"/>
      <c r="CJ654" s="36"/>
      <c r="CK654" s="36"/>
      <c r="CL654" s="36"/>
      <c r="CM654" s="36"/>
      <c r="CN654" s="36"/>
      <c r="CO654" s="36"/>
      <c r="CP654" s="36"/>
      <c r="CQ654" s="36"/>
      <c r="CR654" s="36"/>
      <c r="CS654" s="36"/>
      <c r="CT654" s="36"/>
      <c r="CU654" s="36"/>
      <c r="CV654" s="36"/>
      <c r="CW654" s="36"/>
      <c r="CX654" s="36"/>
      <c r="CY654" s="36"/>
      <c r="CZ654" s="36"/>
      <c r="DA654" s="36"/>
      <c r="DB654" s="36"/>
      <c r="DC654" s="36"/>
      <c r="DD654" s="36"/>
      <c r="DE654" s="36"/>
      <c r="DF654" s="36"/>
      <c r="DG654" s="36"/>
      <c r="DH654" s="36"/>
      <c r="DI654" s="36"/>
      <c r="DJ654" s="36"/>
      <c r="DK654" s="36"/>
      <c r="DL654" s="36"/>
      <c r="DM654" s="36"/>
      <c r="DN654" s="36"/>
    </row>
    <row r="655" spans="1:118" s="1" customFormat="1" ht="15.6" x14ac:dyDescent="0.3">
      <c r="A655" s="36"/>
      <c r="B655" s="49"/>
      <c r="C655" s="56"/>
      <c r="D655" s="40"/>
      <c r="E655" s="50"/>
      <c r="F655" s="146"/>
      <c r="G655" s="16"/>
      <c r="H655" s="16"/>
      <c r="I655" s="29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CL655" s="36"/>
      <c r="CM655" s="36"/>
      <c r="CN655" s="36"/>
      <c r="CO655" s="36"/>
      <c r="CP655" s="36"/>
      <c r="CQ655" s="36"/>
      <c r="CR655" s="36"/>
      <c r="CS655" s="36"/>
      <c r="CT655" s="36"/>
      <c r="CU655" s="36"/>
      <c r="CV655" s="36"/>
      <c r="CW655" s="36"/>
      <c r="CX655" s="36"/>
      <c r="CY655" s="36"/>
      <c r="CZ655" s="36"/>
      <c r="DA655" s="36"/>
      <c r="DB655" s="36"/>
      <c r="DC655" s="36"/>
      <c r="DD655" s="36"/>
      <c r="DE655" s="36"/>
      <c r="DF655" s="36"/>
      <c r="DG655" s="36"/>
      <c r="DH655" s="36"/>
      <c r="DI655" s="36"/>
      <c r="DJ655" s="36"/>
      <c r="DK655" s="36"/>
      <c r="DL655" s="36"/>
      <c r="DM655" s="36"/>
      <c r="DN655" s="36"/>
    </row>
    <row r="656" spans="1:118" s="1" customFormat="1" ht="15.6" x14ac:dyDescent="0.3">
      <c r="A656" s="36"/>
      <c r="B656" s="49"/>
      <c r="C656" s="56"/>
      <c r="D656" s="40"/>
      <c r="E656" s="50"/>
      <c r="F656" s="146"/>
      <c r="G656" s="16"/>
      <c r="H656" s="16"/>
      <c r="I656" s="29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  <c r="BS656" s="36"/>
      <c r="BT656" s="36"/>
      <c r="BU656" s="36"/>
      <c r="BV656" s="36"/>
      <c r="BW656" s="36"/>
      <c r="BX656" s="36"/>
      <c r="BY656" s="36"/>
      <c r="BZ656" s="36"/>
      <c r="CA656" s="36"/>
      <c r="CB656" s="36"/>
      <c r="CC656" s="36"/>
      <c r="CD656" s="36"/>
      <c r="CE656" s="36"/>
      <c r="CF656" s="36"/>
      <c r="CG656" s="36"/>
      <c r="CH656" s="36"/>
      <c r="CI656" s="36"/>
      <c r="CJ656" s="36"/>
      <c r="CK656" s="36"/>
      <c r="CL656" s="36"/>
      <c r="CM656" s="36"/>
      <c r="CN656" s="36"/>
      <c r="CO656" s="36"/>
      <c r="CP656" s="36"/>
      <c r="CQ656" s="36"/>
      <c r="CR656" s="36"/>
      <c r="CS656" s="36"/>
      <c r="CT656" s="36"/>
      <c r="CU656" s="36"/>
      <c r="CV656" s="36"/>
      <c r="CW656" s="36"/>
      <c r="CX656" s="36"/>
      <c r="CY656" s="36"/>
      <c r="CZ656" s="36"/>
      <c r="DA656" s="36"/>
      <c r="DB656" s="36"/>
      <c r="DC656" s="36"/>
      <c r="DD656" s="36"/>
      <c r="DE656" s="36"/>
      <c r="DF656" s="36"/>
      <c r="DG656" s="36"/>
      <c r="DH656" s="36"/>
      <c r="DI656" s="36"/>
      <c r="DJ656" s="36"/>
      <c r="DK656" s="36"/>
      <c r="DL656" s="36"/>
      <c r="DM656" s="36"/>
      <c r="DN656" s="36"/>
    </row>
    <row r="657" spans="1:169" s="1" customFormat="1" ht="15.6" x14ac:dyDescent="0.3">
      <c r="A657" s="36"/>
      <c r="B657" s="49"/>
      <c r="C657" s="56"/>
      <c r="D657" s="40"/>
      <c r="E657" s="50"/>
      <c r="F657" s="146"/>
      <c r="G657" s="16"/>
      <c r="H657" s="16"/>
      <c r="I657" s="29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CL657" s="36"/>
      <c r="CM657" s="36"/>
      <c r="CN657" s="36"/>
      <c r="CO657" s="36"/>
      <c r="CP657" s="36"/>
      <c r="CQ657" s="36"/>
      <c r="CR657" s="36"/>
      <c r="CS657" s="36"/>
      <c r="CT657" s="36"/>
      <c r="CU657" s="36"/>
      <c r="CV657" s="36"/>
      <c r="CW657" s="36"/>
      <c r="CX657" s="36"/>
      <c r="CY657" s="36"/>
      <c r="CZ657" s="36"/>
      <c r="DA657" s="36"/>
      <c r="DB657" s="36"/>
      <c r="DC657" s="36"/>
      <c r="DD657" s="36"/>
      <c r="DE657" s="36"/>
      <c r="DF657" s="36"/>
      <c r="DG657" s="36"/>
      <c r="DH657" s="36"/>
      <c r="DI657" s="36"/>
      <c r="DJ657" s="36"/>
      <c r="DK657" s="36"/>
      <c r="DL657" s="36"/>
      <c r="DM657" s="36"/>
      <c r="DN657" s="36"/>
    </row>
    <row r="658" spans="1:169" s="1" customFormat="1" ht="15.6" x14ac:dyDescent="0.3">
      <c r="A658" s="36"/>
      <c r="B658" s="49"/>
      <c r="C658" s="56"/>
      <c r="D658" s="40"/>
      <c r="E658" s="50"/>
      <c r="F658" s="146"/>
      <c r="G658" s="16"/>
      <c r="H658" s="16"/>
      <c r="I658" s="29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  <c r="BS658" s="36"/>
      <c r="BT658" s="36"/>
      <c r="BU658" s="36"/>
      <c r="BV658" s="36"/>
      <c r="BW658" s="36"/>
      <c r="BX658" s="36"/>
      <c r="BY658" s="36"/>
      <c r="BZ658" s="36"/>
      <c r="CA658" s="36"/>
      <c r="CB658" s="36"/>
      <c r="CC658" s="36"/>
      <c r="CD658" s="36"/>
      <c r="CE658" s="36"/>
      <c r="CF658" s="36"/>
      <c r="CG658" s="36"/>
      <c r="CH658" s="36"/>
      <c r="CI658" s="36"/>
      <c r="CJ658" s="36"/>
      <c r="CK658" s="36"/>
      <c r="CL658" s="36"/>
      <c r="CM658" s="36"/>
      <c r="CN658" s="36"/>
      <c r="CO658" s="36"/>
      <c r="CP658" s="36"/>
      <c r="CQ658" s="36"/>
      <c r="CR658" s="36"/>
      <c r="CS658" s="36"/>
      <c r="CT658" s="36"/>
      <c r="CU658" s="36"/>
      <c r="CV658" s="36"/>
      <c r="CW658" s="36"/>
      <c r="CX658" s="36"/>
      <c r="CY658" s="36"/>
      <c r="CZ658" s="36"/>
      <c r="DA658" s="36"/>
      <c r="DB658" s="36"/>
      <c r="DC658" s="36"/>
      <c r="DD658" s="36"/>
      <c r="DE658" s="36"/>
      <c r="DF658" s="36"/>
      <c r="DG658" s="36"/>
      <c r="DH658" s="36"/>
      <c r="DI658" s="36"/>
      <c r="DJ658" s="36"/>
      <c r="DK658" s="36"/>
      <c r="DL658" s="36"/>
      <c r="DM658" s="36"/>
      <c r="DN658" s="36"/>
    </row>
    <row r="659" spans="1:169" s="1" customFormat="1" ht="15.6" x14ac:dyDescent="0.3">
      <c r="A659" s="36"/>
      <c r="B659" s="56"/>
      <c r="C659" s="56"/>
      <c r="D659" s="40"/>
      <c r="E659" s="50"/>
      <c r="F659" s="146"/>
      <c r="G659" s="16"/>
      <c r="H659" s="16"/>
      <c r="I659" s="29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  <c r="CN659" s="36"/>
      <c r="CO659" s="36"/>
      <c r="CP659" s="36"/>
      <c r="CQ659" s="36"/>
      <c r="CR659" s="36"/>
      <c r="CS659" s="36"/>
      <c r="CT659" s="36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6"/>
      <c r="DL659" s="36"/>
      <c r="DM659" s="36"/>
      <c r="DN659" s="36"/>
    </row>
    <row r="660" spans="1:169" s="1" customFormat="1" ht="15.6" x14ac:dyDescent="0.3">
      <c r="A660" s="36"/>
      <c r="B660" s="56"/>
      <c r="C660" s="56"/>
      <c r="D660" s="40"/>
      <c r="E660" s="50"/>
      <c r="F660" s="146"/>
      <c r="G660" s="16"/>
      <c r="H660" s="16"/>
      <c r="I660" s="29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  <c r="BW660" s="36"/>
      <c r="BX660" s="36"/>
      <c r="BY660" s="36"/>
      <c r="BZ660" s="36"/>
      <c r="CA660" s="36"/>
      <c r="CB660" s="36"/>
      <c r="CC660" s="36"/>
      <c r="CD660" s="36"/>
      <c r="CE660" s="36"/>
      <c r="CF660" s="36"/>
      <c r="CG660" s="36"/>
      <c r="CH660" s="36"/>
      <c r="CI660" s="36"/>
      <c r="CJ660" s="36"/>
      <c r="CK660" s="36"/>
      <c r="CL660" s="36"/>
      <c r="CM660" s="36"/>
      <c r="CN660" s="36"/>
      <c r="CO660" s="36"/>
      <c r="CP660" s="36"/>
      <c r="CQ660" s="36"/>
      <c r="CR660" s="36"/>
      <c r="CS660" s="36"/>
      <c r="CT660" s="36"/>
      <c r="CU660" s="36"/>
      <c r="CV660" s="36"/>
      <c r="CW660" s="36"/>
      <c r="CX660" s="36"/>
      <c r="CY660" s="36"/>
      <c r="CZ660" s="36"/>
      <c r="DA660" s="36"/>
      <c r="DB660" s="36"/>
      <c r="DC660" s="36"/>
      <c r="DD660" s="36"/>
      <c r="DE660" s="36"/>
      <c r="DF660" s="36"/>
      <c r="DG660" s="36"/>
      <c r="DH660" s="36"/>
      <c r="DI660" s="36"/>
      <c r="DJ660" s="36"/>
      <c r="DK660" s="36"/>
      <c r="DL660" s="36"/>
      <c r="DM660" s="36"/>
      <c r="DN660" s="36"/>
    </row>
    <row r="661" spans="1:169" s="1" customFormat="1" ht="15.6" x14ac:dyDescent="0.3">
      <c r="A661" s="36"/>
      <c r="B661" s="56"/>
      <c r="C661" s="56"/>
      <c r="D661" s="40"/>
      <c r="E661" s="50"/>
      <c r="F661" s="146"/>
      <c r="G661" s="16"/>
      <c r="H661" s="16"/>
      <c r="I661" s="29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  <c r="BS661" s="36"/>
      <c r="BT661" s="36"/>
      <c r="BU661" s="36"/>
      <c r="BV661" s="36"/>
      <c r="BW661" s="36"/>
      <c r="BX661" s="36"/>
      <c r="BY661" s="36"/>
      <c r="BZ661" s="36"/>
      <c r="CA661" s="36"/>
      <c r="CB661" s="36"/>
      <c r="CC661" s="36"/>
      <c r="CD661" s="36"/>
      <c r="CE661" s="36"/>
      <c r="CF661" s="36"/>
      <c r="CG661" s="36"/>
      <c r="CH661" s="36"/>
      <c r="CI661" s="36"/>
      <c r="CJ661" s="36"/>
      <c r="CK661" s="36"/>
      <c r="CL661" s="36"/>
      <c r="CM661" s="36"/>
      <c r="CN661" s="36"/>
      <c r="CO661" s="36"/>
      <c r="CP661" s="36"/>
      <c r="CQ661" s="36"/>
      <c r="CR661" s="36"/>
      <c r="CS661" s="36"/>
      <c r="CT661" s="36"/>
      <c r="CU661" s="36"/>
      <c r="CV661" s="36"/>
      <c r="CW661" s="36"/>
      <c r="CX661" s="36"/>
      <c r="CY661" s="36"/>
      <c r="CZ661" s="36"/>
      <c r="DA661" s="36"/>
      <c r="DB661" s="36"/>
      <c r="DC661" s="36"/>
      <c r="DD661" s="36"/>
      <c r="DE661" s="36"/>
      <c r="DF661" s="36"/>
      <c r="DG661" s="36"/>
      <c r="DH661" s="36"/>
      <c r="DI661" s="36"/>
      <c r="DJ661" s="36"/>
      <c r="DK661" s="36"/>
      <c r="DL661" s="36"/>
      <c r="DM661" s="36"/>
      <c r="DN661" s="36"/>
    </row>
    <row r="662" spans="1:169" s="1" customFormat="1" ht="15.6" x14ac:dyDescent="0.3">
      <c r="A662" s="36"/>
      <c r="B662" s="56"/>
      <c r="C662" s="56"/>
      <c r="D662" s="40"/>
      <c r="E662" s="50"/>
      <c r="F662" s="146"/>
      <c r="G662" s="16"/>
      <c r="H662" s="16"/>
      <c r="I662" s="29"/>
      <c r="J662" s="45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  <c r="BW662" s="36"/>
      <c r="BX662" s="36"/>
      <c r="BY662" s="36"/>
      <c r="BZ662" s="36"/>
      <c r="CA662" s="36"/>
      <c r="CB662" s="36"/>
      <c r="CC662" s="36"/>
      <c r="CD662" s="36"/>
      <c r="CE662" s="36"/>
      <c r="CF662" s="36"/>
      <c r="CG662" s="36"/>
      <c r="CH662" s="36"/>
      <c r="CI662" s="36"/>
      <c r="CJ662" s="36"/>
      <c r="CK662" s="36"/>
      <c r="CL662" s="36"/>
      <c r="CM662" s="36"/>
      <c r="CN662" s="36"/>
      <c r="CO662" s="36"/>
      <c r="CP662" s="36"/>
      <c r="CQ662" s="36"/>
      <c r="CR662" s="36"/>
      <c r="CS662" s="36"/>
      <c r="CT662" s="36"/>
      <c r="CU662" s="36"/>
      <c r="CV662" s="36"/>
      <c r="CW662" s="36"/>
      <c r="CX662" s="36"/>
      <c r="CY662" s="36"/>
      <c r="CZ662" s="36"/>
      <c r="DA662" s="36"/>
      <c r="DB662" s="36"/>
      <c r="DC662" s="36"/>
      <c r="DD662" s="36"/>
      <c r="DE662" s="36"/>
      <c r="DF662" s="36"/>
      <c r="DG662" s="36"/>
      <c r="DH662" s="36"/>
      <c r="DI662" s="36"/>
      <c r="DJ662" s="36"/>
      <c r="DK662" s="36"/>
      <c r="DL662" s="36"/>
      <c r="DM662" s="36"/>
      <c r="DN662" s="36"/>
    </row>
    <row r="663" spans="1:169" s="1" customFormat="1" ht="15.6" x14ac:dyDescent="0.3">
      <c r="A663" s="36"/>
      <c r="B663" s="56"/>
      <c r="C663" s="56"/>
      <c r="D663" s="40"/>
      <c r="E663" s="50"/>
      <c r="F663" s="146"/>
      <c r="G663" s="16"/>
      <c r="H663" s="16"/>
      <c r="I663" s="29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CL663" s="36"/>
      <c r="CM663" s="36"/>
      <c r="CN663" s="36"/>
      <c r="CO663" s="36"/>
      <c r="CP663" s="36"/>
      <c r="CQ663" s="36"/>
      <c r="CR663" s="36"/>
      <c r="CS663" s="36"/>
      <c r="CT663" s="36"/>
      <c r="CU663" s="36"/>
      <c r="CV663" s="36"/>
      <c r="CW663" s="36"/>
      <c r="CX663" s="36"/>
      <c r="CY663" s="36"/>
      <c r="CZ663" s="36"/>
      <c r="DA663" s="36"/>
      <c r="DB663" s="36"/>
      <c r="DC663" s="36"/>
      <c r="DD663" s="36"/>
      <c r="DE663" s="36"/>
      <c r="DF663" s="36"/>
      <c r="DG663" s="36"/>
      <c r="DH663" s="36"/>
      <c r="DI663" s="36"/>
      <c r="DJ663" s="36"/>
      <c r="DK663" s="36"/>
      <c r="DL663" s="36"/>
      <c r="DM663" s="36"/>
      <c r="DN663" s="36"/>
    </row>
    <row r="664" spans="1:169" s="1" customFormat="1" ht="15.6" x14ac:dyDescent="0.3">
      <c r="A664" s="36"/>
      <c r="B664" s="56"/>
      <c r="C664" s="40"/>
      <c r="D664" s="40"/>
      <c r="E664" s="50"/>
      <c r="F664" s="146"/>
      <c r="G664" s="16"/>
      <c r="H664" s="16"/>
      <c r="I664" s="29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CL664" s="36"/>
      <c r="CM664" s="36"/>
      <c r="CN664" s="36"/>
      <c r="CO664" s="36"/>
      <c r="CP664" s="36"/>
      <c r="CQ664" s="36"/>
      <c r="CR664" s="36"/>
      <c r="CS664" s="36"/>
      <c r="CT664" s="36"/>
      <c r="CU664" s="36"/>
      <c r="CV664" s="36"/>
      <c r="CW664" s="36"/>
      <c r="CX664" s="36"/>
      <c r="CY664" s="36"/>
      <c r="CZ664" s="36"/>
      <c r="DA664" s="36"/>
      <c r="DB664" s="36"/>
      <c r="DC664" s="36"/>
      <c r="DD664" s="36"/>
      <c r="DE664" s="36"/>
      <c r="DF664" s="36"/>
      <c r="DG664" s="36"/>
      <c r="DH664" s="36"/>
      <c r="DI664" s="36"/>
      <c r="DJ664" s="36"/>
      <c r="DK664" s="36"/>
      <c r="DL664" s="36"/>
      <c r="DM664" s="36"/>
      <c r="DN664" s="36"/>
    </row>
    <row r="665" spans="1:169" s="1" customFormat="1" ht="15.6" x14ac:dyDescent="0.3">
      <c r="A665" s="36"/>
      <c r="B665" s="56"/>
      <c r="C665" s="56"/>
      <c r="D665" s="40"/>
      <c r="E665" s="50"/>
      <c r="F665" s="146"/>
      <c r="G665" s="16"/>
      <c r="H665" s="16"/>
      <c r="I665" s="29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  <c r="BS665" s="36"/>
      <c r="BT665" s="36"/>
      <c r="BU665" s="36"/>
      <c r="BV665" s="36"/>
      <c r="BW665" s="36"/>
      <c r="BX665" s="36"/>
      <c r="BY665" s="36"/>
      <c r="BZ665" s="36"/>
      <c r="CA665" s="36"/>
      <c r="CB665" s="36"/>
      <c r="CC665" s="36"/>
      <c r="CD665" s="36"/>
      <c r="CE665" s="36"/>
      <c r="CF665" s="36"/>
      <c r="CG665" s="36"/>
      <c r="CH665" s="36"/>
      <c r="CI665" s="36"/>
      <c r="CJ665" s="36"/>
      <c r="CK665" s="36"/>
      <c r="CL665" s="36"/>
      <c r="CM665" s="36"/>
      <c r="CN665" s="36"/>
      <c r="CO665" s="36"/>
      <c r="CP665" s="36"/>
      <c r="CQ665" s="36"/>
      <c r="CR665" s="36"/>
      <c r="CS665" s="36"/>
      <c r="CT665" s="36"/>
      <c r="CU665" s="36"/>
      <c r="CV665" s="36"/>
      <c r="CW665" s="36"/>
      <c r="CX665" s="36"/>
      <c r="CY665" s="36"/>
      <c r="CZ665" s="36"/>
      <c r="DA665" s="36"/>
      <c r="DB665" s="36"/>
      <c r="DC665" s="36"/>
      <c r="DD665" s="36"/>
      <c r="DE665" s="36"/>
      <c r="DF665" s="36"/>
      <c r="DG665" s="36"/>
      <c r="DH665" s="36"/>
      <c r="DI665" s="36"/>
      <c r="DJ665" s="36"/>
      <c r="DK665" s="36"/>
      <c r="DL665" s="36"/>
      <c r="DM665" s="36"/>
      <c r="DN665" s="36"/>
    </row>
    <row r="666" spans="1:169" s="1" customFormat="1" ht="15.6" x14ac:dyDescent="0.3">
      <c r="A666" s="36"/>
      <c r="B666" s="56"/>
      <c r="C666" s="56"/>
      <c r="D666" s="40"/>
      <c r="E666" s="50"/>
      <c r="F666" s="146"/>
      <c r="G666" s="16"/>
      <c r="H666" s="16"/>
      <c r="I666" s="29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  <c r="BW666" s="36"/>
      <c r="BX666" s="36"/>
      <c r="BY666" s="36"/>
      <c r="BZ666" s="36"/>
      <c r="CA666" s="36"/>
      <c r="CB666" s="36"/>
      <c r="CC666" s="36"/>
      <c r="CD666" s="36"/>
      <c r="CE666" s="36"/>
      <c r="CF666" s="36"/>
      <c r="CG666" s="36"/>
      <c r="CH666" s="36"/>
      <c r="CI666" s="36"/>
      <c r="CJ666" s="36"/>
      <c r="CK666" s="36"/>
      <c r="CL666" s="36"/>
      <c r="CM666" s="36"/>
      <c r="CN666" s="36"/>
      <c r="CO666" s="36"/>
      <c r="CP666" s="36"/>
      <c r="CQ666" s="36"/>
      <c r="CR666" s="36"/>
      <c r="CS666" s="36"/>
      <c r="CT666" s="36"/>
      <c r="CU666" s="36"/>
      <c r="CV666" s="36"/>
      <c r="CW666" s="36"/>
      <c r="CX666" s="36"/>
      <c r="CY666" s="36"/>
      <c r="CZ666" s="36"/>
      <c r="DA666" s="36"/>
      <c r="DB666" s="36"/>
      <c r="DC666" s="36"/>
      <c r="DD666" s="36"/>
      <c r="DE666" s="36"/>
      <c r="DF666" s="36"/>
      <c r="DG666" s="36"/>
      <c r="DH666" s="36"/>
      <c r="DI666" s="36"/>
      <c r="DJ666" s="36"/>
      <c r="DK666" s="36"/>
      <c r="DL666" s="36"/>
      <c r="DM666" s="36"/>
      <c r="DN666" s="36"/>
    </row>
    <row r="667" spans="1:169" s="1" customFormat="1" ht="15.6" x14ac:dyDescent="0.3">
      <c r="A667" s="36"/>
      <c r="B667" s="56"/>
      <c r="C667" s="56"/>
      <c r="D667" s="40"/>
      <c r="E667" s="50"/>
      <c r="F667" s="146"/>
      <c r="G667" s="16"/>
      <c r="H667" s="16"/>
      <c r="I667" s="29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CL667" s="36"/>
      <c r="CM667" s="36"/>
      <c r="CN667" s="36"/>
      <c r="CO667" s="36"/>
      <c r="CP667" s="36"/>
      <c r="CQ667" s="36"/>
      <c r="CR667" s="36"/>
      <c r="CS667" s="36"/>
      <c r="CT667" s="36"/>
      <c r="CU667" s="36"/>
      <c r="CV667" s="36"/>
      <c r="CW667" s="36"/>
      <c r="CX667" s="36"/>
      <c r="CY667" s="36"/>
      <c r="CZ667" s="36"/>
      <c r="DA667" s="36"/>
      <c r="DB667" s="36"/>
      <c r="DC667" s="36"/>
      <c r="DD667" s="36"/>
      <c r="DE667" s="36"/>
      <c r="DF667" s="36"/>
      <c r="DG667" s="36"/>
      <c r="DH667" s="36"/>
      <c r="DI667" s="36"/>
      <c r="DJ667" s="36"/>
      <c r="DK667" s="36"/>
      <c r="DL667" s="36"/>
      <c r="DM667" s="36"/>
      <c r="DN667" s="36"/>
    </row>
    <row r="668" spans="1:169" s="1" customFormat="1" ht="15.6" x14ac:dyDescent="0.3">
      <c r="A668" s="36"/>
      <c r="B668" s="56"/>
      <c r="C668" s="56"/>
      <c r="D668" s="56"/>
      <c r="E668" s="50"/>
      <c r="F668" s="146"/>
      <c r="G668" s="16"/>
      <c r="H668" s="16"/>
      <c r="I668" s="29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  <c r="BS668" s="36"/>
      <c r="BT668" s="36"/>
      <c r="BU668" s="36"/>
      <c r="BV668" s="36"/>
      <c r="BW668" s="36"/>
      <c r="BX668" s="36"/>
      <c r="BY668" s="36"/>
      <c r="BZ668" s="36"/>
      <c r="CA668" s="36"/>
      <c r="CB668" s="36"/>
      <c r="CC668" s="36"/>
      <c r="CD668" s="36"/>
      <c r="CE668" s="36"/>
      <c r="CF668" s="36"/>
      <c r="CG668" s="36"/>
      <c r="CH668" s="36"/>
      <c r="CI668" s="36"/>
      <c r="CJ668" s="36"/>
      <c r="CK668" s="36"/>
      <c r="CL668" s="36"/>
      <c r="CM668" s="36"/>
      <c r="CN668" s="36"/>
      <c r="CO668" s="36"/>
      <c r="CP668" s="36"/>
      <c r="CQ668" s="36"/>
      <c r="CR668" s="36"/>
      <c r="CS668" s="36"/>
      <c r="CT668" s="36"/>
      <c r="CU668" s="36"/>
      <c r="CV668" s="36"/>
      <c r="CW668" s="36"/>
      <c r="CX668" s="36"/>
      <c r="CY668" s="36"/>
      <c r="CZ668" s="36"/>
      <c r="DA668" s="36"/>
      <c r="DB668" s="36"/>
      <c r="DC668" s="36"/>
      <c r="DD668" s="36"/>
      <c r="DE668" s="36"/>
      <c r="DF668" s="36"/>
      <c r="DG668" s="36"/>
      <c r="DH668" s="36"/>
      <c r="DI668" s="36"/>
      <c r="DJ668" s="36"/>
      <c r="DK668" s="36"/>
      <c r="DL668" s="36"/>
      <c r="DM668" s="36"/>
      <c r="DN668" s="36"/>
    </row>
    <row r="669" spans="1:169" s="1" customFormat="1" ht="15.6" x14ac:dyDescent="0.3">
      <c r="A669" s="36"/>
      <c r="B669" s="56"/>
      <c r="C669" s="56"/>
      <c r="D669" s="40"/>
      <c r="E669" s="50"/>
      <c r="F669" s="146"/>
      <c r="G669" s="16"/>
      <c r="H669" s="16"/>
      <c r="I669" s="29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  <c r="BW669" s="36"/>
      <c r="BX669" s="36"/>
      <c r="BY669" s="36"/>
      <c r="BZ669" s="36"/>
      <c r="CA669" s="36"/>
      <c r="CB669" s="36"/>
      <c r="CC669" s="36"/>
      <c r="CD669" s="36"/>
      <c r="CE669" s="36"/>
      <c r="CF669" s="36"/>
      <c r="CG669" s="36"/>
      <c r="CH669" s="36"/>
      <c r="CI669" s="36"/>
      <c r="CJ669" s="36"/>
      <c r="CK669" s="36"/>
      <c r="CL669" s="36"/>
      <c r="CM669" s="36"/>
      <c r="CN669" s="36"/>
      <c r="CO669" s="36"/>
      <c r="CP669" s="36"/>
      <c r="CQ669" s="36"/>
      <c r="CR669" s="36"/>
      <c r="CS669" s="36"/>
      <c r="CT669" s="36"/>
      <c r="CU669" s="36"/>
      <c r="CV669" s="36"/>
      <c r="CW669" s="36"/>
      <c r="CX669" s="36"/>
      <c r="CY669" s="36"/>
      <c r="CZ669" s="36"/>
      <c r="DA669" s="36"/>
      <c r="DB669" s="36"/>
      <c r="DC669" s="36"/>
      <c r="DD669" s="36"/>
      <c r="DE669" s="36"/>
      <c r="DF669" s="36"/>
      <c r="DG669" s="36"/>
      <c r="DH669" s="36"/>
      <c r="DI669" s="36"/>
      <c r="DJ669" s="36"/>
      <c r="DK669" s="36"/>
      <c r="DL669" s="36"/>
      <c r="DM669" s="36"/>
      <c r="DN669" s="36"/>
    </row>
    <row r="670" spans="1:169" s="1" customFormat="1" ht="15.6" x14ac:dyDescent="0.3">
      <c r="A670" s="36"/>
      <c r="B670" s="56"/>
      <c r="C670" s="40"/>
      <c r="D670" s="40"/>
      <c r="E670" s="50"/>
      <c r="F670" s="146"/>
      <c r="G670" s="16"/>
      <c r="H670" s="16"/>
      <c r="I670" s="29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  <c r="BW670" s="36"/>
      <c r="BX670" s="36"/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/>
      <c r="CK670" s="36"/>
      <c r="CL670" s="36"/>
      <c r="CM670" s="36"/>
      <c r="CN670" s="36"/>
      <c r="CO670" s="36"/>
      <c r="CP670" s="36"/>
      <c r="CQ670" s="36"/>
      <c r="CR670" s="36"/>
      <c r="CS670" s="36"/>
      <c r="CT670" s="36"/>
      <c r="CU670" s="36"/>
      <c r="CV670" s="36"/>
      <c r="CW670" s="36"/>
      <c r="CX670" s="36"/>
      <c r="CY670" s="36"/>
      <c r="CZ670" s="36"/>
      <c r="DA670" s="36"/>
      <c r="DB670" s="36"/>
      <c r="DC670" s="36"/>
      <c r="DD670" s="36"/>
      <c r="DE670" s="36"/>
      <c r="DF670" s="36"/>
      <c r="DG670" s="36"/>
      <c r="DH670" s="36"/>
      <c r="DI670" s="36"/>
      <c r="DJ670" s="36"/>
      <c r="DK670" s="36"/>
      <c r="DL670" s="36"/>
      <c r="DM670" s="36"/>
      <c r="DN670" s="36"/>
    </row>
    <row r="671" spans="1:169" s="2" customFormat="1" ht="15.6" x14ac:dyDescent="0.3">
      <c r="A671" s="36"/>
      <c r="B671" s="56"/>
      <c r="C671" s="40"/>
      <c r="D671" s="40"/>
      <c r="E671" s="50"/>
      <c r="F671" s="146"/>
      <c r="G671" s="16"/>
      <c r="H671" s="16"/>
      <c r="I671" s="29"/>
      <c r="J671" s="43"/>
      <c r="K671" s="35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  <c r="CC671" s="51"/>
      <c r="CD671" s="51"/>
      <c r="CE671" s="51"/>
      <c r="CF671" s="51"/>
      <c r="CG671" s="51"/>
      <c r="CH671" s="51"/>
      <c r="CI671" s="51"/>
      <c r="CJ671" s="51"/>
      <c r="CK671" s="51"/>
      <c r="CL671" s="51"/>
      <c r="CM671" s="51"/>
      <c r="CN671" s="51"/>
      <c r="CO671" s="51"/>
      <c r="CP671" s="51"/>
      <c r="CQ671" s="51"/>
      <c r="CR671" s="51"/>
      <c r="CS671" s="51"/>
      <c r="CT671" s="51"/>
      <c r="CU671" s="51"/>
      <c r="CV671" s="51"/>
      <c r="CW671" s="51"/>
      <c r="CX671" s="51"/>
      <c r="CY671" s="51"/>
      <c r="CZ671" s="51"/>
      <c r="DA671" s="51"/>
      <c r="DB671" s="51"/>
      <c r="DC671" s="51"/>
      <c r="DD671" s="51"/>
      <c r="DE671" s="51"/>
      <c r="DF671" s="51"/>
      <c r="DG671" s="51"/>
      <c r="DH671" s="51"/>
      <c r="DI671" s="51"/>
      <c r="DJ671" s="51"/>
      <c r="DK671" s="51"/>
      <c r="DL671" s="51"/>
      <c r="DM671" s="51"/>
      <c r="DN671" s="51"/>
    </row>
    <row r="672" spans="1:169" s="1" customFormat="1" ht="15.6" x14ac:dyDescent="0.3">
      <c r="A672" s="35"/>
      <c r="B672" s="57"/>
      <c r="C672" s="58"/>
      <c r="D672" s="58"/>
      <c r="E672" s="50"/>
      <c r="F672" s="151"/>
      <c r="G672" s="16"/>
      <c r="H672" s="16"/>
      <c r="I672" s="29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CL672" s="36"/>
      <c r="CM672" s="36"/>
      <c r="CN672" s="36"/>
      <c r="CO672" s="36"/>
      <c r="CP672" s="36"/>
      <c r="CQ672" s="36"/>
      <c r="CR672" s="36"/>
      <c r="CS672" s="36"/>
      <c r="CT672" s="36"/>
      <c r="CU672" s="36"/>
      <c r="CV672" s="36"/>
      <c r="CW672" s="36"/>
      <c r="CX672" s="36"/>
      <c r="CY672" s="36"/>
      <c r="CZ672" s="36"/>
      <c r="DA672" s="36"/>
      <c r="DB672" s="36"/>
      <c r="DC672" s="36"/>
      <c r="DD672" s="36"/>
      <c r="DE672" s="36"/>
      <c r="DF672" s="36"/>
      <c r="DG672" s="36"/>
      <c r="DH672" s="36"/>
      <c r="DI672" s="36"/>
      <c r="DJ672" s="36"/>
      <c r="DK672" s="36"/>
      <c r="DL672" s="36"/>
      <c r="DM672" s="36"/>
      <c r="DN672" s="36"/>
      <c r="DO672" s="38"/>
      <c r="DP672" s="38"/>
      <c r="DQ672" s="38"/>
      <c r="DR672" s="38"/>
      <c r="DS672" s="38"/>
      <c r="DT672" s="38"/>
      <c r="DU672" s="38"/>
      <c r="DV672" s="38"/>
      <c r="DW672" s="38"/>
      <c r="DX672" s="38"/>
      <c r="DY672" s="38"/>
      <c r="DZ672" s="38"/>
      <c r="EA672" s="38"/>
      <c r="EB672" s="38"/>
      <c r="EC672" s="38"/>
      <c r="ED672" s="38"/>
      <c r="EE672" s="38"/>
      <c r="EF672" s="38"/>
      <c r="EG672" s="38"/>
      <c r="EH672" s="38"/>
      <c r="EI672" s="38"/>
      <c r="EJ672" s="38"/>
      <c r="EK672" s="38"/>
      <c r="EL672" s="38"/>
      <c r="EM672" s="38"/>
      <c r="EN672" s="38"/>
      <c r="EO672" s="38"/>
      <c r="EP672" s="38"/>
      <c r="EQ672" s="38"/>
      <c r="ER672" s="38"/>
      <c r="ES672" s="38"/>
      <c r="ET672" s="38"/>
      <c r="EU672" s="38"/>
      <c r="EV672" s="38"/>
      <c r="EW672" s="38"/>
      <c r="EX672" s="38"/>
      <c r="EY672" s="38"/>
      <c r="EZ672" s="38"/>
      <c r="FA672" s="38"/>
      <c r="FB672" s="38"/>
      <c r="FC672" s="38"/>
      <c r="FD672" s="38"/>
      <c r="FE672" s="38"/>
      <c r="FF672" s="38"/>
      <c r="FG672" s="38"/>
      <c r="FH672" s="38"/>
      <c r="FI672" s="38"/>
      <c r="FJ672" s="38"/>
      <c r="FK672" s="38"/>
      <c r="FL672" s="38"/>
      <c r="FM672" s="38"/>
    </row>
    <row r="673" spans="1:169" s="1" customFormat="1" ht="15.6" x14ac:dyDescent="0.3">
      <c r="A673" s="35"/>
      <c r="B673" s="57"/>
      <c r="C673" s="58"/>
      <c r="D673" s="58"/>
      <c r="E673" s="50"/>
      <c r="F673" s="151"/>
      <c r="G673" s="16"/>
      <c r="H673" s="16"/>
      <c r="I673" s="29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  <c r="BS673" s="36"/>
      <c r="BT673" s="36"/>
      <c r="BU673" s="36"/>
      <c r="BV673" s="36"/>
      <c r="BW673" s="36"/>
      <c r="BX673" s="36"/>
      <c r="BY673" s="36"/>
      <c r="BZ673" s="36"/>
      <c r="CA673" s="36"/>
      <c r="CB673" s="36"/>
      <c r="CC673" s="36"/>
      <c r="CD673" s="36"/>
      <c r="CE673" s="36"/>
      <c r="CF673" s="36"/>
      <c r="CG673" s="36"/>
      <c r="CH673" s="36"/>
      <c r="CI673" s="36"/>
      <c r="CJ673" s="36"/>
      <c r="CK673" s="36"/>
      <c r="CL673" s="36"/>
      <c r="CM673" s="36"/>
      <c r="CN673" s="36"/>
      <c r="CO673" s="36"/>
      <c r="CP673" s="36"/>
      <c r="CQ673" s="36"/>
      <c r="CR673" s="36"/>
      <c r="CS673" s="36"/>
      <c r="CT673" s="36"/>
      <c r="CU673" s="36"/>
      <c r="CV673" s="36"/>
      <c r="CW673" s="36"/>
      <c r="CX673" s="36"/>
      <c r="CY673" s="36"/>
      <c r="CZ673" s="36"/>
      <c r="DA673" s="36"/>
      <c r="DB673" s="36"/>
      <c r="DC673" s="36"/>
      <c r="DD673" s="36"/>
      <c r="DE673" s="36"/>
      <c r="DF673" s="36"/>
      <c r="DG673" s="36"/>
      <c r="DH673" s="36"/>
      <c r="DI673" s="36"/>
      <c r="DJ673" s="36"/>
      <c r="DK673" s="36"/>
      <c r="DL673" s="36"/>
      <c r="DM673" s="36"/>
      <c r="DN673" s="36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  <c r="EI673" s="38"/>
      <c r="EJ673" s="38"/>
      <c r="EK673" s="38"/>
      <c r="EL673" s="38"/>
      <c r="EM673" s="38"/>
      <c r="EN673" s="38"/>
      <c r="EO673" s="38"/>
      <c r="EP673" s="38"/>
      <c r="EQ673" s="38"/>
      <c r="ER673" s="38"/>
      <c r="ES673" s="38"/>
      <c r="ET673" s="38"/>
      <c r="EU673" s="38"/>
      <c r="EV673" s="38"/>
      <c r="EW673" s="38"/>
      <c r="EX673" s="38"/>
      <c r="EY673" s="38"/>
      <c r="EZ673" s="38"/>
      <c r="FA673" s="38"/>
      <c r="FB673" s="38"/>
      <c r="FC673" s="38"/>
      <c r="FD673" s="38"/>
      <c r="FE673" s="38"/>
      <c r="FF673" s="38"/>
      <c r="FG673" s="38"/>
      <c r="FH673" s="38"/>
      <c r="FI673" s="38"/>
      <c r="FJ673" s="38"/>
      <c r="FK673" s="38"/>
      <c r="FL673" s="38"/>
      <c r="FM673" s="38"/>
    </row>
    <row r="674" spans="1:169" s="1" customFormat="1" ht="15.6" x14ac:dyDescent="0.3">
      <c r="A674" s="35"/>
      <c r="B674" s="57"/>
      <c r="C674" s="58"/>
      <c r="D674" s="58"/>
      <c r="E674" s="50"/>
      <c r="F674" s="151"/>
      <c r="G674" s="16"/>
      <c r="H674" s="16"/>
      <c r="I674" s="29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/>
      <c r="CE674" s="36"/>
      <c r="CF674" s="36"/>
      <c r="CG674" s="36"/>
      <c r="CH674" s="36"/>
      <c r="CI674" s="36"/>
      <c r="CJ674" s="36"/>
      <c r="CK674" s="36"/>
      <c r="CL674" s="36"/>
      <c r="CM674" s="36"/>
      <c r="CN674" s="36"/>
      <c r="CO674" s="36"/>
      <c r="CP674" s="36"/>
      <c r="CQ674" s="36"/>
      <c r="CR674" s="36"/>
      <c r="CS674" s="36"/>
      <c r="CT674" s="36"/>
      <c r="CU674" s="36"/>
      <c r="CV674" s="36"/>
      <c r="CW674" s="36"/>
      <c r="CX674" s="36"/>
      <c r="CY674" s="36"/>
      <c r="CZ674" s="36"/>
      <c r="DA674" s="36"/>
      <c r="DB674" s="36"/>
      <c r="DC674" s="36"/>
      <c r="DD674" s="36"/>
      <c r="DE674" s="36"/>
      <c r="DF674" s="36"/>
      <c r="DG674" s="36"/>
      <c r="DH674" s="36"/>
      <c r="DI674" s="36"/>
      <c r="DJ674" s="36"/>
      <c r="DK674" s="36"/>
      <c r="DL674" s="36"/>
      <c r="DM674" s="36"/>
      <c r="DN674" s="36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  <c r="EI674" s="38"/>
      <c r="EJ674" s="38"/>
      <c r="EK674" s="38"/>
      <c r="EL674" s="38"/>
      <c r="EM674" s="38"/>
      <c r="EN674" s="38"/>
      <c r="EO674" s="38"/>
      <c r="EP674" s="38"/>
      <c r="EQ674" s="38"/>
      <c r="ER674" s="38"/>
      <c r="ES674" s="38"/>
      <c r="ET674" s="38"/>
      <c r="EU674" s="38"/>
      <c r="EV674" s="38"/>
      <c r="EW674" s="38"/>
      <c r="EX674" s="38"/>
      <c r="EY674" s="38"/>
      <c r="EZ674" s="38"/>
      <c r="FA674" s="38"/>
      <c r="FB674" s="38"/>
      <c r="FC674" s="38"/>
      <c r="FD674" s="38"/>
      <c r="FE674" s="38"/>
      <c r="FF674" s="38"/>
      <c r="FG674" s="38"/>
      <c r="FH674" s="38"/>
      <c r="FI674" s="38"/>
      <c r="FJ674" s="38"/>
      <c r="FK674" s="38"/>
      <c r="FL674" s="38"/>
      <c r="FM674" s="38"/>
    </row>
    <row r="675" spans="1:169" s="3" customFormat="1" ht="15.6" x14ac:dyDescent="0.3">
      <c r="A675" s="36"/>
      <c r="B675" s="49"/>
      <c r="C675" s="49"/>
      <c r="D675" s="49"/>
      <c r="E675" s="69"/>
      <c r="F675" s="146"/>
      <c r="G675" s="16"/>
      <c r="H675" s="16"/>
      <c r="I675" s="29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  <c r="BW675" s="36"/>
      <c r="BX675" s="36"/>
      <c r="BY675" s="36"/>
      <c r="BZ675" s="36"/>
      <c r="CA675" s="36"/>
      <c r="CB675" s="36"/>
      <c r="CC675" s="36"/>
      <c r="CD675" s="36"/>
      <c r="CE675" s="36"/>
      <c r="CF675" s="36"/>
      <c r="CG675" s="36"/>
      <c r="CH675" s="36"/>
      <c r="CI675" s="36"/>
      <c r="CJ675" s="36"/>
      <c r="CK675" s="36"/>
      <c r="CL675" s="36"/>
      <c r="CM675" s="36"/>
      <c r="CN675" s="36"/>
      <c r="CO675" s="36"/>
      <c r="CP675" s="36"/>
      <c r="CQ675" s="36"/>
      <c r="CR675" s="36"/>
      <c r="CS675" s="36"/>
      <c r="CT675" s="36"/>
      <c r="CU675" s="36"/>
      <c r="CV675" s="36"/>
      <c r="CW675" s="36"/>
      <c r="CX675" s="36"/>
      <c r="CY675" s="36"/>
      <c r="CZ675" s="36"/>
      <c r="DA675" s="36"/>
      <c r="DB675" s="36"/>
      <c r="DC675" s="36"/>
      <c r="DD675" s="36"/>
      <c r="DE675" s="36"/>
      <c r="DF675" s="36"/>
      <c r="DG675" s="36"/>
      <c r="DH675" s="36"/>
      <c r="DI675" s="36"/>
      <c r="DJ675" s="36"/>
      <c r="DK675" s="36"/>
      <c r="DL675" s="36"/>
      <c r="DM675" s="36"/>
      <c r="DN675" s="36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  <c r="DY675" s="39"/>
      <c r="DZ675" s="39"/>
      <c r="EA675" s="39"/>
      <c r="EB675" s="39"/>
      <c r="EC675" s="39"/>
      <c r="ED675" s="39"/>
      <c r="EE675" s="39"/>
      <c r="EF675" s="39"/>
      <c r="EG675" s="39"/>
      <c r="EH675" s="39"/>
      <c r="EI675" s="39"/>
      <c r="EJ675" s="39"/>
      <c r="EK675" s="39"/>
      <c r="EL675" s="39"/>
      <c r="EM675" s="39"/>
      <c r="EN675" s="39"/>
      <c r="EO675" s="39"/>
      <c r="EP675" s="39"/>
      <c r="EQ675" s="39"/>
      <c r="ER675" s="39"/>
      <c r="ES675" s="39"/>
      <c r="ET675" s="39"/>
      <c r="EU675" s="39"/>
      <c r="EV675" s="39"/>
      <c r="EW675" s="39"/>
      <c r="EX675" s="39"/>
      <c r="EY675" s="39"/>
      <c r="EZ675" s="39"/>
      <c r="FA675" s="39"/>
      <c r="FB675" s="39"/>
      <c r="FC675" s="39"/>
      <c r="FD675" s="39"/>
      <c r="FE675" s="39"/>
      <c r="FF675" s="39"/>
      <c r="FG675" s="39"/>
      <c r="FH675" s="39"/>
      <c r="FI675" s="39"/>
      <c r="FJ675" s="39"/>
      <c r="FK675" s="39"/>
      <c r="FL675" s="39"/>
      <c r="FM675" s="39"/>
    </row>
    <row r="676" spans="1:169" s="1" customFormat="1" ht="15.6" x14ac:dyDescent="0.3">
      <c r="A676" s="35"/>
      <c r="B676" s="57"/>
      <c r="C676" s="58"/>
      <c r="D676" s="58"/>
      <c r="E676" s="50"/>
      <c r="F676" s="151"/>
      <c r="G676" s="16"/>
      <c r="H676" s="16"/>
      <c r="I676" s="29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  <c r="BW676" s="36"/>
      <c r="BX676" s="36"/>
      <c r="BY676" s="36"/>
      <c r="BZ676" s="36"/>
      <c r="CA676" s="36"/>
      <c r="CB676" s="36"/>
      <c r="CC676" s="36"/>
      <c r="CD676" s="36"/>
      <c r="CE676" s="36"/>
      <c r="CF676" s="36"/>
      <c r="CG676" s="36"/>
      <c r="CH676" s="36"/>
      <c r="CI676" s="36"/>
      <c r="CJ676" s="36"/>
      <c r="CK676" s="36"/>
      <c r="CL676" s="36"/>
      <c r="CM676" s="36"/>
      <c r="CN676" s="36"/>
      <c r="CO676" s="36"/>
      <c r="CP676" s="36"/>
      <c r="CQ676" s="36"/>
      <c r="CR676" s="36"/>
      <c r="CS676" s="36"/>
      <c r="CT676" s="36"/>
      <c r="CU676" s="36"/>
      <c r="CV676" s="36"/>
      <c r="CW676" s="36"/>
      <c r="CX676" s="36"/>
      <c r="CY676" s="36"/>
      <c r="CZ676" s="36"/>
      <c r="DA676" s="36"/>
      <c r="DB676" s="36"/>
      <c r="DC676" s="36"/>
      <c r="DD676" s="36"/>
      <c r="DE676" s="36"/>
      <c r="DF676" s="36"/>
      <c r="DG676" s="36"/>
      <c r="DH676" s="36"/>
      <c r="DI676" s="36"/>
      <c r="DJ676" s="36"/>
      <c r="DK676" s="36"/>
      <c r="DL676" s="36"/>
      <c r="DM676" s="36"/>
      <c r="DN676" s="36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  <c r="EI676" s="38"/>
      <c r="EJ676" s="38"/>
      <c r="EK676" s="38"/>
      <c r="EL676" s="38"/>
      <c r="EM676" s="38"/>
      <c r="EN676" s="38"/>
      <c r="EO676" s="38"/>
      <c r="EP676" s="38"/>
      <c r="EQ676" s="38"/>
      <c r="ER676" s="38"/>
      <c r="ES676" s="38"/>
      <c r="ET676" s="38"/>
      <c r="EU676" s="38"/>
      <c r="EV676" s="38"/>
      <c r="EW676" s="38"/>
      <c r="EX676" s="38"/>
      <c r="EY676" s="38"/>
      <c r="EZ676" s="38"/>
      <c r="FA676" s="38"/>
      <c r="FB676" s="38"/>
      <c r="FC676" s="38"/>
      <c r="FD676" s="38"/>
      <c r="FE676" s="38"/>
      <c r="FF676" s="38"/>
      <c r="FG676" s="38"/>
      <c r="FH676" s="38"/>
      <c r="FI676" s="38"/>
      <c r="FJ676" s="38"/>
      <c r="FK676" s="38"/>
      <c r="FL676" s="38"/>
      <c r="FM676" s="38"/>
    </row>
    <row r="677" spans="1:169" s="1" customFormat="1" ht="15.6" x14ac:dyDescent="0.3">
      <c r="A677" s="35"/>
      <c r="B677" s="57"/>
      <c r="C677" s="58"/>
      <c r="D677" s="58"/>
      <c r="E677" s="50"/>
      <c r="F677" s="151"/>
      <c r="G677" s="16"/>
      <c r="H677" s="16"/>
      <c r="I677" s="29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CL677" s="36"/>
      <c r="CM677" s="36"/>
      <c r="CN677" s="36"/>
      <c r="CO677" s="36"/>
      <c r="CP677" s="36"/>
      <c r="CQ677" s="36"/>
      <c r="CR677" s="36"/>
      <c r="CS677" s="36"/>
      <c r="CT677" s="36"/>
      <c r="CU677" s="36"/>
      <c r="CV677" s="36"/>
      <c r="CW677" s="36"/>
      <c r="CX677" s="36"/>
      <c r="CY677" s="36"/>
      <c r="CZ677" s="36"/>
      <c r="DA677" s="36"/>
      <c r="DB677" s="36"/>
      <c r="DC677" s="36"/>
      <c r="DD677" s="36"/>
      <c r="DE677" s="36"/>
      <c r="DF677" s="36"/>
      <c r="DG677" s="36"/>
      <c r="DH677" s="36"/>
      <c r="DI677" s="36"/>
      <c r="DJ677" s="36"/>
      <c r="DK677" s="36"/>
      <c r="DL677" s="36"/>
      <c r="DM677" s="36"/>
      <c r="DN677" s="36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  <c r="EI677" s="38"/>
      <c r="EJ677" s="38"/>
      <c r="EK677" s="38"/>
      <c r="EL677" s="38"/>
      <c r="EM677" s="38"/>
      <c r="EN677" s="38"/>
      <c r="EO677" s="38"/>
      <c r="EP677" s="38"/>
      <c r="EQ677" s="38"/>
      <c r="ER677" s="38"/>
      <c r="ES677" s="38"/>
      <c r="ET677" s="38"/>
      <c r="EU677" s="38"/>
      <c r="EV677" s="38"/>
      <c r="EW677" s="38"/>
      <c r="EX677" s="38"/>
      <c r="EY677" s="38"/>
      <c r="EZ677" s="38"/>
      <c r="FA677" s="38"/>
      <c r="FB677" s="38"/>
      <c r="FC677" s="38"/>
      <c r="FD677" s="38"/>
      <c r="FE677" s="38"/>
      <c r="FF677" s="38"/>
      <c r="FG677" s="38"/>
      <c r="FH677" s="38"/>
      <c r="FI677" s="38"/>
      <c r="FJ677" s="38"/>
      <c r="FK677" s="38"/>
      <c r="FL677" s="38"/>
      <c r="FM677" s="38"/>
    </row>
    <row r="678" spans="1:169" s="1" customFormat="1" ht="15.6" x14ac:dyDescent="0.3">
      <c r="A678" s="35"/>
      <c r="B678" s="57"/>
      <c r="C678" s="58"/>
      <c r="D678" s="58"/>
      <c r="E678" s="50"/>
      <c r="F678" s="151"/>
      <c r="G678" s="16"/>
      <c r="H678" s="16"/>
      <c r="I678" s="29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  <c r="BW678" s="36"/>
      <c r="BX678" s="36"/>
      <c r="BY678" s="36"/>
      <c r="BZ678" s="36"/>
      <c r="CA678" s="36"/>
      <c r="CB678" s="36"/>
      <c r="CC678" s="36"/>
      <c r="CD678" s="36"/>
      <c r="CE678" s="36"/>
      <c r="CF678" s="36"/>
      <c r="CG678" s="36"/>
      <c r="CH678" s="36"/>
      <c r="CI678" s="36"/>
      <c r="CJ678" s="36"/>
      <c r="CK678" s="36"/>
      <c r="CL678" s="36"/>
      <c r="CM678" s="36"/>
      <c r="CN678" s="36"/>
      <c r="CO678" s="36"/>
      <c r="CP678" s="36"/>
      <c r="CQ678" s="36"/>
      <c r="CR678" s="36"/>
      <c r="CS678" s="36"/>
      <c r="CT678" s="36"/>
      <c r="CU678" s="36"/>
      <c r="CV678" s="36"/>
      <c r="CW678" s="36"/>
      <c r="CX678" s="36"/>
      <c r="CY678" s="36"/>
      <c r="CZ678" s="36"/>
      <c r="DA678" s="36"/>
      <c r="DB678" s="36"/>
      <c r="DC678" s="36"/>
      <c r="DD678" s="36"/>
      <c r="DE678" s="36"/>
      <c r="DF678" s="36"/>
      <c r="DG678" s="36"/>
      <c r="DH678" s="36"/>
      <c r="DI678" s="36"/>
      <c r="DJ678" s="36"/>
      <c r="DK678" s="36"/>
      <c r="DL678" s="36"/>
      <c r="DM678" s="36"/>
      <c r="DN678" s="36"/>
      <c r="DO678" s="38"/>
      <c r="DP678" s="38"/>
      <c r="DQ678" s="38"/>
      <c r="DR678" s="38"/>
      <c r="DS678" s="38"/>
      <c r="DT678" s="38"/>
      <c r="DU678" s="38"/>
      <c r="DV678" s="38"/>
      <c r="DW678" s="38"/>
      <c r="DX678" s="38"/>
      <c r="DY678" s="38"/>
      <c r="DZ678" s="38"/>
      <c r="EA678" s="38"/>
      <c r="EB678" s="38"/>
      <c r="EC678" s="38"/>
      <c r="ED678" s="38"/>
      <c r="EE678" s="38"/>
      <c r="EF678" s="38"/>
      <c r="EG678" s="38"/>
      <c r="EH678" s="38"/>
      <c r="EI678" s="38"/>
      <c r="EJ678" s="38"/>
      <c r="EK678" s="38"/>
      <c r="EL678" s="38"/>
      <c r="EM678" s="38"/>
      <c r="EN678" s="38"/>
      <c r="EO678" s="38"/>
      <c r="EP678" s="38"/>
      <c r="EQ678" s="38"/>
      <c r="ER678" s="38"/>
      <c r="ES678" s="38"/>
      <c r="ET678" s="38"/>
      <c r="EU678" s="38"/>
      <c r="EV678" s="38"/>
      <c r="EW678" s="38"/>
      <c r="EX678" s="38"/>
      <c r="EY678" s="38"/>
      <c r="EZ678" s="38"/>
      <c r="FA678" s="38"/>
      <c r="FB678" s="38"/>
      <c r="FC678" s="38"/>
      <c r="FD678" s="38"/>
      <c r="FE678" s="38"/>
      <c r="FF678" s="38"/>
      <c r="FG678" s="38"/>
      <c r="FH678" s="38"/>
      <c r="FI678" s="38"/>
      <c r="FJ678" s="38"/>
      <c r="FK678" s="38"/>
      <c r="FL678" s="38"/>
      <c r="FM678" s="38"/>
    </row>
    <row r="679" spans="1:169" s="1" customFormat="1" ht="15.6" x14ac:dyDescent="0.3">
      <c r="A679" s="35"/>
      <c r="B679" s="57"/>
      <c r="C679" s="58"/>
      <c r="D679" s="58"/>
      <c r="E679" s="50"/>
      <c r="F679" s="151"/>
      <c r="G679" s="16"/>
      <c r="H679" s="16"/>
      <c r="I679" s="29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  <c r="BS679" s="36"/>
      <c r="BT679" s="36"/>
      <c r="BU679" s="36"/>
      <c r="BV679" s="36"/>
      <c r="BW679" s="36"/>
      <c r="BX679" s="36"/>
      <c r="BY679" s="36"/>
      <c r="BZ679" s="36"/>
      <c r="CA679" s="36"/>
      <c r="CB679" s="36"/>
      <c r="CC679" s="36"/>
      <c r="CD679" s="36"/>
      <c r="CE679" s="36"/>
      <c r="CF679" s="36"/>
      <c r="CG679" s="36"/>
      <c r="CH679" s="36"/>
      <c r="CI679" s="36"/>
      <c r="CJ679" s="36"/>
      <c r="CK679" s="36"/>
      <c r="CL679" s="36"/>
      <c r="CM679" s="36"/>
      <c r="CN679" s="36"/>
      <c r="CO679" s="36"/>
      <c r="CP679" s="36"/>
      <c r="CQ679" s="36"/>
      <c r="CR679" s="36"/>
      <c r="CS679" s="36"/>
      <c r="CT679" s="36"/>
      <c r="CU679" s="36"/>
      <c r="CV679" s="36"/>
      <c r="CW679" s="36"/>
      <c r="CX679" s="36"/>
      <c r="CY679" s="36"/>
      <c r="CZ679" s="36"/>
      <c r="DA679" s="36"/>
      <c r="DB679" s="36"/>
      <c r="DC679" s="36"/>
      <c r="DD679" s="36"/>
      <c r="DE679" s="36"/>
      <c r="DF679" s="36"/>
      <c r="DG679" s="36"/>
      <c r="DH679" s="36"/>
      <c r="DI679" s="36"/>
      <c r="DJ679" s="36"/>
      <c r="DK679" s="36"/>
      <c r="DL679" s="36"/>
      <c r="DM679" s="36"/>
      <c r="DN679" s="36"/>
      <c r="DO679" s="38"/>
      <c r="DP679" s="38"/>
      <c r="DQ679" s="38"/>
      <c r="DR679" s="38"/>
      <c r="DS679" s="38"/>
      <c r="DT679" s="38"/>
      <c r="DU679" s="38"/>
      <c r="DV679" s="38"/>
      <c r="DW679" s="38"/>
      <c r="DX679" s="38"/>
      <c r="DY679" s="38"/>
      <c r="DZ679" s="38"/>
      <c r="EA679" s="38"/>
      <c r="EB679" s="38"/>
      <c r="EC679" s="38"/>
      <c r="ED679" s="38"/>
      <c r="EE679" s="38"/>
      <c r="EF679" s="38"/>
      <c r="EG679" s="38"/>
      <c r="EH679" s="38"/>
      <c r="EI679" s="38"/>
      <c r="EJ679" s="38"/>
      <c r="EK679" s="38"/>
      <c r="EL679" s="38"/>
      <c r="EM679" s="38"/>
      <c r="EN679" s="38"/>
      <c r="EO679" s="38"/>
      <c r="EP679" s="38"/>
      <c r="EQ679" s="38"/>
      <c r="ER679" s="38"/>
      <c r="ES679" s="38"/>
      <c r="ET679" s="38"/>
      <c r="EU679" s="38"/>
      <c r="EV679" s="38"/>
      <c r="EW679" s="38"/>
      <c r="EX679" s="38"/>
      <c r="EY679" s="38"/>
      <c r="EZ679" s="38"/>
      <c r="FA679" s="38"/>
      <c r="FB679" s="38"/>
      <c r="FC679" s="38"/>
      <c r="FD679" s="38"/>
      <c r="FE679" s="38"/>
      <c r="FF679" s="38"/>
      <c r="FG679" s="38"/>
      <c r="FH679" s="38"/>
      <c r="FI679" s="38"/>
      <c r="FJ679" s="38"/>
      <c r="FK679" s="38"/>
      <c r="FL679" s="38"/>
      <c r="FM679" s="38"/>
    </row>
    <row r="680" spans="1:169" s="1" customFormat="1" ht="15.6" x14ac:dyDescent="0.3">
      <c r="A680" s="35"/>
      <c r="B680" s="74"/>
      <c r="C680" s="74"/>
      <c r="D680" s="58"/>
      <c r="E680" s="50"/>
      <c r="F680" s="151"/>
      <c r="G680" s="16"/>
      <c r="H680" s="16"/>
      <c r="I680" s="29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  <c r="BW680" s="36"/>
      <c r="BX680" s="36"/>
      <c r="BY680" s="36"/>
      <c r="BZ680" s="36"/>
      <c r="CA680" s="36"/>
      <c r="CB680" s="36"/>
      <c r="CC680" s="36"/>
      <c r="CD680" s="36"/>
      <c r="CE680" s="36"/>
      <c r="CF680" s="36"/>
      <c r="CG680" s="36"/>
      <c r="CH680" s="36"/>
      <c r="CI680" s="36"/>
      <c r="CJ680" s="36"/>
      <c r="CK680" s="36"/>
      <c r="CL680" s="36"/>
      <c r="CM680" s="36"/>
      <c r="CN680" s="36"/>
      <c r="CO680" s="36"/>
      <c r="CP680" s="36"/>
      <c r="CQ680" s="36"/>
      <c r="CR680" s="36"/>
      <c r="CS680" s="36"/>
      <c r="CT680" s="36"/>
      <c r="CU680" s="36"/>
      <c r="CV680" s="36"/>
      <c r="CW680" s="36"/>
      <c r="CX680" s="36"/>
      <c r="CY680" s="36"/>
      <c r="CZ680" s="36"/>
      <c r="DA680" s="36"/>
      <c r="DB680" s="36"/>
      <c r="DC680" s="36"/>
      <c r="DD680" s="36"/>
      <c r="DE680" s="36"/>
      <c r="DF680" s="36"/>
      <c r="DG680" s="36"/>
      <c r="DH680" s="36"/>
      <c r="DI680" s="36"/>
      <c r="DJ680" s="36"/>
      <c r="DK680" s="36"/>
      <c r="DL680" s="36"/>
      <c r="DM680" s="36"/>
      <c r="DN680" s="36"/>
      <c r="DO680" s="38"/>
      <c r="DP680" s="38"/>
      <c r="DQ680" s="38"/>
      <c r="DR680" s="38"/>
      <c r="DS680" s="38"/>
      <c r="DT680" s="38"/>
      <c r="DU680" s="38"/>
      <c r="DV680" s="38"/>
      <c r="DW680" s="38"/>
      <c r="DX680" s="38"/>
      <c r="DY680" s="38"/>
      <c r="DZ680" s="38"/>
      <c r="EA680" s="38"/>
      <c r="EB680" s="38"/>
      <c r="EC680" s="38"/>
      <c r="ED680" s="38"/>
      <c r="EE680" s="38"/>
      <c r="EF680" s="38"/>
      <c r="EG680" s="38"/>
      <c r="EH680" s="38"/>
      <c r="EI680" s="38"/>
      <c r="EJ680" s="38"/>
      <c r="EK680" s="38"/>
      <c r="EL680" s="38"/>
      <c r="EM680" s="38"/>
      <c r="EN680" s="38"/>
      <c r="EO680" s="38"/>
      <c r="EP680" s="38"/>
      <c r="EQ680" s="38"/>
      <c r="ER680" s="38"/>
      <c r="ES680" s="38"/>
      <c r="ET680" s="38"/>
      <c r="EU680" s="38"/>
      <c r="EV680" s="38"/>
      <c r="EW680" s="38"/>
      <c r="EX680" s="38"/>
      <c r="EY680" s="38"/>
      <c r="EZ680" s="38"/>
      <c r="FA680" s="38"/>
      <c r="FB680" s="38"/>
      <c r="FC680" s="38"/>
      <c r="FD680" s="38"/>
      <c r="FE680" s="38"/>
      <c r="FF680" s="38"/>
      <c r="FG680" s="38"/>
      <c r="FH680" s="38"/>
      <c r="FI680" s="38"/>
      <c r="FJ680" s="38"/>
      <c r="FK680" s="38"/>
      <c r="FL680" s="38"/>
      <c r="FM680" s="38"/>
    </row>
    <row r="681" spans="1:169" s="1" customFormat="1" ht="15.6" x14ac:dyDescent="0.3">
      <c r="A681" s="35"/>
      <c r="B681" s="74"/>
      <c r="C681" s="74"/>
      <c r="D681" s="58"/>
      <c r="E681" s="50"/>
      <c r="F681" s="151"/>
      <c r="G681" s="16"/>
      <c r="H681" s="16"/>
      <c r="I681" s="29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  <c r="BW681" s="36"/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CL681" s="36"/>
      <c r="CM681" s="36"/>
      <c r="CN681" s="36"/>
      <c r="CO681" s="36"/>
      <c r="CP681" s="36"/>
      <c r="CQ681" s="36"/>
      <c r="CR681" s="36"/>
      <c r="CS681" s="36"/>
      <c r="CT681" s="36"/>
      <c r="CU681" s="36"/>
      <c r="CV681" s="36"/>
      <c r="CW681" s="36"/>
      <c r="CX681" s="36"/>
      <c r="CY681" s="36"/>
      <c r="CZ681" s="36"/>
      <c r="DA681" s="36"/>
      <c r="DB681" s="36"/>
      <c r="DC681" s="36"/>
      <c r="DD681" s="36"/>
      <c r="DE681" s="36"/>
      <c r="DF681" s="36"/>
      <c r="DG681" s="36"/>
      <c r="DH681" s="36"/>
      <c r="DI681" s="36"/>
      <c r="DJ681" s="36"/>
      <c r="DK681" s="36"/>
      <c r="DL681" s="36"/>
      <c r="DM681" s="36"/>
      <c r="DN681" s="36"/>
      <c r="DO681" s="38"/>
      <c r="DP681" s="38"/>
      <c r="DQ681" s="38"/>
      <c r="DR681" s="38"/>
      <c r="DS681" s="38"/>
      <c r="DT681" s="38"/>
      <c r="DU681" s="38"/>
      <c r="DV681" s="38"/>
      <c r="DW681" s="38"/>
      <c r="DX681" s="38"/>
      <c r="DY681" s="38"/>
      <c r="DZ681" s="38"/>
      <c r="EA681" s="38"/>
      <c r="EB681" s="38"/>
      <c r="EC681" s="38"/>
      <c r="ED681" s="38"/>
      <c r="EE681" s="38"/>
      <c r="EF681" s="38"/>
      <c r="EG681" s="38"/>
      <c r="EH681" s="38"/>
      <c r="EI681" s="38"/>
      <c r="EJ681" s="38"/>
      <c r="EK681" s="38"/>
      <c r="EL681" s="38"/>
      <c r="EM681" s="38"/>
      <c r="EN681" s="38"/>
      <c r="EO681" s="38"/>
      <c r="EP681" s="38"/>
      <c r="EQ681" s="38"/>
      <c r="ER681" s="38"/>
      <c r="ES681" s="38"/>
      <c r="ET681" s="38"/>
      <c r="EU681" s="38"/>
      <c r="EV681" s="38"/>
      <c r="EW681" s="38"/>
      <c r="EX681" s="38"/>
      <c r="EY681" s="38"/>
      <c r="EZ681" s="38"/>
      <c r="FA681" s="38"/>
      <c r="FB681" s="38"/>
      <c r="FC681" s="38"/>
      <c r="FD681" s="38"/>
      <c r="FE681" s="38"/>
      <c r="FF681" s="38"/>
      <c r="FG681" s="38"/>
      <c r="FH681" s="38"/>
      <c r="FI681" s="38"/>
      <c r="FJ681" s="38"/>
      <c r="FK681" s="38"/>
      <c r="FL681" s="38"/>
      <c r="FM681" s="38"/>
    </row>
    <row r="682" spans="1:169" s="3" customFormat="1" ht="15.6" x14ac:dyDescent="0.3">
      <c r="A682" s="36"/>
      <c r="B682" s="49"/>
      <c r="C682" s="49"/>
      <c r="D682" s="49"/>
      <c r="E682" s="69"/>
      <c r="F682" s="146"/>
      <c r="G682" s="16"/>
      <c r="H682" s="16"/>
      <c r="I682" s="29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  <c r="BW682" s="36"/>
      <c r="BX682" s="36"/>
      <c r="BY682" s="36"/>
      <c r="BZ682" s="36"/>
      <c r="CA682" s="36"/>
      <c r="CB682" s="36"/>
      <c r="CC682" s="36"/>
      <c r="CD682" s="36"/>
      <c r="CE682" s="36"/>
      <c r="CF682" s="36"/>
      <c r="CG682" s="36"/>
      <c r="CH682" s="36"/>
      <c r="CI682" s="36"/>
      <c r="CJ682" s="36"/>
      <c r="CK682" s="36"/>
      <c r="CL682" s="36"/>
      <c r="CM682" s="36"/>
      <c r="CN682" s="36"/>
      <c r="CO682" s="36"/>
      <c r="CP682" s="36"/>
      <c r="CQ682" s="36"/>
      <c r="CR682" s="36"/>
      <c r="CS682" s="36"/>
      <c r="CT682" s="36"/>
      <c r="CU682" s="36"/>
      <c r="CV682" s="36"/>
      <c r="CW682" s="36"/>
      <c r="CX682" s="36"/>
      <c r="CY682" s="36"/>
      <c r="CZ682" s="36"/>
      <c r="DA682" s="36"/>
      <c r="DB682" s="36"/>
      <c r="DC682" s="36"/>
      <c r="DD682" s="36"/>
      <c r="DE682" s="36"/>
      <c r="DF682" s="36"/>
      <c r="DG682" s="36"/>
      <c r="DH682" s="36"/>
      <c r="DI682" s="36"/>
      <c r="DJ682" s="36"/>
      <c r="DK682" s="36"/>
      <c r="DL682" s="36"/>
      <c r="DM682" s="36"/>
      <c r="DN682" s="36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  <c r="DY682" s="39"/>
      <c r="DZ682" s="39"/>
      <c r="EA682" s="39"/>
      <c r="EB682" s="39"/>
      <c r="EC682" s="39"/>
      <c r="ED682" s="39"/>
      <c r="EE682" s="39"/>
      <c r="EF682" s="39"/>
      <c r="EG682" s="39"/>
      <c r="EH682" s="39"/>
      <c r="EI682" s="39"/>
      <c r="EJ682" s="39"/>
      <c r="EK682" s="39"/>
      <c r="EL682" s="39"/>
      <c r="EM682" s="39"/>
      <c r="EN682" s="39"/>
      <c r="EO682" s="39"/>
      <c r="EP682" s="39"/>
      <c r="EQ682" s="39"/>
      <c r="ER682" s="39"/>
      <c r="ES682" s="39"/>
      <c r="ET682" s="39"/>
      <c r="EU682" s="39"/>
      <c r="EV682" s="39"/>
      <c r="EW682" s="39"/>
      <c r="EX682" s="39"/>
      <c r="EY682" s="39"/>
      <c r="EZ682" s="39"/>
      <c r="FA682" s="39"/>
      <c r="FB682" s="39"/>
      <c r="FC682" s="39"/>
      <c r="FD682" s="39"/>
      <c r="FE682" s="39"/>
      <c r="FF682" s="39"/>
      <c r="FG682" s="39"/>
      <c r="FH682" s="39"/>
      <c r="FI682" s="39"/>
      <c r="FJ682" s="39"/>
      <c r="FK682" s="39"/>
      <c r="FL682" s="39"/>
      <c r="FM682" s="39"/>
    </row>
    <row r="683" spans="1:169" s="1" customFormat="1" ht="15.6" x14ac:dyDescent="0.3">
      <c r="A683" s="35"/>
      <c r="B683" s="75"/>
      <c r="C683" s="74"/>
      <c r="D683" s="58"/>
      <c r="E683" s="50"/>
      <c r="F683" s="151"/>
      <c r="G683" s="16"/>
      <c r="H683" s="16"/>
      <c r="I683" s="29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  <c r="BW683" s="36"/>
      <c r="BX683" s="36"/>
      <c r="BY683" s="36"/>
      <c r="BZ683" s="36"/>
      <c r="CA683" s="36"/>
      <c r="CB683" s="36"/>
      <c r="CC683" s="36"/>
      <c r="CD683" s="36"/>
      <c r="CE683" s="36"/>
      <c r="CF683" s="36"/>
      <c r="CG683" s="36"/>
      <c r="CH683" s="36"/>
      <c r="CI683" s="36"/>
      <c r="CJ683" s="36"/>
      <c r="CK683" s="36"/>
      <c r="CL683" s="36"/>
      <c r="CM683" s="36"/>
      <c r="CN683" s="36"/>
      <c r="CO683" s="36"/>
      <c r="CP683" s="36"/>
      <c r="CQ683" s="36"/>
      <c r="CR683" s="36"/>
      <c r="CS683" s="36"/>
      <c r="CT683" s="36"/>
      <c r="CU683" s="36"/>
      <c r="CV683" s="36"/>
      <c r="CW683" s="36"/>
      <c r="CX683" s="36"/>
      <c r="CY683" s="36"/>
      <c r="CZ683" s="36"/>
      <c r="DA683" s="36"/>
      <c r="DB683" s="36"/>
      <c r="DC683" s="36"/>
      <c r="DD683" s="36"/>
      <c r="DE683" s="36"/>
      <c r="DF683" s="36"/>
      <c r="DG683" s="36"/>
      <c r="DH683" s="36"/>
      <c r="DI683" s="36"/>
      <c r="DJ683" s="36"/>
      <c r="DK683" s="36"/>
      <c r="DL683" s="36"/>
      <c r="DM683" s="36"/>
      <c r="DN683" s="36"/>
      <c r="DO683" s="38"/>
      <c r="DP683" s="38"/>
      <c r="DQ683" s="38"/>
      <c r="DR683" s="38"/>
      <c r="DS683" s="38"/>
      <c r="DT683" s="38"/>
      <c r="DU683" s="38"/>
      <c r="DV683" s="38"/>
      <c r="DW683" s="38"/>
      <c r="DX683" s="38"/>
      <c r="DY683" s="38"/>
      <c r="DZ683" s="38"/>
      <c r="EA683" s="38"/>
      <c r="EB683" s="38"/>
      <c r="EC683" s="38"/>
      <c r="ED683" s="38"/>
      <c r="EE683" s="38"/>
      <c r="EF683" s="38"/>
      <c r="EG683" s="38"/>
      <c r="EH683" s="38"/>
      <c r="EI683" s="38"/>
      <c r="EJ683" s="38"/>
      <c r="EK683" s="38"/>
      <c r="EL683" s="38"/>
      <c r="EM683" s="38"/>
      <c r="EN683" s="38"/>
      <c r="EO683" s="38"/>
      <c r="EP683" s="38"/>
      <c r="EQ683" s="38"/>
      <c r="ER683" s="38"/>
      <c r="ES683" s="38"/>
      <c r="ET683" s="38"/>
      <c r="EU683" s="38"/>
      <c r="EV683" s="38"/>
      <c r="EW683" s="38"/>
      <c r="EX683" s="38"/>
      <c r="EY683" s="38"/>
      <c r="EZ683" s="38"/>
      <c r="FA683" s="38"/>
      <c r="FB683" s="38"/>
      <c r="FC683" s="38"/>
      <c r="FD683" s="38"/>
      <c r="FE683" s="38"/>
      <c r="FF683" s="38"/>
      <c r="FG683" s="38"/>
      <c r="FH683" s="38"/>
      <c r="FI683" s="38"/>
      <c r="FJ683" s="38"/>
      <c r="FK683" s="38"/>
      <c r="FL683" s="38"/>
      <c r="FM683" s="38"/>
    </row>
    <row r="684" spans="1:169" s="1" customFormat="1" ht="15.6" x14ac:dyDescent="0.3">
      <c r="A684" s="35"/>
      <c r="B684" s="57"/>
      <c r="C684" s="74"/>
      <c r="D684" s="58"/>
      <c r="E684" s="50"/>
      <c r="F684" s="151"/>
      <c r="G684" s="16"/>
      <c r="H684" s="16"/>
      <c r="I684" s="29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  <c r="BW684" s="36"/>
      <c r="BX684" s="36"/>
      <c r="BY684" s="36"/>
      <c r="BZ684" s="36"/>
      <c r="CA684" s="36"/>
      <c r="CB684" s="36"/>
      <c r="CC684" s="36"/>
      <c r="CD684" s="36"/>
      <c r="CE684" s="36"/>
      <c r="CF684" s="36"/>
      <c r="CG684" s="36"/>
      <c r="CH684" s="36"/>
      <c r="CI684" s="36"/>
      <c r="CJ684" s="36"/>
      <c r="CK684" s="36"/>
      <c r="CL684" s="36"/>
      <c r="CM684" s="36"/>
      <c r="CN684" s="36"/>
      <c r="CO684" s="36"/>
      <c r="CP684" s="36"/>
      <c r="CQ684" s="36"/>
      <c r="CR684" s="36"/>
      <c r="CS684" s="36"/>
      <c r="CT684" s="36"/>
      <c r="CU684" s="36"/>
      <c r="CV684" s="36"/>
      <c r="CW684" s="36"/>
      <c r="CX684" s="36"/>
      <c r="CY684" s="36"/>
      <c r="CZ684" s="36"/>
      <c r="DA684" s="36"/>
      <c r="DB684" s="36"/>
      <c r="DC684" s="36"/>
      <c r="DD684" s="36"/>
      <c r="DE684" s="36"/>
      <c r="DF684" s="36"/>
      <c r="DG684" s="36"/>
      <c r="DH684" s="36"/>
      <c r="DI684" s="36"/>
      <c r="DJ684" s="36"/>
      <c r="DK684" s="36"/>
      <c r="DL684" s="36"/>
      <c r="DM684" s="36"/>
      <c r="DN684" s="36"/>
      <c r="DO684" s="38"/>
      <c r="DP684" s="38"/>
      <c r="DQ684" s="38"/>
      <c r="DR684" s="38"/>
      <c r="DS684" s="38"/>
      <c r="DT684" s="38"/>
      <c r="DU684" s="38"/>
      <c r="DV684" s="38"/>
      <c r="DW684" s="38"/>
      <c r="DX684" s="38"/>
      <c r="DY684" s="38"/>
      <c r="DZ684" s="38"/>
      <c r="EA684" s="38"/>
      <c r="EB684" s="38"/>
      <c r="EC684" s="38"/>
      <c r="ED684" s="38"/>
      <c r="EE684" s="38"/>
      <c r="EF684" s="38"/>
      <c r="EG684" s="38"/>
      <c r="EH684" s="38"/>
      <c r="EI684" s="38"/>
      <c r="EJ684" s="38"/>
      <c r="EK684" s="38"/>
      <c r="EL684" s="38"/>
      <c r="EM684" s="38"/>
      <c r="EN684" s="38"/>
      <c r="EO684" s="38"/>
      <c r="EP684" s="38"/>
      <c r="EQ684" s="38"/>
      <c r="ER684" s="38"/>
      <c r="ES684" s="38"/>
      <c r="ET684" s="38"/>
      <c r="EU684" s="38"/>
      <c r="EV684" s="38"/>
      <c r="EW684" s="38"/>
      <c r="EX684" s="38"/>
      <c r="EY684" s="38"/>
      <c r="EZ684" s="38"/>
      <c r="FA684" s="38"/>
      <c r="FB684" s="38"/>
      <c r="FC684" s="38"/>
      <c r="FD684" s="38"/>
      <c r="FE684" s="38"/>
      <c r="FF684" s="38"/>
      <c r="FG684" s="38"/>
      <c r="FH684" s="38"/>
      <c r="FI684" s="38"/>
      <c r="FJ684" s="38"/>
      <c r="FK684" s="38"/>
      <c r="FL684" s="38"/>
      <c r="FM684" s="38"/>
    </row>
    <row r="685" spans="1:169" s="3" customFormat="1" ht="15.6" x14ac:dyDescent="0.3">
      <c r="A685" s="36"/>
      <c r="B685" s="49"/>
      <c r="C685" s="49"/>
      <c r="D685" s="49"/>
      <c r="E685" s="69"/>
      <c r="F685" s="146"/>
      <c r="G685" s="16"/>
      <c r="H685" s="16"/>
      <c r="I685" s="29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  <c r="CN685" s="36"/>
      <c r="CO685" s="36"/>
      <c r="CP685" s="36"/>
      <c r="CQ685" s="36"/>
      <c r="CR685" s="36"/>
      <c r="CS685" s="36"/>
      <c r="CT685" s="36"/>
      <c r="CU685" s="36"/>
      <c r="CV685" s="36"/>
      <c r="CW685" s="36"/>
      <c r="CX685" s="36"/>
      <c r="CY685" s="36"/>
      <c r="CZ685" s="36"/>
      <c r="DA685" s="36"/>
      <c r="DB685" s="36"/>
      <c r="DC685" s="36"/>
      <c r="DD685" s="36"/>
      <c r="DE685" s="36"/>
      <c r="DF685" s="36"/>
      <c r="DG685" s="36"/>
      <c r="DH685" s="36"/>
      <c r="DI685" s="36"/>
      <c r="DJ685" s="36"/>
      <c r="DK685" s="36"/>
      <c r="DL685" s="36"/>
      <c r="DM685" s="36"/>
      <c r="DN685" s="36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  <c r="DY685" s="39"/>
      <c r="DZ685" s="39"/>
      <c r="EA685" s="39"/>
      <c r="EB685" s="39"/>
      <c r="EC685" s="39"/>
      <c r="ED685" s="39"/>
      <c r="EE685" s="39"/>
      <c r="EF685" s="39"/>
      <c r="EG685" s="39"/>
      <c r="EH685" s="39"/>
      <c r="EI685" s="39"/>
      <c r="EJ685" s="39"/>
      <c r="EK685" s="39"/>
      <c r="EL685" s="39"/>
      <c r="EM685" s="39"/>
      <c r="EN685" s="39"/>
      <c r="EO685" s="39"/>
      <c r="EP685" s="39"/>
      <c r="EQ685" s="39"/>
      <c r="ER685" s="39"/>
      <c r="ES685" s="39"/>
      <c r="ET685" s="39"/>
      <c r="EU685" s="39"/>
      <c r="EV685" s="39"/>
      <c r="EW685" s="39"/>
      <c r="EX685" s="39"/>
      <c r="EY685" s="39"/>
      <c r="EZ685" s="39"/>
      <c r="FA685" s="39"/>
      <c r="FB685" s="39"/>
      <c r="FC685" s="39"/>
      <c r="FD685" s="39"/>
      <c r="FE685" s="39"/>
      <c r="FF685" s="39"/>
      <c r="FG685" s="39"/>
      <c r="FH685" s="39"/>
      <c r="FI685" s="39"/>
      <c r="FJ685" s="39"/>
      <c r="FK685" s="39"/>
      <c r="FL685" s="39"/>
      <c r="FM685" s="39"/>
    </row>
    <row r="686" spans="1:169" s="1" customFormat="1" ht="15.6" x14ac:dyDescent="0.3">
      <c r="A686" s="35"/>
      <c r="B686" s="57"/>
      <c r="C686" s="74"/>
      <c r="D686" s="58"/>
      <c r="E686" s="50"/>
      <c r="F686" s="151"/>
      <c r="G686" s="16"/>
      <c r="H686" s="16"/>
      <c r="I686" s="29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  <c r="CN686" s="36"/>
      <c r="CO686" s="36"/>
      <c r="CP686" s="36"/>
      <c r="CQ686" s="36"/>
      <c r="CR686" s="36"/>
      <c r="CS686" s="36"/>
      <c r="CT686" s="36"/>
      <c r="CU686" s="36"/>
      <c r="CV686" s="36"/>
      <c r="CW686" s="36"/>
      <c r="CX686" s="36"/>
      <c r="CY686" s="36"/>
      <c r="CZ686" s="36"/>
      <c r="DA686" s="36"/>
      <c r="DB686" s="36"/>
      <c r="DC686" s="36"/>
      <c r="DD686" s="36"/>
      <c r="DE686" s="36"/>
      <c r="DF686" s="36"/>
      <c r="DG686" s="36"/>
      <c r="DH686" s="36"/>
      <c r="DI686" s="36"/>
      <c r="DJ686" s="36"/>
      <c r="DK686" s="36"/>
      <c r="DL686" s="36"/>
      <c r="DM686" s="36"/>
      <c r="DN686" s="36"/>
      <c r="DO686" s="38"/>
      <c r="DP686" s="38"/>
      <c r="DQ686" s="38"/>
      <c r="DR686" s="38"/>
      <c r="DS686" s="38"/>
      <c r="DT686" s="38"/>
      <c r="DU686" s="38"/>
      <c r="DV686" s="38"/>
      <c r="DW686" s="38"/>
      <c r="DX686" s="38"/>
      <c r="DY686" s="38"/>
      <c r="DZ686" s="38"/>
      <c r="EA686" s="38"/>
      <c r="EB686" s="38"/>
      <c r="EC686" s="38"/>
      <c r="ED686" s="38"/>
      <c r="EE686" s="38"/>
      <c r="EF686" s="38"/>
      <c r="EG686" s="38"/>
      <c r="EH686" s="38"/>
      <c r="EI686" s="38"/>
      <c r="EJ686" s="38"/>
      <c r="EK686" s="38"/>
      <c r="EL686" s="38"/>
      <c r="EM686" s="38"/>
      <c r="EN686" s="38"/>
      <c r="EO686" s="38"/>
      <c r="EP686" s="38"/>
      <c r="EQ686" s="38"/>
      <c r="ER686" s="38"/>
      <c r="ES686" s="38"/>
      <c r="ET686" s="38"/>
      <c r="EU686" s="38"/>
      <c r="EV686" s="38"/>
      <c r="EW686" s="38"/>
      <c r="EX686" s="38"/>
      <c r="EY686" s="38"/>
      <c r="EZ686" s="38"/>
      <c r="FA686" s="38"/>
      <c r="FB686" s="38"/>
      <c r="FC686" s="38"/>
      <c r="FD686" s="38"/>
      <c r="FE686" s="38"/>
      <c r="FF686" s="38"/>
      <c r="FG686" s="38"/>
      <c r="FH686" s="38"/>
      <c r="FI686" s="38"/>
      <c r="FJ686" s="38"/>
      <c r="FK686" s="38"/>
      <c r="FL686" s="38"/>
      <c r="FM686" s="38"/>
    </row>
    <row r="687" spans="1:169" s="3" customFormat="1" ht="15.6" x14ac:dyDescent="0.3">
      <c r="A687" s="36"/>
      <c r="B687" s="49"/>
      <c r="C687" s="65"/>
      <c r="D687" s="49"/>
      <c r="E687" s="69"/>
      <c r="F687" s="146"/>
      <c r="G687" s="16"/>
      <c r="H687" s="16"/>
      <c r="I687" s="29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36"/>
      <c r="CS687" s="36"/>
      <c r="CT687" s="36"/>
      <c r="CU687" s="36"/>
      <c r="CV687" s="36"/>
      <c r="CW687" s="36"/>
      <c r="CX687" s="36"/>
      <c r="CY687" s="36"/>
      <c r="CZ687" s="36"/>
      <c r="DA687" s="36"/>
      <c r="DB687" s="36"/>
      <c r="DC687" s="36"/>
      <c r="DD687" s="36"/>
      <c r="DE687" s="36"/>
      <c r="DF687" s="36"/>
      <c r="DG687" s="36"/>
      <c r="DH687" s="36"/>
      <c r="DI687" s="36"/>
      <c r="DJ687" s="36"/>
      <c r="DK687" s="36"/>
      <c r="DL687" s="36"/>
      <c r="DM687" s="36"/>
      <c r="DN687" s="36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  <c r="EZ687" s="39"/>
      <c r="FA687" s="39"/>
      <c r="FB687" s="39"/>
      <c r="FC687" s="39"/>
      <c r="FD687" s="39"/>
      <c r="FE687" s="39"/>
      <c r="FF687" s="39"/>
      <c r="FG687" s="39"/>
      <c r="FH687" s="39"/>
      <c r="FI687" s="39"/>
      <c r="FJ687" s="39"/>
      <c r="FK687" s="39"/>
      <c r="FL687" s="39"/>
      <c r="FM687" s="39"/>
    </row>
    <row r="688" spans="1:169" s="3" customFormat="1" ht="15.6" x14ac:dyDescent="0.3">
      <c r="A688" s="36"/>
      <c r="B688" s="49"/>
      <c r="C688" s="49"/>
      <c r="D688" s="49"/>
      <c r="E688" s="69"/>
      <c r="F688" s="146"/>
      <c r="G688" s="16"/>
      <c r="H688" s="16"/>
      <c r="I688" s="29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CL688" s="36"/>
      <c r="CM688" s="36"/>
      <c r="CN688" s="36"/>
      <c r="CO688" s="36"/>
      <c r="CP688" s="36"/>
      <c r="CQ688" s="36"/>
      <c r="CR688" s="36"/>
      <c r="CS688" s="36"/>
      <c r="CT688" s="36"/>
      <c r="CU688" s="36"/>
      <c r="CV688" s="36"/>
      <c r="CW688" s="36"/>
      <c r="CX688" s="36"/>
      <c r="CY688" s="36"/>
      <c r="CZ688" s="36"/>
      <c r="DA688" s="36"/>
      <c r="DB688" s="36"/>
      <c r="DC688" s="36"/>
      <c r="DD688" s="36"/>
      <c r="DE688" s="36"/>
      <c r="DF688" s="36"/>
      <c r="DG688" s="36"/>
      <c r="DH688" s="36"/>
      <c r="DI688" s="36"/>
      <c r="DJ688" s="36"/>
      <c r="DK688" s="36"/>
      <c r="DL688" s="36"/>
      <c r="DM688" s="36"/>
      <c r="DN688" s="36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  <c r="EZ688" s="39"/>
      <c r="FA688" s="39"/>
      <c r="FB688" s="39"/>
      <c r="FC688" s="39"/>
      <c r="FD688" s="39"/>
      <c r="FE688" s="39"/>
      <c r="FF688" s="39"/>
      <c r="FG688" s="39"/>
      <c r="FH688" s="39"/>
      <c r="FI688" s="39"/>
      <c r="FJ688" s="39"/>
      <c r="FK688" s="39"/>
      <c r="FL688" s="39"/>
      <c r="FM688" s="39"/>
    </row>
    <row r="689" spans="1:169" s="1" customFormat="1" ht="15.6" x14ac:dyDescent="0.3">
      <c r="A689" s="35"/>
      <c r="B689" s="57"/>
      <c r="C689" s="74"/>
      <c r="D689" s="58"/>
      <c r="E689" s="50"/>
      <c r="F689" s="151"/>
      <c r="G689" s="16"/>
      <c r="H689" s="16"/>
      <c r="I689" s="29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CL689" s="36"/>
      <c r="CM689" s="36"/>
      <c r="CN689" s="36"/>
      <c r="CO689" s="36"/>
      <c r="CP689" s="36"/>
      <c r="CQ689" s="36"/>
      <c r="CR689" s="36"/>
      <c r="CS689" s="36"/>
      <c r="CT689" s="36"/>
      <c r="CU689" s="36"/>
      <c r="CV689" s="36"/>
      <c r="CW689" s="36"/>
      <c r="CX689" s="36"/>
      <c r="CY689" s="36"/>
      <c r="CZ689" s="36"/>
      <c r="DA689" s="36"/>
      <c r="DB689" s="36"/>
      <c r="DC689" s="36"/>
      <c r="DD689" s="36"/>
      <c r="DE689" s="36"/>
      <c r="DF689" s="36"/>
      <c r="DG689" s="36"/>
      <c r="DH689" s="36"/>
      <c r="DI689" s="36"/>
      <c r="DJ689" s="36"/>
      <c r="DK689" s="36"/>
      <c r="DL689" s="36"/>
      <c r="DM689" s="36"/>
      <c r="DN689" s="36"/>
      <c r="DO689" s="38"/>
      <c r="DP689" s="38"/>
      <c r="DQ689" s="38"/>
      <c r="DR689" s="38"/>
      <c r="DS689" s="38"/>
      <c r="DT689" s="38"/>
      <c r="DU689" s="38"/>
      <c r="DV689" s="38"/>
      <c r="DW689" s="38"/>
      <c r="DX689" s="38"/>
      <c r="DY689" s="38"/>
      <c r="DZ689" s="38"/>
      <c r="EA689" s="38"/>
      <c r="EB689" s="38"/>
      <c r="EC689" s="38"/>
      <c r="ED689" s="38"/>
      <c r="EE689" s="38"/>
      <c r="EF689" s="38"/>
      <c r="EG689" s="38"/>
      <c r="EH689" s="38"/>
      <c r="EI689" s="38"/>
      <c r="EJ689" s="38"/>
      <c r="EK689" s="38"/>
      <c r="EL689" s="38"/>
      <c r="EM689" s="38"/>
      <c r="EN689" s="38"/>
      <c r="EO689" s="38"/>
      <c r="EP689" s="38"/>
      <c r="EQ689" s="38"/>
      <c r="ER689" s="38"/>
      <c r="ES689" s="38"/>
      <c r="ET689" s="38"/>
      <c r="EU689" s="38"/>
      <c r="EV689" s="38"/>
      <c r="EW689" s="38"/>
      <c r="EX689" s="38"/>
      <c r="EY689" s="38"/>
      <c r="EZ689" s="38"/>
      <c r="FA689" s="38"/>
      <c r="FB689" s="38"/>
      <c r="FC689" s="38"/>
      <c r="FD689" s="38"/>
      <c r="FE689" s="38"/>
      <c r="FF689" s="38"/>
      <c r="FG689" s="38"/>
      <c r="FH689" s="38"/>
      <c r="FI689" s="38"/>
      <c r="FJ689" s="38"/>
      <c r="FK689" s="38"/>
      <c r="FL689" s="38"/>
      <c r="FM689" s="38"/>
    </row>
    <row r="690" spans="1:169" s="1" customFormat="1" ht="15.6" x14ac:dyDescent="0.3">
      <c r="A690" s="35"/>
      <c r="B690" s="57"/>
      <c r="C690" s="74"/>
      <c r="D690" s="58"/>
      <c r="E690" s="50"/>
      <c r="F690" s="151"/>
      <c r="G690" s="16"/>
      <c r="H690" s="16"/>
      <c r="I690" s="29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  <c r="CN690" s="36"/>
      <c r="CO690" s="36"/>
      <c r="CP690" s="36"/>
      <c r="CQ690" s="36"/>
      <c r="CR690" s="36"/>
      <c r="CS690" s="36"/>
      <c r="CT690" s="36"/>
      <c r="CU690" s="36"/>
      <c r="CV690" s="36"/>
      <c r="CW690" s="36"/>
      <c r="CX690" s="36"/>
      <c r="CY690" s="36"/>
      <c r="CZ690" s="36"/>
      <c r="DA690" s="36"/>
      <c r="DB690" s="36"/>
      <c r="DC690" s="36"/>
      <c r="DD690" s="36"/>
      <c r="DE690" s="36"/>
      <c r="DF690" s="36"/>
      <c r="DG690" s="36"/>
      <c r="DH690" s="36"/>
      <c r="DI690" s="36"/>
      <c r="DJ690" s="36"/>
      <c r="DK690" s="36"/>
      <c r="DL690" s="36"/>
      <c r="DM690" s="36"/>
      <c r="DN690" s="36"/>
      <c r="DO690" s="38"/>
      <c r="DP690" s="38"/>
      <c r="DQ690" s="38"/>
      <c r="DR690" s="38"/>
      <c r="DS690" s="38"/>
      <c r="DT690" s="38"/>
      <c r="DU690" s="38"/>
      <c r="DV690" s="38"/>
      <c r="DW690" s="38"/>
      <c r="DX690" s="38"/>
      <c r="DY690" s="38"/>
      <c r="DZ690" s="38"/>
      <c r="EA690" s="38"/>
      <c r="EB690" s="38"/>
      <c r="EC690" s="38"/>
      <c r="ED690" s="38"/>
      <c r="EE690" s="38"/>
      <c r="EF690" s="38"/>
      <c r="EG690" s="38"/>
      <c r="EH690" s="38"/>
      <c r="EI690" s="38"/>
      <c r="EJ690" s="38"/>
      <c r="EK690" s="38"/>
      <c r="EL690" s="38"/>
      <c r="EM690" s="38"/>
      <c r="EN690" s="38"/>
      <c r="EO690" s="38"/>
      <c r="EP690" s="38"/>
      <c r="EQ690" s="38"/>
      <c r="ER690" s="38"/>
      <c r="ES690" s="38"/>
      <c r="ET690" s="38"/>
      <c r="EU690" s="38"/>
      <c r="EV690" s="38"/>
      <c r="EW690" s="38"/>
      <c r="EX690" s="38"/>
      <c r="EY690" s="38"/>
      <c r="EZ690" s="38"/>
      <c r="FA690" s="38"/>
      <c r="FB690" s="38"/>
      <c r="FC690" s="38"/>
      <c r="FD690" s="38"/>
      <c r="FE690" s="38"/>
      <c r="FF690" s="38"/>
      <c r="FG690" s="38"/>
      <c r="FH690" s="38"/>
      <c r="FI690" s="38"/>
      <c r="FJ690" s="38"/>
      <c r="FK690" s="38"/>
      <c r="FL690" s="38"/>
      <c r="FM690" s="38"/>
    </row>
    <row r="691" spans="1:169" s="1" customFormat="1" ht="15.6" x14ac:dyDescent="0.3">
      <c r="A691" s="35"/>
      <c r="B691" s="57"/>
      <c r="C691" s="74"/>
      <c r="D691" s="58"/>
      <c r="E691" s="50"/>
      <c r="F691" s="151"/>
      <c r="G691" s="16"/>
      <c r="H691" s="16"/>
      <c r="I691" s="29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CL691" s="36"/>
      <c r="CM691" s="36"/>
      <c r="CN691" s="36"/>
      <c r="CO691" s="36"/>
      <c r="CP691" s="36"/>
      <c r="CQ691" s="36"/>
      <c r="CR691" s="36"/>
      <c r="CS691" s="36"/>
      <c r="CT691" s="36"/>
      <c r="CU691" s="36"/>
      <c r="CV691" s="36"/>
      <c r="CW691" s="36"/>
      <c r="CX691" s="36"/>
      <c r="CY691" s="36"/>
      <c r="CZ691" s="36"/>
      <c r="DA691" s="36"/>
      <c r="DB691" s="36"/>
      <c r="DC691" s="36"/>
      <c r="DD691" s="36"/>
      <c r="DE691" s="36"/>
      <c r="DF691" s="36"/>
      <c r="DG691" s="36"/>
      <c r="DH691" s="36"/>
      <c r="DI691" s="36"/>
      <c r="DJ691" s="36"/>
      <c r="DK691" s="36"/>
      <c r="DL691" s="36"/>
      <c r="DM691" s="36"/>
      <c r="DN691" s="36"/>
      <c r="DO691" s="38"/>
      <c r="DP691" s="38"/>
      <c r="DQ691" s="38"/>
      <c r="DR691" s="38"/>
      <c r="DS691" s="38"/>
      <c r="DT691" s="38"/>
      <c r="DU691" s="38"/>
      <c r="DV691" s="38"/>
      <c r="DW691" s="38"/>
      <c r="DX691" s="38"/>
      <c r="DY691" s="38"/>
      <c r="DZ691" s="38"/>
      <c r="EA691" s="38"/>
      <c r="EB691" s="38"/>
      <c r="EC691" s="38"/>
      <c r="ED691" s="38"/>
      <c r="EE691" s="38"/>
      <c r="EF691" s="38"/>
      <c r="EG691" s="38"/>
      <c r="EH691" s="38"/>
      <c r="EI691" s="38"/>
      <c r="EJ691" s="38"/>
      <c r="EK691" s="38"/>
      <c r="EL691" s="38"/>
      <c r="EM691" s="38"/>
      <c r="EN691" s="38"/>
      <c r="EO691" s="38"/>
      <c r="EP691" s="38"/>
      <c r="EQ691" s="38"/>
      <c r="ER691" s="38"/>
      <c r="ES691" s="38"/>
      <c r="ET691" s="38"/>
      <c r="EU691" s="38"/>
      <c r="EV691" s="38"/>
      <c r="EW691" s="38"/>
      <c r="EX691" s="38"/>
      <c r="EY691" s="38"/>
      <c r="EZ691" s="38"/>
      <c r="FA691" s="38"/>
      <c r="FB691" s="38"/>
      <c r="FC691" s="38"/>
      <c r="FD691" s="38"/>
      <c r="FE691" s="38"/>
      <c r="FF691" s="38"/>
      <c r="FG691" s="38"/>
      <c r="FH691" s="38"/>
      <c r="FI691" s="38"/>
      <c r="FJ691" s="38"/>
      <c r="FK691" s="38"/>
      <c r="FL691" s="38"/>
      <c r="FM691" s="38"/>
    </row>
    <row r="692" spans="1:169" s="3" customFormat="1" ht="15.6" x14ac:dyDescent="0.3">
      <c r="A692" s="36"/>
      <c r="B692" s="49"/>
      <c r="C692" s="49"/>
      <c r="D692" s="49"/>
      <c r="E692" s="69"/>
      <c r="F692" s="146"/>
      <c r="G692" s="16"/>
      <c r="H692" s="16"/>
      <c r="I692" s="29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36"/>
      <c r="CS692" s="36"/>
      <c r="CT692" s="36"/>
      <c r="CU692" s="36"/>
      <c r="CV692" s="36"/>
      <c r="CW692" s="36"/>
      <c r="CX692" s="36"/>
      <c r="CY692" s="36"/>
      <c r="CZ692" s="36"/>
      <c r="DA692" s="36"/>
      <c r="DB692" s="36"/>
      <c r="DC692" s="36"/>
      <c r="DD692" s="36"/>
      <c r="DE692" s="36"/>
      <c r="DF692" s="36"/>
      <c r="DG692" s="36"/>
      <c r="DH692" s="36"/>
      <c r="DI692" s="36"/>
      <c r="DJ692" s="36"/>
      <c r="DK692" s="36"/>
      <c r="DL692" s="36"/>
      <c r="DM692" s="36"/>
      <c r="DN692" s="36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  <c r="DY692" s="39"/>
      <c r="DZ692" s="39"/>
      <c r="EA692" s="39"/>
      <c r="EB692" s="39"/>
      <c r="EC692" s="39"/>
      <c r="ED692" s="39"/>
      <c r="EE692" s="39"/>
      <c r="EF692" s="39"/>
      <c r="EG692" s="39"/>
      <c r="EH692" s="39"/>
      <c r="EI692" s="39"/>
      <c r="EJ692" s="39"/>
      <c r="EK692" s="39"/>
      <c r="EL692" s="39"/>
      <c r="EM692" s="39"/>
      <c r="EN692" s="39"/>
      <c r="EO692" s="39"/>
      <c r="EP692" s="39"/>
      <c r="EQ692" s="39"/>
      <c r="ER692" s="39"/>
      <c r="ES692" s="39"/>
      <c r="ET692" s="39"/>
      <c r="EU692" s="39"/>
      <c r="EV692" s="39"/>
      <c r="EW692" s="39"/>
      <c r="EX692" s="39"/>
      <c r="EY692" s="39"/>
      <c r="EZ692" s="39"/>
      <c r="FA692" s="39"/>
      <c r="FB692" s="39"/>
      <c r="FC692" s="39"/>
      <c r="FD692" s="39"/>
      <c r="FE692" s="39"/>
      <c r="FF692" s="39"/>
      <c r="FG692" s="39"/>
      <c r="FH692" s="39"/>
      <c r="FI692" s="39"/>
      <c r="FJ692" s="39"/>
      <c r="FK692" s="39"/>
      <c r="FL692" s="39"/>
      <c r="FM692" s="39"/>
    </row>
    <row r="693" spans="1:169" s="1" customFormat="1" ht="15.6" x14ac:dyDescent="0.3">
      <c r="A693" s="35"/>
      <c r="B693" s="57"/>
      <c r="C693" s="74"/>
      <c r="D693" s="58"/>
      <c r="E693" s="50"/>
      <c r="F693" s="151"/>
      <c r="G693" s="16"/>
      <c r="H693" s="16"/>
      <c r="I693" s="29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  <c r="CN693" s="36"/>
      <c r="CO693" s="36"/>
      <c r="CP693" s="36"/>
      <c r="CQ693" s="36"/>
      <c r="CR693" s="36"/>
      <c r="CS693" s="36"/>
      <c r="CT693" s="36"/>
      <c r="CU693" s="36"/>
      <c r="CV693" s="36"/>
      <c r="CW693" s="36"/>
      <c r="CX693" s="36"/>
      <c r="CY693" s="36"/>
      <c r="CZ693" s="36"/>
      <c r="DA693" s="36"/>
      <c r="DB693" s="36"/>
      <c r="DC693" s="36"/>
      <c r="DD693" s="36"/>
      <c r="DE693" s="36"/>
      <c r="DF693" s="36"/>
      <c r="DG693" s="36"/>
      <c r="DH693" s="36"/>
      <c r="DI693" s="36"/>
      <c r="DJ693" s="36"/>
      <c r="DK693" s="36"/>
      <c r="DL693" s="36"/>
      <c r="DM693" s="36"/>
      <c r="DN693" s="36"/>
      <c r="DO693" s="38"/>
      <c r="DP693" s="38"/>
      <c r="DQ693" s="38"/>
      <c r="DR693" s="38"/>
      <c r="DS693" s="38"/>
      <c r="DT693" s="38"/>
      <c r="DU693" s="38"/>
      <c r="DV693" s="38"/>
      <c r="DW693" s="38"/>
      <c r="DX693" s="38"/>
      <c r="DY693" s="38"/>
      <c r="DZ693" s="38"/>
      <c r="EA693" s="38"/>
      <c r="EB693" s="38"/>
      <c r="EC693" s="38"/>
      <c r="ED693" s="38"/>
      <c r="EE693" s="38"/>
      <c r="EF693" s="38"/>
      <c r="EG693" s="38"/>
      <c r="EH693" s="38"/>
      <c r="EI693" s="38"/>
      <c r="EJ693" s="38"/>
      <c r="EK693" s="38"/>
      <c r="EL693" s="38"/>
      <c r="EM693" s="38"/>
      <c r="EN693" s="38"/>
      <c r="EO693" s="38"/>
      <c r="EP693" s="38"/>
      <c r="EQ693" s="38"/>
      <c r="ER693" s="38"/>
      <c r="ES693" s="38"/>
      <c r="ET693" s="38"/>
      <c r="EU693" s="38"/>
      <c r="EV693" s="38"/>
      <c r="EW693" s="38"/>
      <c r="EX693" s="38"/>
      <c r="EY693" s="38"/>
      <c r="EZ693" s="38"/>
      <c r="FA693" s="38"/>
      <c r="FB693" s="38"/>
      <c r="FC693" s="38"/>
      <c r="FD693" s="38"/>
      <c r="FE693" s="38"/>
      <c r="FF693" s="38"/>
      <c r="FG693" s="38"/>
      <c r="FH693" s="38"/>
      <c r="FI693" s="38"/>
      <c r="FJ693" s="38"/>
      <c r="FK693" s="38"/>
      <c r="FL693" s="38"/>
      <c r="FM693" s="38"/>
    </row>
    <row r="694" spans="1:169" s="1" customFormat="1" ht="15.6" x14ac:dyDescent="0.3">
      <c r="A694" s="35"/>
      <c r="B694" s="57"/>
      <c r="C694" s="74"/>
      <c r="D694" s="58"/>
      <c r="E694" s="50"/>
      <c r="F694" s="151"/>
      <c r="G694" s="16"/>
      <c r="H694" s="16"/>
      <c r="I694" s="29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CL694" s="36"/>
      <c r="CM694" s="36"/>
      <c r="CN694" s="36"/>
      <c r="CO694" s="36"/>
      <c r="CP694" s="36"/>
      <c r="CQ694" s="36"/>
      <c r="CR694" s="36"/>
      <c r="CS694" s="36"/>
      <c r="CT694" s="36"/>
      <c r="CU694" s="36"/>
      <c r="CV694" s="36"/>
      <c r="CW694" s="36"/>
      <c r="CX694" s="36"/>
      <c r="CY694" s="36"/>
      <c r="CZ694" s="36"/>
      <c r="DA694" s="36"/>
      <c r="DB694" s="36"/>
      <c r="DC694" s="36"/>
      <c r="DD694" s="36"/>
      <c r="DE694" s="36"/>
      <c r="DF694" s="36"/>
      <c r="DG694" s="36"/>
      <c r="DH694" s="36"/>
      <c r="DI694" s="36"/>
      <c r="DJ694" s="36"/>
      <c r="DK694" s="36"/>
      <c r="DL694" s="36"/>
      <c r="DM694" s="36"/>
      <c r="DN694" s="36"/>
      <c r="DO694" s="38"/>
      <c r="DP694" s="38"/>
      <c r="DQ694" s="38"/>
      <c r="DR694" s="38"/>
      <c r="DS694" s="38"/>
      <c r="DT694" s="38"/>
      <c r="DU694" s="38"/>
      <c r="DV694" s="38"/>
      <c r="DW694" s="38"/>
      <c r="DX694" s="38"/>
      <c r="DY694" s="38"/>
      <c r="DZ694" s="38"/>
      <c r="EA694" s="38"/>
      <c r="EB694" s="38"/>
      <c r="EC694" s="38"/>
      <c r="ED694" s="38"/>
      <c r="EE694" s="38"/>
      <c r="EF694" s="38"/>
      <c r="EG694" s="38"/>
      <c r="EH694" s="38"/>
      <c r="EI694" s="38"/>
      <c r="EJ694" s="38"/>
      <c r="EK694" s="38"/>
      <c r="EL694" s="38"/>
      <c r="EM694" s="38"/>
      <c r="EN694" s="38"/>
      <c r="EO694" s="38"/>
      <c r="EP694" s="38"/>
      <c r="EQ694" s="38"/>
      <c r="ER694" s="38"/>
      <c r="ES694" s="38"/>
      <c r="ET694" s="38"/>
      <c r="EU694" s="38"/>
      <c r="EV694" s="38"/>
      <c r="EW694" s="38"/>
      <c r="EX694" s="38"/>
      <c r="EY694" s="38"/>
      <c r="EZ694" s="38"/>
      <c r="FA694" s="38"/>
      <c r="FB694" s="38"/>
      <c r="FC694" s="38"/>
      <c r="FD694" s="38"/>
      <c r="FE694" s="38"/>
      <c r="FF694" s="38"/>
      <c r="FG694" s="38"/>
      <c r="FH694" s="38"/>
      <c r="FI694" s="38"/>
      <c r="FJ694" s="38"/>
      <c r="FK694" s="38"/>
      <c r="FL694" s="38"/>
      <c r="FM694" s="38"/>
    </row>
    <row r="695" spans="1:169" s="1" customFormat="1" ht="15.6" x14ac:dyDescent="0.3">
      <c r="A695" s="35"/>
      <c r="B695" s="57"/>
      <c r="C695" s="74"/>
      <c r="D695" s="58"/>
      <c r="E695" s="50"/>
      <c r="F695" s="151"/>
      <c r="G695" s="16"/>
      <c r="H695" s="16"/>
      <c r="I695" s="29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CL695" s="36"/>
      <c r="CM695" s="36"/>
      <c r="CN695" s="36"/>
      <c r="CO695" s="36"/>
      <c r="CP695" s="36"/>
      <c r="CQ695" s="36"/>
      <c r="CR695" s="36"/>
      <c r="CS695" s="36"/>
      <c r="CT695" s="36"/>
      <c r="CU695" s="36"/>
      <c r="CV695" s="36"/>
      <c r="CW695" s="36"/>
      <c r="CX695" s="36"/>
      <c r="CY695" s="36"/>
      <c r="CZ695" s="36"/>
      <c r="DA695" s="36"/>
      <c r="DB695" s="36"/>
      <c r="DC695" s="36"/>
      <c r="DD695" s="36"/>
      <c r="DE695" s="36"/>
      <c r="DF695" s="36"/>
      <c r="DG695" s="36"/>
      <c r="DH695" s="36"/>
      <c r="DI695" s="36"/>
      <c r="DJ695" s="36"/>
      <c r="DK695" s="36"/>
      <c r="DL695" s="36"/>
      <c r="DM695" s="36"/>
      <c r="DN695" s="36"/>
      <c r="DO695" s="38"/>
      <c r="DP695" s="38"/>
      <c r="DQ695" s="38"/>
      <c r="DR695" s="38"/>
      <c r="DS695" s="38"/>
      <c r="DT695" s="38"/>
      <c r="DU695" s="38"/>
      <c r="DV695" s="38"/>
      <c r="DW695" s="38"/>
      <c r="DX695" s="38"/>
      <c r="DY695" s="38"/>
      <c r="DZ695" s="38"/>
      <c r="EA695" s="38"/>
      <c r="EB695" s="38"/>
      <c r="EC695" s="38"/>
      <c r="ED695" s="38"/>
      <c r="EE695" s="38"/>
      <c r="EF695" s="38"/>
      <c r="EG695" s="38"/>
      <c r="EH695" s="38"/>
      <c r="EI695" s="38"/>
      <c r="EJ695" s="38"/>
      <c r="EK695" s="38"/>
      <c r="EL695" s="38"/>
      <c r="EM695" s="38"/>
      <c r="EN695" s="38"/>
      <c r="EO695" s="38"/>
      <c r="EP695" s="38"/>
      <c r="EQ695" s="38"/>
      <c r="ER695" s="38"/>
      <c r="ES695" s="38"/>
      <c r="ET695" s="38"/>
      <c r="EU695" s="38"/>
      <c r="EV695" s="38"/>
      <c r="EW695" s="38"/>
      <c r="EX695" s="38"/>
      <c r="EY695" s="38"/>
      <c r="EZ695" s="38"/>
      <c r="FA695" s="38"/>
      <c r="FB695" s="38"/>
      <c r="FC695" s="38"/>
      <c r="FD695" s="38"/>
      <c r="FE695" s="38"/>
      <c r="FF695" s="38"/>
      <c r="FG695" s="38"/>
      <c r="FH695" s="38"/>
      <c r="FI695" s="38"/>
      <c r="FJ695" s="38"/>
      <c r="FK695" s="38"/>
      <c r="FL695" s="38"/>
      <c r="FM695" s="38"/>
    </row>
    <row r="696" spans="1:169" s="1" customFormat="1" ht="15.6" x14ac:dyDescent="0.3">
      <c r="A696" s="35"/>
      <c r="B696" s="57"/>
      <c r="C696" s="74"/>
      <c r="D696" s="58"/>
      <c r="E696" s="50"/>
      <c r="F696" s="151"/>
      <c r="G696" s="16"/>
      <c r="H696" s="16"/>
      <c r="I696" s="29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  <c r="CN696" s="36"/>
      <c r="CO696" s="36"/>
      <c r="CP696" s="36"/>
      <c r="CQ696" s="36"/>
      <c r="CR696" s="36"/>
      <c r="CS696" s="36"/>
      <c r="CT696" s="36"/>
      <c r="CU696" s="36"/>
      <c r="CV696" s="36"/>
      <c r="CW696" s="36"/>
      <c r="CX696" s="36"/>
      <c r="CY696" s="36"/>
      <c r="CZ696" s="36"/>
      <c r="DA696" s="36"/>
      <c r="DB696" s="36"/>
      <c r="DC696" s="36"/>
      <c r="DD696" s="36"/>
      <c r="DE696" s="36"/>
      <c r="DF696" s="36"/>
      <c r="DG696" s="36"/>
      <c r="DH696" s="36"/>
      <c r="DI696" s="36"/>
      <c r="DJ696" s="36"/>
      <c r="DK696" s="36"/>
      <c r="DL696" s="36"/>
      <c r="DM696" s="36"/>
      <c r="DN696" s="36"/>
      <c r="DO696" s="38"/>
      <c r="DP696" s="38"/>
      <c r="DQ696" s="38"/>
      <c r="DR696" s="38"/>
      <c r="DS696" s="38"/>
      <c r="DT696" s="38"/>
      <c r="DU696" s="38"/>
      <c r="DV696" s="38"/>
      <c r="DW696" s="38"/>
      <c r="DX696" s="38"/>
      <c r="DY696" s="38"/>
      <c r="DZ696" s="38"/>
      <c r="EA696" s="38"/>
      <c r="EB696" s="38"/>
      <c r="EC696" s="38"/>
      <c r="ED696" s="38"/>
      <c r="EE696" s="38"/>
      <c r="EF696" s="38"/>
      <c r="EG696" s="38"/>
      <c r="EH696" s="38"/>
      <c r="EI696" s="38"/>
      <c r="EJ696" s="38"/>
      <c r="EK696" s="38"/>
      <c r="EL696" s="38"/>
      <c r="EM696" s="38"/>
      <c r="EN696" s="38"/>
      <c r="EO696" s="38"/>
      <c r="EP696" s="38"/>
      <c r="EQ696" s="38"/>
      <c r="ER696" s="38"/>
      <c r="ES696" s="38"/>
      <c r="ET696" s="38"/>
      <c r="EU696" s="38"/>
      <c r="EV696" s="38"/>
      <c r="EW696" s="38"/>
      <c r="EX696" s="38"/>
      <c r="EY696" s="38"/>
      <c r="EZ696" s="38"/>
      <c r="FA696" s="38"/>
      <c r="FB696" s="38"/>
      <c r="FC696" s="38"/>
      <c r="FD696" s="38"/>
      <c r="FE696" s="38"/>
      <c r="FF696" s="38"/>
      <c r="FG696" s="38"/>
      <c r="FH696" s="38"/>
      <c r="FI696" s="38"/>
      <c r="FJ696" s="38"/>
      <c r="FK696" s="38"/>
      <c r="FL696" s="38"/>
      <c r="FM696" s="38"/>
    </row>
    <row r="697" spans="1:169" s="8" customFormat="1" ht="15.6" x14ac:dyDescent="0.3">
      <c r="A697" s="36"/>
      <c r="B697" s="49"/>
      <c r="C697" s="49"/>
      <c r="D697" s="49"/>
      <c r="E697" s="69"/>
      <c r="F697" s="150"/>
      <c r="G697" s="16"/>
      <c r="H697" s="16"/>
      <c r="I697" s="29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6"/>
      <c r="CI697" s="36"/>
      <c r="CJ697" s="36"/>
      <c r="CK697" s="36"/>
      <c r="CL697" s="36"/>
      <c r="CM697" s="36"/>
      <c r="CN697" s="36"/>
      <c r="CO697" s="36"/>
      <c r="CP697" s="36"/>
      <c r="CQ697" s="36"/>
      <c r="CR697" s="36"/>
      <c r="CS697" s="36"/>
      <c r="CT697" s="36"/>
      <c r="CU697" s="36"/>
      <c r="CV697" s="36"/>
      <c r="CW697" s="36"/>
      <c r="CX697" s="36"/>
      <c r="CY697" s="36"/>
      <c r="CZ697" s="36"/>
      <c r="DA697" s="36"/>
      <c r="DB697" s="36"/>
      <c r="DC697" s="36"/>
      <c r="DD697" s="36"/>
      <c r="DE697" s="36"/>
      <c r="DF697" s="36"/>
      <c r="DG697" s="36"/>
      <c r="DH697" s="36"/>
      <c r="DI697" s="36"/>
      <c r="DJ697" s="36"/>
      <c r="DK697" s="36"/>
      <c r="DL697" s="36"/>
      <c r="DM697" s="36"/>
      <c r="DN697" s="36"/>
      <c r="DO697" s="42"/>
      <c r="DP697" s="42"/>
      <c r="DQ697" s="42"/>
      <c r="DR697" s="42"/>
      <c r="DS697" s="42"/>
      <c r="DT697" s="42"/>
      <c r="DU697" s="42"/>
      <c r="DV697" s="42"/>
      <c r="DW697" s="42"/>
      <c r="DX697" s="42"/>
      <c r="DY697" s="42"/>
      <c r="DZ697" s="42"/>
      <c r="EA697" s="42"/>
      <c r="EB697" s="42"/>
      <c r="EC697" s="42"/>
      <c r="ED697" s="42"/>
      <c r="EE697" s="42"/>
      <c r="EF697" s="42"/>
      <c r="EG697" s="42"/>
      <c r="EH697" s="42"/>
      <c r="EI697" s="42"/>
      <c r="EJ697" s="42"/>
      <c r="EK697" s="42"/>
      <c r="EL697" s="42"/>
      <c r="EM697" s="42"/>
      <c r="EN697" s="42"/>
      <c r="EO697" s="42"/>
      <c r="EP697" s="42"/>
      <c r="EQ697" s="42"/>
      <c r="ER697" s="42"/>
      <c r="ES697" s="42"/>
      <c r="ET697" s="42"/>
      <c r="EU697" s="42"/>
      <c r="EV697" s="42"/>
      <c r="EW697" s="42"/>
      <c r="EX697" s="42"/>
      <c r="EY697" s="42"/>
      <c r="EZ697" s="42"/>
      <c r="FA697" s="42"/>
      <c r="FB697" s="42"/>
      <c r="FC697" s="42"/>
      <c r="FD697" s="42"/>
      <c r="FE697" s="42"/>
      <c r="FF697" s="42"/>
      <c r="FG697" s="42"/>
      <c r="FH697" s="42"/>
      <c r="FI697" s="42"/>
      <c r="FJ697" s="42"/>
      <c r="FK697" s="42"/>
      <c r="FL697" s="42"/>
      <c r="FM697" s="42"/>
    </row>
    <row r="698" spans="1:169" s="1" customFormat="1" ht="15.6" x14ac:dyDescent="0.3">
      <c r="A698" s="35"/>
      <c r="B698" s="74"/>
      <c r="C698" s="57"/>
      <c r="D698" s="58"/>
      <c r="E698" s="50"/>
      <c r="F698" s="151"/>
      <c r="G698" s="16"/>
      <c r="H698" s="16"/>
      <c r="I698" s="29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/>
      <c r="CC698" s="36"/>
      <c r="CD698" s="36"/>
      <c r="CE698" s="36"/>
      <c r="CF698" s="36"/>
      <c r="CG698" s="36"/>
      <c r="CH698" s="36"/>
      <c r="CI698" s="36"/>
      <c r="CJ698" s="36"/>
      <c r="CK698" s="36"/>
      <c r="CL698" s="36"/>
      <c r="CM698" s="36"/>
      <c r="CN698" s="36"/>
      <c r="CO698" s="36"/>
      <c r="CP698" s="36"/>
      <c r="CQ698" s="36"/>
      <c r="CR698" s="36"/>
      <c r="CS698" s="36"/>
      <c r="CT698" s="36"/>
      <c r="CU698" s="36"/>
      <c r="CV698" s="36"/>
      <c r="CW698" s="36"/>
      <c r="CX698" s="36"/>
      <c r="CY698" s="36"/>
      <c r="CZ698" s="36"/>
      <c r="DA698" s="36"/>
      <c r="DB698" s="36"/>
      <c r="DC698" s="36"/>
      <c r="DD698" s="36"/>
      <c r="DE698" s="36"/>
      <c r="DF698" s="36"/>
      <c r="DG698" s="36"/>
      <c r="DH698" s="36"/>
      <c r="DI698" s="36"/>
      <c r="DJ698" s="36"/>
      <c r="DK698" s="36"/>
      <c r="DL698" s="36"/>
      <c r="DM698" s="36"/>
      <c r="DN698" s="36"/>
      <c r="DO698" s="38"/>
      <c r="DP698" s="38"/>
      <c r="DQ698" s="38"/>
      <c r="DR698" s="38"/>
      <c r="DS698" s="38"/>
      <c r="DT698" s="38"/>
      <c r="DU698" s="38"/>
      <c r="DV698" s="38"/>
      <c r="DW698" s="38"/>
      <c r="DX698" s="38"/>
      <c r="DY698" s="38"/>
      <c r="DZ698" s="38"/>
      <c r="EA698" s="38"/>
      <c r="EB698" s="38"/>
      <c r="EC698" s="38"/>
      <c r="ED698" s="38"/>
      <c r="EE698" s="38"/>
      <c r="EF698" s="38"/>
      <c r="EG698" s="38"/>
      <c r="EH698" s="38"/>
      <c r="EI698" s="38"/>
      <c r="EJ698" s="38"/>
      <c r="EK698" s="38"/>
      <c r="EL698" s="38"/>
      <c r="EM698" s="38"/>
      <c r="EN698" s="38"/>
      <c r="EO698" s="38"/>
      <c r="EP698" s="38"/>
      <c r="EQ698" s="38"/>
      <c r="ER698" s="38"/>
      <c r="ES698" s="38"/>
      <c r="ET698" s="38"/>
      <c r="EU698" s="38"/>
      <c r="EV698" s="38"/>
      <c r="EW698" s="38"/>
      <c r="EX698" s="38"/>
      <c r="EY698" s="38"/>
      <c r="EZ698" s="38"/>
      <c r="FA698" s="38"/>
      <c r="FB698" s="38"/>
      <c r="FC698" s="38"/>
      <c r="FD698" s="38"/>
      <c r="FE698" s="38"/>
      <c r="FF698" s="38"/>
      <c r="FG698" s="38"/>
      <c r="FH698" s="38"/>
      <c r="FI698" s="38"/>
      <c r="FJ698" s="38"/>
      <c r="FK698" s="38"/>
      <c r="FL698" s="38"/>
      <c r="FM698" s="38"/>
    </row>
    <row r="699" spans="1:169" s="1" customFormat="1" ht="15.6" x14ac:dyDescent="0.3">
      <c r="A699" s="35"/>
      <c r="B699" s="74"/>
      <c r="C699" s="57"/>
      <c r="D699" s="58"/>
      <c r="E699" s="50"/>
      <c r="F699" s="151"/>
      <c r="G699" s="16"/>
      <c r="H699" s="16"/>
      <c r="I699" s="29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CL699" s="36"/>
      <c r="CM699" s="36"/>
      <c r="CN699" s="36"/>
      <c r="CO699" s="36"/>
      <c r="CP699" s="36"/>
      <c r="CQ699" s="36"/>
      <c r="CR699" s="36"/>
      <c r="CS699" s="36"/>
      <c r="CT699" s="36"/>
      <c r="CU699" s="36"/>
      <c r="CV699" s="36"/>
      <c r="CW699" s="36"/>
      <c r="CX699" s="36"/>
      <c r="CY699" s="36"/>
      <c r="CZ699" s="36"/>
      <c r="DA699" s="36"/>
      <c r="DB699" s="36"/>
      <c r="DC699" s="36"/>
      <c r="DD699" s="36"/>
      <c r="DE699" s="36"/>
      <c r="DF699" s="36"/>
      <c r="DG699" s="36"/>
      <c r="DH699" s="36"/>
      <c r="DI699" s="36"/>
      <c r="DJ699" s="36"/>
      <c r="DK699" s="36"/>
      <c r="DL699" s="36"/>
      <c r="DM699" s="36"/>
      <c r="DN699" s="36"/>
      <c r="DO699" s="38"/>
      <c r="DP699" s="38"/>
      <c r="DQ699" s="38"/>
      <c r="DR699" s="38"/>
      <c r="DS699" s="38"/>
      <c r="DT699" s="38"/>
      <c r="DU699" s="38"/>
      <c r="DV699" s="38"/>
      <c r="DW699" s="38"/>
      <c r="DX699" s="38"/>
      <c r="DY699" s="38"/>
      <c r="DZ699" s="38"/>
      <c r="EA699" s="38"/>
      <c r="EB699" s="38"/>
      <c r="EC699" s="38"/>
      <c r="ED699" s="38"/>
      <c r="EE699" s="38"/>
      <c r="EF699" s="38"/>
      <c r="EG699" s="38"/>
      <c r="EH699" s="38"/>
      <c r="EI699" s="38"/>
      <c r="EJ699" s="38"/>
      <c r="EK699" s="38"/>
      <c r="EL699" s="38"/>
      <c r="EM699" s="38"/>
      <c r="EN699" s="38"/>
      <c r="EO699" s="38"/>
      <c r="EP699" s="38"/>
      <c r="EQ699" s="38"/>
      <c r="ER699" s="38"/>
      <c r="ES699" s="38"/>
      <c r="ET699" s="38"/>
      <c r="EU699" s="38"/>
      <c r="EV699" s="38"/>
      <c r="EW699" s="38"/>
      <c r="EX699" s="38"/>
      <c r="EY699" s="38"/>
      <c r="EZ699" s="38"/>
      <c r="FA699" s="38"/>
      <c r="FB699" s="38"/>
      <c r="FC699" s="38"/>
      <c r="FD699" s="38"/>
      <c r="FE699" s="38"/>
      <c r="FF699" s="38"/>
      <c r="FG699" s="38"/>
      <c r="FH699" s="38"/>
      <c r="FI699" s="38"/>
      <c r="FJ699" s="38"/>
      <c r="FK699" s="38"/>
      <c r="FL699" s="38"/>
      <c r="FM699" s="38"/>
    </row>
    <row r="700" spans="1:169" s="1" customFormat="1" ht="15.6" x14ac:dyDescent="0.3">
      <c r="A700" s="35"/>
      <c r="B700" s="74"/>
      <c r="C700" s="57"/>
      <c r="D700" s="58"/>
      <c r="E700" s="50"/>
      <c r="F700" s="151"/>
      <c r="G700" s="16"/>
      <c r="H700" s="16"/>
      <c r="I700" s="29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CL700" s="36"/>
      <c r="CM700" s="36"/>
      <c r="CN700" s="36"/>
      <c r="CO700" s="36"/>
      <c r="CP700" s="36"/>
      <c r="CQ700" s="36"/>
      <c r="CR700" s="36"/>
      <c r="CS700" s="36"/>
      <c r="CT700" s="36"/>
      <c r="CU700" s="36"/>
      <c r="CV700" s="36"/>
      <c r="CW700" s="36"/>
      <c r="CX700" s="36"/>
      <c r="CY700" s="36"/>
      <c r="CZ700" s="36"/>
      <c r="DA700" s="36"/>
      <c r="DB700" s="36"/>
      <c r="DC700" s="36"/>
      <c r="DD700" s="36"/>
      <c r="DE700" s="36"/>
      <c r="DF700" s="36"/>
      <c r="DG700" s="36"/>
      <c r="DH700" s="36"/>
      <c r="DI700" s="36"/>
      <c r="DJ700" s="36"/>
      <c r="DK700" s="36"/>
      <c r="DL700" s="36"/>
      <c r="DM700" s="36"/>
      <c r="DN700" s="36"/>
      <c r="DO700" s="38"/>
      <c r="DP700" s="38"/>
      <c r="DQ700" s="38"/>
      <c r="DR700" s="38"/>
      <c r="DS700" s="38"/>
      <c r="DT700" s="38"/>
      <c r="DU700" s="38"/>
      <c r="DV700" s="38"/>
      <c r="DW700" s="38"/>
      <c r="DX700" s="38"/>
      <c r="DY700" s="38"/>
      <c r="DZ700" s="38"/>
      <c r="EA700" s="38"/>
      <c r="EB700" s="38"/>
      <c r="EC700" s="38"/>
      <c r="ED700" s="38"/>
      <c r="EE700" s="38"/>
      <c r="EF700" s="38"/>
      <c r="EG700" s="38"/>
      <c r="EH700" s="38"/>
      <c r="EI700" s="38"/>
      <c r="EJ700" s="38"/>
      <c r="EK700" s="38"/>
      <c r="EL700" s="38"/>
      <c r="EM700" s="38"/>
      <c r="EN700" s="38"/>
      <c r="EO700" s="38"/>
      <c r="EP700" s="38"/>
      <c r="EQ700" s="38"/>
      <c r="ER700" s="38"/>
      <c r="ES700" s="38"/>
      <c r="ET700" s="38"/>
      <c r="EU700" s="38"/>
      <c r="EV700" s="38"/>
      <c r="EW700" s="38"/>
      <c r="EX700" s="38"/>
      <c r="EY700" s="38"/>
      <c r="EZ700" s="38"/>
      <c r="FA700" s="38"/>
      <c r="FB700" s="38"/>
      <c r="FC700" s="38"/>
      <c r="FD700" s="38"/>
      <c r="FE700" s="38"/>
      <c r="FF700" s="38"/>
      <c r="FG700" s="38"/>
      <c r="FH700" s="38"/>
      <c r="FI700" s="38"/>
      <c r="FJ700" s="38"/>
      <c r="FK700" s="38"/>
      <c r="FL700" s="38"/>
      <c r="FM700" s="38"/>
    </row>
    <row r="701" spans="1:169" s="1" customFormat="1" ht="15.6" x14ac:dyDescent="0.3">
      <c r="A701" s="35"/>
      <c r="B701" s="74"/>
      <c r="C701" s="57"/>
      <c r="D701" s="58"/>
      <c r="E701" s="50"/>
      <c r="F701" s="151"/>
      <c r="G701" s="16"/>
      <c r="H701" s="16"/>
      <c r="I701" s="29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  <c r="BS701" s="36"/>
      <c r="BT701" s="36"/>
      <c r="BU701" s="36"/>
      <c r="BV701" s="36"/>
      <c r="BW701" s="36"/>
      <c r="BX701" s="36"/>
      <c r="BY701" s="36"/>
      <c r="BZ701" s="36"/>
      <c r="CA701" s="36"/>
      <c r="CB701" s="36"/>
      <c r="CC701" s="36"/>
      <c r="CD701" s="36"/>
      <c r="CE701" s="36"/>
      <c r="CF701" s="36"/>
      <c r="CG701" s="36"/>
      <c r="CH701" s="36"/>
      <c r="CI701" s="36"/>
      <c r="CJ701" s="36"/>
      <c r="CK701" s="36"/>
      <c r="CL701" s="36"/>
      <c r="CM701" s="36"/>
      <c r="CN701" s="36"/>
      <c r="CO701" s="36"/>
      <c r="CP701" s="36"/>
      <c r="CQ701" s="36"/>
      <c r="CR701" s="36"/>
      <c r="CS701" s="36"/>
      <c r="CT701" s="36"/>
      <c r="CU701" s="36"/>
      <c r="CV701" s="36"/>
      <c r="CW701" s="36"/>
      <c r="CX701" s="36"/>
      <c r="CY701" s="36"/>
      <c r="CZ701" s="36"/>
      <c r="DA701" s="36"/>
      <c r="DB701" s="36"/>
      <c r="DC701" s="36"/>
      <c r="DD701" s="36"/>
      <c r="DE701" s="36"/>
      <c r="DF701" s="36"/>
      <c r="DG701" s="36"/>
      <c r="DH701" s="36"/>
      <c r="DI701" s="36"/>
      <c r="DJ701" s="36"/>
      <c r="DK701" s="36"/>
      <c r="DL701" s="36"/>
      <c r="DM701" s="36"/>
      <c r="DN701" s="36"/>
      <c r="DO701" s="38"/>
      <c r="DP701" s="38"/>
      <c r="DQ701" s="38"/>
      <c r="DR701" s="38"/>
      <c r="DS701" s="38"/>
      <c r="DT701" s="38"/>
      <c r="DU701" s="38"/>
      <c r="DV701" s="38"/>
      <c r="DW701" s="38"/>
      <c r="DX701" s="38"/>
      <c r="DY701" s="38"/>
      <c r="DZ701" s="38"/>
      <c r="EA701" s="38"/>
      <c r="EB701" s="38"/>
      <c r="EC701" s="38"/>
      <c r="ED701" s="38"/>
      <c r="EE701" s="38"/>
      <c r="EF701" s="38"/>
      <c r="EG701" s="38"/>
      <c r="EH701" s="38"/>
      <c r="EI701" s="38"/>
      <c r="EJ701" s="38"/>
      <c r="EK701" s="38"/>
      <c r="EL701" s="38"/>
      <c r="EM701" s="38"/>
      <c r="EN701" s="38"/>
      <c r="EO701" s="38"/>
      <c r="EP701" s="38"/>
      <c r="EQ701" s="38"/>
      <c r="ER701" s="38"/>
      <c r="ES701" s="38"/>
      <c r="ET701" s="38"/>
      <c r="EU701" s="38"/>
      <c r="EV701" s="38"/>
      <c r="EW701" s="38"/>
      <c r="EX701" s="38"/>
      <c r="EY701" s="38"/>
      <c r="EZ701" s="38"/>
      <c r="FA701" s="38"/>
      <c r="FB701" s="38"/>
      <c r="FC701" s="38"/>
      <c r="FD701" s="38"/>
      <c r="FE701" s="38"/>
      <c r="FF701" s="38"/>
      <c r="FG701" s="38"/>
      <c r="FH701" s="38"/>
      <c r="FI701" s="38"/>
      <c r="FJ701" s="38"/>
      <c r="FK701" s="38"/>
      <c r="FL701" s="38"/>
      <c r="FM701" s="38"/>
    </row>
    <row r="702" spans="1:169" s="1" customFormat="1" ht="15.6" x14ac:dyDescent="0.3">
      <c r="A702" s="35"/>
      <c r="B702" s="74"/>
      <c r="C702" s="57"/>
      <c r="D702" s="58"/>
      <c r="E702" s="50"/>
      <c r="F702" s="151"/>
      <c r="G702" s="16"/>
      <c r="H702" s="16"/>
      <c r="I702" s="29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  <c r="BW702" s="36"/>
      <c r="BX702" s="36"/>
      <c r="BY702" s="36"/>
      <c r="BZ702" s="36"/>
      <c r="CA702" s="36"/>
      <c r="CB702" s="36"/>
      <c r="CC702" s="36"/>
      <c r="CD702" s="36"/>
      <c r="CE702" s="36"/>
      <c r="CF702" s="36"/>
      <c r="CG702" s="36"/>
      <c r="CH702" s="36"/>
      <c r="CI702" s="36"/>
      <c r="CJ702" s="36"/>
      <c r="CK702" s="36"/>
      <c r="CL702" s="36"/>
      <c r="CM702" s="36"/>
      <c r="CN702" s="36"/>
      <c r="CO702" s="36"/>
      <c r="CP702" s="36"/>
      <c r="CQ702" s="36"/>
      <c r="CR702" s="36"/>
      <c r="CS702" s="36"/>
      <c r="CT702" s="36"/>
      <c r="CU702" s="36"/>
      <c r="CV702" s="36"/>
      <c r="CW702" s="36"/>
      <c r="CX702" s="36"/>
      <c r="CY702" s="36"/>
      <c r="CZ702" s="36"/>
      <c r="DA702" s="36"/>
      <c r="DB702" s="36"/>
      <c r="DC702" s="36"/>
      <c r="DD702" s="36"/>
      <c r="DE702" s="36"/>
      <c r="DF702" s="36"/>
      <c r="DG702" s="36"/>
      <c r="DH702" s="36"/>
      <c r="DI702" s="36"/>
      <c r="DJ702" s="36"/>
      <c r="DK702" s="36"/>
      <c r="DL702" s="36"/>
      <c r="DM702" s="36"/>
      <c r="DN702" s="36"/>
      <c r="DO702" s="38"/>
      <c r="DP702" s="38"/>
      <c r="DQ702" s="38"/>
      <c r="DR702" s="38"/>
      <c r="DS702" s="38"/>
      <c r="DT702" s="38"/>
      <c r="DU702" s="38"/>
      <c r="DV702" s="38"/>
      <c r="DW702" s="38"/>
      <c r="DX702" s="38"/>
      <c r="DY702" s="38"/>
      <c r="DZ702" s="38"/>
      <c r="EA702" s="38"/>
      <c r="EB702" s="38"/>
      <c r="EC702" s="38"/>
      <c r="ED702" s="38"/>
      <c r="EE702" s="38"/>
      <c r="EF702" s="38"/>
      <c r="EG702" s="38"/>
      <c r="EH702" s="38"/>
      <c r="EI702" s="38"/>
      <c r="EJ702" s="38"/>
      <c r="EK702" s="38"/>
      <c r="EL702" s="38"/>
      <c r="EM702" s="38"/>
      <c r="EN702" s="38"/>
      <c r="EO702" s="38"/>
      <c r="EP702" s="38"/>
      <c r="EQ702" s="38"/>
      <c r="ER702" s="38"/>
      <c r="ES702" s="38"/>
      <c r="ET702" s="38"/>
      <c r="EU702" s="38"/>
      <c r="EV702" s="38"/>
      <c r="EW702" s="38"/>
      <c r="EX702" s="38"/>
      <c r="EY702" s="38"/>
      <c r="EZ702" s="38"/>
      <c r="FA702" s="38"/>
      <c r="FB702" s="38"/>
      <c r="FC702" s="38"/>
      <c r="FD702" s="38"/>
      <c r="FE702" s="38"/>
      <c r="FF702" s="38"/>
      <c r="FG702" s="38"/>
      <c r="FH702" s="38"/>
      <c r="FI702" s="38"/>
      <c r="FJ702" s="38"/>
      <c r="FK702" s="38"/>
      <c r="FL702" s="38"/>
      <c r="FM702" s="38"/>
    </row>
    <row r="703" spans="1:169" s="3" customFormat="1" ht="15.6" x14ac:dyDescent="0.3">
      <c r="A703" s="36"/>
      <c r="B703" s="49"/>
      <c r="C703" s="49"/>
      <c r="D703" s="49"/>
      <c r="E703" s="69"/>
      <c r="F703" s="146"/>
      <c r="G703" s="16"/>
      <c r="H703" s="16"/>
      <c r="I703" s="29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CL703" s="36"/>
      <c r="CM703" s="36"/>
      <c r="CN703" s="36"/>
      <c r="CO703" s="36"/>
      <c r="CP703" s="36"/>
      <c r="CQ703" s="36"/>
      <c r="CR703" s="36"/>
      <c r="CS703" s="36"/>
      <c r="CT703" s="36"/>
      <c r="CU703" s="36"/>
      <c r="CV703" s="36"/>
      <c r="CW703" s="36"/>
      <c r="CX703" s="36"/>
      <c r="CY703" s="36"/>
      <c r="CZ703" s="36"/>
      <c r="DA703" s="36"/>
      <c r="DB703" s="36"/>
      <c r="DC703" s="36"/>
      <c r="DD703" s="36"/>
      <c r="DE703" s="36"/>
      <c r="DF703" s="36"/>
      <c r="DG703" s="36"/>
      <c r="DH703" s="36"/>
      <c r="DI703" s="36"/>
      <c r="DJ703" s="36"/>
      <c r="DK703" s="36"/>
      <c r="DL703" s="36"/>
      <c r="DM703" s="36"/>
      <c r="DN703" s="36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  <c r="DY703" s="39"/>
      <c r="DZ703" s="39"/>
      <c r="EA703" s="39"/>
      <c r="EB703" s="39"/>
      <c r="EC703" s="39"/>
      <c r="ED703" s="39"/>
      <c r="EE703" s="39"/>
      <c r="EF703" s="39"/>
      <c r="EG703" s="39"/>
      <c r="EH703" s="39"/>
      <c r="EI703" s="39"/>
      <c r="EJ703" s="39"/>
      <c r="EK703" s="39"/>
      <c r="EL703" s="39"/>
      <c r="EM703" s="39"/>
      <c r="EN703" s="39"/>
      <c r="EO703" s="39"/>
      <c r="EP703" s="39"/>
      <c r="EQ703" s="39"/>
      <c r="ER703" s="39"/>
      <c r="ES703" s="39"/>
      <c r="ET703" s="39"/>
      <c r="EU703" s="39"/>
      <c r="EV703" s="39"/>
      <c r="EW703" s="39"/>
      <c r="EX703" s="39"/>
      <c r="EY703" s="39"/>
      <c r="EZ703" s="39"/>
      <c r="FA703" s="39"/>
      <c r="FB703" s="39"/>
      <c r="FC703" s="39"/>
      <c r="FD703" s="39"/>
      <c r="FE703" s="39"/>
      <c r="FF703" s="39"/>
      <c r="FG703" s="39"/>
      <c r="FH703" s="39"/>
      <c r="FI703" s="39"/>
      <c r="FJ703" s="39"/>
      <c r="FK703" s="39"/>
      <c r="FL703" s="39"/>
      <c r="FM703" s="39"/>
    </row>
    <row r="704" spans="1:169" s="1" customFormat="1" ht="15.6" x14ac:dyDescent="0.3">
      <c r="A704" s="35"/>
      <c r="B704" s="58"/>
      <c r="C704" s="57"/>
      <c r="D704" s="58"/>
      <c r="E704" s="50"/>
      <c r="F704" s="151"/>
      <c r="G704" s="16"/>
      <c r="H704" s="16"/>
      <c r="I704" s="29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/>
      <c r="CE704" s="36"/>
      <c r="CF704" s="36"/>
      <c r="CG704" s="36"/>
      <c r="CH704" s="36"/>
      <c r="CI704" s="36"/>
      <c r="CJ704" s="36"/>
      <c r="CK704" s="36"/>
      <c r="CL704" s="36"/>
      <c r="CM704" s="36"/>
      <c r="CN704" s="36"/>
      <c r="CO704" s="36"/>
      <c r="CP704" s="36"/>
      <c r="CQ704" s="36"/>
      <c r="CR704" s="36"/>
      <c r="CS704" s="36"/>
      <c r="CT704" s="36"/>
      <c r="CU704" s="36"/>
      <c r="CV704" s="36"/>
      <c r="CW704" s="36"/>
      <c r="CX704" s="36"/>
      <c r="CY704" s="36"/>
      <c r="CZ704" s="36"/>
      <c r="DA704" s="36"/>
      <c r="DB704" s="36"/>
      <c r="DC704" s="36"/>
      <c r="DD704" s="36"/>
      <c r="DE704" s="36"/>
      <c r="DF704" s="36"/>
      <c r="DG704" s="36"/>
      <c r="DH704" s="36"/>
      <c r="DI704" s="36"/>
      <c r="DJ704" s="36"/>
      <c r="DK704" s="36"/>
      <c r="DL704" s="36"/>
      <c r="DM704" s="36"/>
      <c r="DN704" s="36"/>
      <c r="DO704" s="38"/>
      <c r="DP704" s="38"/>
      <c r="DQ704" s="38"/>
      <c r="DR704" s="38"/>
      <c r="DS704" s="38"/>
      <c r="DT704" s="38"/>
      <c r="DU704" s="38"/>
      <c r="DV704" s="38"/>
      <c r="DW704" s="38"/>
      <c r="DX704" s="38"/>
      <c r="DY704" s="38"/>
      <c r="DZ704" s="38"/>
      <c r="EA704" s="38"/>
      <c r="EB704" s="38"/>
      <c r="EC704" s="38"/>
      <c r="ED704" s="38"/>
      <c r="EE704" s="38"/>
      <c r="EF704" s="38"/>
      <c r="EG704" s="38"/>
      <c r="EH704" s="38"/>
      <c r="EI704" s="38"/>
      <c r="EJ704" s="38"/>
      <c r="EK704" s="38"/>
      <c r="EL704" s="38"/>
      <c r="EM704" s="38"/>
      <c r="EN704" s="38"/>
      <c r="EO704" s="38"/>
      <c r="EP704" s="38"/>
      <c r="EQ704" s="38"/>
      <c r="ER704" s="38"/>
      <c r="ES704" s="38"/>
      <c r="ET704" s="38"/>
      <c r="EU704" s="38"/>
      <c r="EV704" s="38"/>
      <c r="EW704" s="38"/>
      <c r="EX704" s="38"/>
      <c r="EY704" s="38"/>
      <c r="EZ704" s="38"/>
      <c r="FA704" s="38"/>
      <c r="FB704" s="38"/>
      <c r="FC704" s="38"/>
      <c r="FD704" s="38"/>
      <c r="FE704" s="38"/>
      <c r="FF704" s="38"/>
      <c r="FG704" s="38"/>
      <c r="FH704" s="38"/>
      <c r="FI704" s="38"/>
      <c r="FJ704" s="38"/>
      <c r="FK704" s="38"/>
      <c r="FL704" s="38"/>
      <c r="FM704" s="38"/>
    </row>
    <row r="705" spans="1:169" s="1" customFormat="1" ht="15.6" x14ac:dyDescent="0.3">
      <c r="A705" s="35"/>
      <c r="B705" s="76"/>
      <c r="C705" s="74"/>
      <c r="D705" s="58"/>
      <c r="E705" s="50"/>
      <c r="F705" s="151"/>
      <c r="G705" s="16"/>
      <c r="H705" s="16"/>
      <c r="I705" s="29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  <c r="BW705" s="36"/>
      <c r="BX705" s="36"/>
      <c r="BY705" s="36"/>
      <c r="BZ705" s="36"/>
      <c r="CA705" s="36"/>
      <c r="CB705" s="36"/>
      <c r="CC705" s="36"/>
      <c r="CD705" s="36"/>
      <c r="CE705" s="36"/>
      <c r="CF705" s="36"/>
      <c r="CG705" s="36"/>
      <c r="CH705" s="36"/>
      <c r="CI705" s="36"/>
      <c r="CJ705" s="36"/>
      <c r="CK705" s="36"/>
      <c r="CL705" s="36"/>
      <c r="CM705" s="36"/>
      <c r="CN705" s="36"/>
      <c r="CO705" s="36"/>
      <c r="CP705" s="36"/>
      <c r="CQ705" s="36"/>
      <c r="CR705" s="36"/>
      <c r="CS705" s="36"/>
      <c r="CT705" s="36"/>
      <c r="CU705" s="36"/>
      <c r="CV705" s="36"/>
      <c r="CW705" s="36"/>
      <c r="CX705" s="36"/>
      <c r="CY705" s="36"/>
      <c r="CZ705" s="36"/>
      <c r="DA705" s="36"/>
      <c r="DB705" s="36"/>
      <c r="DC705" s="36"/>
      <c r="DD705" s="36"/>
      <c r="DE705" s="36"/>
      <c r="DF705" s="36"/>
      <c r="DG705" s="36"/>
      <c r="DH705" s="36"/>
      <c r="DI705" s="36"/>
      <c r="DJ705" s="36"/>
      <c r="DK705" s="36"/>
      <c r="DL705" s="36"/>
      <c r="DM705" s="36"/>
      <c r="DN705" s="36"/>
      <c r="DO705" s="38"/>
      <c r="DP705" s="38"/>
      <c r="DQ705" s="38"/>
      <c r="DR705" s="38"/>
      <c r="DS705" s="38"/>
      <c r="DT705" s="38"/>
      <c r="DU705" s="38"/>
      <c r="DV705" s="38"/>
      <c r="DW705" s="38"/>
      <c r="DX705" s="38"/>
      <c r="DY705" s="38"/>
      <c r="DZ705" s="38"/>
      <c r="EA705" s="38"/>
      <c r="EB705" s="38"/>
      <c r="EC705" s="38"/>
      <c r="ED705" s="38"/>
      <c r="EE705" s="38"/>
      <c r="EF705" s="38"/>
      <c r="EG705" s="38"/>
      <c r="EH705" s="38"/>
      <c r="EI705" s="38"/>
      <c r="EJ705" s="38"/>
      <c r="EK705" s="38"/>
      <c r="EL705" s="38"/>
      <c r="EM705" s="38"/>
      <c r="EN705" s="38"/>
      <c r="EO705" s="38"/>
      <c r="EP705" s="38"/>
      <c r="EQ705" s="38"/>
      <c r="ER705" s="38"/>
      <c r="ES705" s="38"/>
      <c r="ET705" s="38"/>
      <c r="EU705" s="38"/>
      <c r="EV705" s="38"/>
      <c r="EW705" s="38"/>
      <c r="EX705" s="38"/>
      <c r="EY705" s="38"/>
      <c r="EZ705" s="38"/>
      <c r="FA705" s="38"/>
      <c r="FB705" s="38"/>
      <c r="FC705" s="38"/>
      <c r="FD705" s="38"/>
      <c r="FE705" s="38"/>
      <c r="FF705" s="38"/>
      <c r="FG705" s="38"/>
      <c r="FH705" s="38"/>
      <c r="FI705" s="38"/>
      <c r="FJ705" s="38"/>
      <c r="FK705" s="38"/>
      <c r="FL705" s="38"/>
      <c r="FM705" s="38"/>
    </row>
    <row r="706" spans="1:169" s="1" customFormat="1" ht="15.6" x14ac:dyDescent="0.3">
      <c r="A706" s="35"/>
      <c r="B706" s="57"/>
      <c r="C706" s="57"/>
      <c r="D706" s="58"/>
      <c r="E706" s="50"/>
      <c r="F706" s="151"/>
      <c r="G706" s="16"/>
      <c r="H706" s="16"/>
      <c r="I706" s="29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CL706" s="36"/>
      <c r="CM706" s="36"/>
      <c r="CN706" s="36"/>
      <c r="CO706" s="36"/>
      <c r="CP706" s="36"/>
      <c r="CQ706" s="36"/>
      <c r="CR706" s="36"/>
      <c r="CS706" s="36"/>
      <c r="CT706" s="36"/>
      <c r="CU706" s="36"/>
      <c r="CV706" s="36"/>
      <c r="CW706" s="36"/>
      <c r="CX706" s="36"/>
      <c r="CY706" s="36"/>
      <c r="CZ706" s="36"/>
      <c r="DA706" s="36"/>
      <c r="DB706" s="36"/>
      <c r="DC706" s="36"/>
      <c r="DD706" s="36"/>
      <c r="DE706" s="36"/>
      <c r="DF706" s="36"/>
      <c r="DG706" s="36"/>
      <c r="DH706" s="36"/>
      <c r="DI706" s="36"/>
      <c r="DJ706" s="36"/>
      <c r="DK706" s="36"/>
      <c r="DL706" s="36"/>
      <c r="DM706" s="36"/>
      <c r="DN706" s="36"/>
      <c r="DO706" s="38"/>
      <c r="DP706" s="38"/>
      <c r="DQ706" s="38"/>
      <c r="DR706" s="38"/>
      <c r="DS706" s="38"/>
      <c r="DT706" s="38"/>
      <c r="DU706" s="38"/>
      <c r="DV706" s="38"/>
      <c r="DW706" s="38"/>
      <c r="DX706" s="38"/>
      <c r="DY706" s="38"/>
      <c r="DZ706" s="38"/>
      <c r="EA706" s="38"/>
      <c r="EB706" s="38"/>
      <c r="EC706" s="38"/>
      <c r="ED706" s="38"/>
      <c r="EE706" s="38"/>
      <c r="EF706" s="38"/>
      <c r="EG706" s="38"/>
      <c r="EH706" s="38"/>
      <c r="EI706" s="38"/>
      <c r="EJ706" s="38"/>
      <c r="EK706" s="38"/>
      <c r="EL706" s="38"/>
      <c r="EM706" s="38"/>
      <c r="EN706" s="38"/>
      <c r="EO706" s="38"/>
      <c r="EP706" s="38"/>
      <c r="EQ706" s="38"/>
      <c r="ER706" s="38"/>
      <c r="ES706" s="38"/>
      <c r="ET706" s="38"/>
      <c r="EU706" s="38"/>
      <c r="EV706" s="38"/>
      <c r="EW706" s="38"/>
      <c r="EX706" s="38"/>
      <c r="EY706" s="38"/>
      <c r="EZ706" s="38"/>
      <c r="FA706" s="38"/>
      <c r="FB706" s="38"/>
      <c r="FC706" s="38"/>
      <c r="FD706" s="38"/>
      <c r="FE706" s="38"/>
      <c r="FF706" s="38"/>
      <c r="FG706" s="38"/>
      <c r="FH706" s="38"/>
      <c r="FI706" s="38"/>
      <c r="FJ706" s="38"/>
      <c r="FK706" s="38"/>
      <c r="FL706" s="38"/>
      <c r="FM706" s="38"/>
    </row>
    <row r="707" spans="1:169" s="1" customFormat="1" ht="15.6" x14ac:dyDescent="0.3">
      <c r="A707" s="35"/>
      <c r="B707" s="57"/>
      <c r="C707" s="57"/>
      <c r="D707" s="58"/>
      <c r="E707" s="50"/>
      <c r="F707" s="151"/>
      <c r="G707" s="16"/>
      <c r="H707" s="16"/>
      <c r="I707" s="29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  <c r="BS707" s="36"/>
      <c r="BT707" s="36"/>
      <c r="BU707" s="36"/>
      <c r="BV707" s="36"/>
      <c r="BW707" s="36"/>
      <c r="BX707" s="36"/>
      <c r="BY707" s="36"/>
      <c r="BZ707" s="36"/>
      <c r="CA707" s="36"/>
      <c r="CB707" s="36"/>
      <c r="CC707" s="36"/>
      <c r="CD707" s="36"/>
      <c r="CE707" s="36"/>
      <c r="CF707" s="36"/>
      <c r="CG707" s="36"/>
      <c r="CH707" s="36"/>
      <c r="CI707" s="36"/>
      <c r="CJ707" s="36"/>
      <c r="CK707" s="36"/>
      <c r="CL707" s="36"/>
      <c r="CM707" s="36"/>
      <c r="CN707" s="36"/>
      <c r="CO707" s="36"/>
      <c r="CP707" s="36"/>
      <c r="CQ707" s="36"/>
      <c r="CR707" s="36"/>
      <c r="CS707" s="36"/>
      <c r="CT707" s="36"/>
      <c r="CU707" s="36"/>
      <c r="CV707" s="36"/>
      <c r="CW707" s="36"/>
      <c r="CX707" s="36"/>
      <c r="CY707" s="36"/>
      <c r="CZ707" s="36"/>
      <c r="DA707" s="36"/>
      <c r="DB707" s="36"/>
      <c r="DC707" s="36"/>
      <c r="DD707" s="36"/>
      <c r="DE707" s="36"/>
      <c r="DF707" s="36"/>
      <c r="DG707" s="36"/>
      <c r="DH707" s="36"/>
      <c r="DI707" s="36"/>
      <c r="DJ707" s="36"/>
      <c r="DK707" s="36"/>
      <c r="DL707" s="36"/>
      <c r="DM707" s="36"/>
      <c r="DN707" s="36"/>
      <c r="DO707" s="38"/>
      <c r="DP707" s="38"/>
      <c r="DQ707" s="38"/>
      <c r="DR707" s="38"/>
      <c r="DS707" s="38"/>
      <c r="DT707" s="38"/>
      <c r="DU707" s="38"/>
      <c r="DV707" s="38"/>
      <c r="DW707" s="38"/>
      <c r="DX707" s="38"/>
      <c r="DY707" s="38"/>
      <c r="DZ707" s="38"/>
      <c r="EA707" s="38"/>
      <c r="EB707" s="38"/>
      <c r="EC707" s="38"/>
      <c r="ED707" s="38"/>
      <c r="EE707" s="38"/>
      <c r="EF707" s="38"/>
      <c r="EG707" s="38"/>
      <c r="EH707" s="38"/>
      <c r="EI707" s="38"/>
      <c r="EJ707" s="38"/>
      <c r="EK707" s="38"/>
      <c r="EL707" s="38"/>
      <c r="EM707" s="38"/>
      <c r="EN707" s="38"/>
      <c r="EO707" s="38"/>
      <c r="EP707" s="38"/>
      <c r="EQ707" s="38"/>
      <c r="ER707" s="38"/>
      <c r="ES707" s="38"/>
      <c r="ET707" s="38"/>
      <c r="EU707" s="38"/>
      <c r="EV707" s="38"/>
      <c r="EW707" s="38"/>
      <c r="EX707" s="38"/>
      <c r="EY707" s="38"/>
      <c r="EZ707" s="38"/>
      <c r="FA707" s="38"/>
      <c r="FB707" s="38"/>
      <c r="FC707" s="38"/>
      <c r="FD707" s="38"/>
      <c r="FE707" s="38"/>
      <c r="FF707" s="38"/>
      <c r="FG707" s="38"/>
      <c r="FH707" s="38"/>
      <c r="FI707" s="38"/>
      <c r="FJ707" s="38"/>
      <c r="FK707" s="38"/>
      <c r="FL707" s="38"/>
      <c r="FM707" s="38"/>
    </row>
    <row r="708" spans="1:169" s="1" customFormat="1" ht="15.6" x14ac:dyDescent="0.3">
      <c r="A708" s="36"/>
      <c r="B708" s="57"/>
      <c r="C708" s="49"/>
      <c r="D708" s="58"/>
      <c r="E708" s="50"/>
      <c r="F708" s="146"/>
      <c r="G708" s="16"/>
      <c r="H708" s="16"/>
      <c r="I708" s="29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  <c r="BS708" s="36"/>
      <c r="BT708" s="36"/>
      <c r="BU708" s="36"/>
      <c r="BV708" s="36"/>
      <c r="BW708" s="36"/>
      <c r="BX708" s="36"/>
      <c r="BY708" s="36"/>
      <c r="BZ708" s="36"/>
      <c r="CA708" s="36"/>
      <c r="CB708" s="36"/>
      <c r="CC708" s="36"/>
      <c r="CD708" s="36"/>
      <c r="CE708" s="36"/>
      <c r="CF708" s="36"/>
      <c r="CG708" s="36"/>
      <c r="CH708" s="36"/>
      <c r="CI708" s="36"/>
      <c r="CJ708" s="36"/>
      <c r="CK708" s="36"/>
      <c r="CL708" s="36"/>
      <c r="CM708" s="36"/>
      <c r="CN708" s="36"/>
      <c r="CO708" s="36"/>
      <c r="CP708" s="36"/>
      <c r="CQ708" s="36"/>
      <c r="CR708" s="36"/>
      <c r="CS708" s="36"/>
      <c r="CT708" s="36"/>
      <c r="CU708" s="36"/>
      <c r="CV708" s="36"/>
      <c r="CW708" s="36"/>
      <c r="CX708" s="36"/>
      <c r="CY708" s="36"/>
      <c r="CZ708" s="36"/>
      <c r="DA708" s="36"/>
      <c r="DB708" s="36"/>
      <c r="DC708" s="36"/>
      <c r="DD708" s="36"/>
      <c r="DE708" s="36"/>
      <c r="DF708" s="36"/>
      <c r="DG708" s="36"/>
      <c r="DH708" s="36"/>
      <c r="DI708" s="36"/>
      <c r="DJ708" s="36"/>
      <c r="DK708" s="36"/>
      <c r="DL708" s="36"/>
      <c r="DM708" s="36"/>
      <c r="DN708" s="36"/>
      <c r="DO708" s="38"/>
      <c r="DP708" s="38"/>
      <c r="DQ708" s="38"/>
      <c r="DR708" s="38"/>
      <c r="DS708" s="38"/>
      <c r="DT708" s="38"/>
      <c r="DU708" s="38"/>
      <c r="DV708" s="38"/>
      <c r="DW708" s="38"/>
      <c r="DX708" s="38"/>
      <c r="DY708" s="38"/>
      <c r="DZ708" s="38"/>
      <c r="EA708" s="38"/>
      <c r="EB708" s="38"/>
      <c r="EC708" s="38"/>
      <c r="ED708" s="38"/>
      <c r="EE708" s="38"/>
      <c r="EF708" s="38"/>
      <c r="EG708" s="38"/>
      <c r="EH708" s="38"/>
      <c r="EI708" s="38"/>
      <c r="EJ708" s="38"/>
      <c r="EK708" s="38"/>
      <c r="EL708" s="38"/>
      <c r="EM708" s="38"/>
      <c r="EN708" s="38"/>
      <c r="EO708" s="38"/>
      <c r="EP708" s="38"/>
      <c r="EQ708" s="38"/>
      <c r="ER708" s="38"/>
      <c r="ES708" s="38"/>
      <c r="ET708" s="38"/>
      <c r="EU708" s="38"/>
      <c r="EV708" s="38"/>
      <c r="EW708" s="38"/>
      <c r="EX708" s="38"/>
      <c r="EY708" s="38"/>
      <c r="EZ708" s="38"/>
      <c r="FA708" s="38"/>
      <c r="FB708" s="38"/>
      <c r="FC708" s="38"/>
      <c r="FD708" s="38"/>
      <c r="FE708" s="38"/>
      <c r="FF708" s="38"/>
      <c r="FG708" s="38"/>
      <c r="FH708" s="38"/>
      <c r="FI708" s="38"/>
      <c r="FJ708" s="38"/>
      <c r="FK708" s="38"/>
      <c r="FL708" s="38"/>
      <c r="FM708" s="38"/>
    </row>
    <row r="709" spans="1:169" s="1" customFormat="1" ht="15.6" x14ac:dyDescent="0.3">
      <c r="A709" s="36"/>
      <c r="B709" s="57"/>
      <c r="C709" s="49"/>
      <c r="D709" s="58"/>
      <c r="E709" s="50"/>
      <c r="F709" s="146"/>
      <c r="G709" s="16"/>
      <c r="H709" s="16"/>
      <c r="I709" s="29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  <c r="BS709" s="36"/>
      <c r="BT709" s="36"/>
      <c r="BU709" s="36"/>
      <c r="BV709" s="36"/>
      <c r="BW709" s="36"/>
      <c r="BX709" s="36"/>
      <c r="BY709" s="36"/>
      <c r="BZ709" s="36"/>
      <c r="CA709" s="36"/>
      <c r="CB709" s="36"/>
      <c r="CC709" s="36"/>
      <c r="CD709" s="36"/>
      <c r="CE709" s="36"/>
      <c r="CF709" s="36"/>
      <c r="CG709" s="36"/>
      <c r="CH709" s="36"/>
      <c r="CI709" s="36"/>
      <c r="CJ709" s="36"/>
      <c r="CK709" s="36"/>
      <c r="CL709" s="36"/>
      <c r="CM709" s="36"/>
      <c r="CN709" s="36"/>
      <c r="CO709" s="36"/>
      <c r="CP709" s="36"/>
      <c r="CQ709" s="36"/>
      <c r="CR709" s="36"/>
      <c r="CS709" s="36"/>
      <c r="CT709" s="36"/>
      <c r="CU709" s="36"/>
      <c r="CV709" s="36"/>
      <c r="CW709" s="36"/>
      <c r="CX709" s="36"/>
      <c r="CY709" s="36"/>
      <c r="CZ709" s="36"/>
      <c r="DA709" s="36"/>
      <c r="DB709" s="36"/>
      <c r="DC709" s="36"/>
      <c r="DD709" s="36"/>
      <c r="DE709" s="36"/>
      <c r="DF709" s="36"/>
      <c r="DG709" s="36"/>
      <c r="DH709" s="36"/>
      <c r="DI709" s="36"/>
      <c r="DJ709" s="36"/>
      <c r="DK709" s="36"/>
      <c r="DL709" s="36"/>
      <c r="DM709" s="36"/>
      <c r="DN709" s="36"/>
      <c r="DO709" s="38"/>
      <c r="DP709" s="38"/>
      <c r="DQ709" s="38"/>
      <c r="DR709" s="38"/>
      <c r="DS709" s="38"/>
      <c r="DT709" s="38"/>
      <c r="DU709" s="38"/>
      <c r="DV709" s="38"/>
      <c r="DW709" s="38"/>
      <c r="DX709" s="38"/>
      <c r="DY709" s="38"/>
      <c r="DZ709" s="38"/>
      <c r="EA709" s="38"/>
      <c r="EB709" s="38"/>
      <c r="EC709" s="38"/>
      <c r="ED709" s="38"/>
      <c r="EE709" s="38"/>
      <c r="EF709" s="38"/>
      <c r="EG709" s="38"/>
      <c r="EH709" s="38"/>
      <c r="EI709" s="38"/>
      <c r="EJ709" s="38"/>
      <c r="EK709" s="38"/>
      <c r="EL709" s="38"/>
      <c r="EM709" s="38"/>
      <c r="EN709" s="38"/>
      <c r="EO709" s="38"/>
      <c r="EP709" s="38"/>
      <c r="EQ709" s="38"/>
      <c r="ER709" s="38"/>
      <c r="ES709" s="38"/>
      <c r="ET709" s="38"/>
      <c r="EU709" s="38"/>
      <c r="EV709" s="38"/>
      <c r="EW709" s="38"/>
      <c r="EX709" s="38"/>
      <c r="EY709" s="38"/>
      <c r="EZ709" s="38"/>
      <c r="FA709" s="38"/>
      <c r="FB709" s="38"/>
      <c r="FC709" s="38"/>
      <c r="FD709" s="38"/>
      <c r="FE709" s="38"/>
      <c r="FF709" s="38"/>
      <c r="FG709" s="38"/>
      <c r="FH709" s="38"/>
      <c r="FI709" s="38"/>
      <c r="FJ709" s="38"/>
      <c r="FK709" s="38"/>
      <c r="FL709" s="38"/>
      <c r="FM709" s="38"/>
    </row>
    <row r="710" spans="1:169" s="1" customFormat="1" ht="15.6" x14ac:dyDescent="0.3">
      <c r="A710" s="36"/>
      <c r="B710" s="49"/>
      <c r="C710" s="49"/>
      <c r="D710" s="49"/>
      <c r="E710" s="69"/>
      <c r="F710" s="146"/>
      <c r="G710" s="16"/>
      <c r="H710" s="16"/>
      <c r="I710" s="29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  <c r="BW710" s="36"/>
      <c r="BX710" s="36"/>
      <c r="BY710" s="36"/>
      <c r="BZ710" s="36"/>
      <c r="CA710" s="36"/>
      <c r="CB710" s="36"/>
      <c r="CC710" s="36"/>
      <c r="CD710" s="36"/>
      <c r="CE710" s="36"/>
      <c r="CF710" s="36"/>
      <c r="CG710" s="36"/>
      <c r="CH710" s="36"/>
      <c r="CI710" s="36"/>
      <c r="CJ710" s="36"/>
      <c r="CK710" s="36"/>
      <c r="CL710" s="36"/>
      <c r="CM710" s="36"/>
      <c r="CN710" s="36"/>
      <c r="CO710" s="36"/>
      <c r="CP710" s="36"/>
      <c r="CQ710" s="36"/>
      <c r="CR710" s="36"/>
      <c r="CS710" s="36"/>
      <c r="CT710" s="36"/>
      <c r="CU710" s="36"/>
      <c r="CV710" s="36"/>
      <c r="CW710" s="36"/>
      <c r="CX710" s="36"/>
      <c r="CY710" s="36"/>
      <c r="CZ710" s="36"/>
      <c r="DA710" s="36"/>
      <c r="DB710" s="36"/>
      <c r="DC710" s="36"/>
      <c r="DD710" s="36"/>
      <c r="DE710" s="36"/>
      <c r="DF710" s="36"/>
      <c r="DG710" s="36"/>
      <c r="DH710" s="36"/>
      <c r="DI710" s="36"/>
      <c r="DJ710" s="36"/>
      <c r="DK710" s="36"/>
      <c r="DL710" s="36"/>
      <c r="DM710" s="36"/>
      <c r="DN710" s="36"/>
      <c r="DO710" s="38"/>
      <c r="DP710" s="38"/>
      <c r="DQ710" s="38"/>
      <c r="DR710" s="38"/>
      <c r="DS710" s="38"/>
      <c r="DT710" s="38"/>
      <c r="DU710" s="38"/>
      <c r="DV710" s="38"/>
      <c r="DW710" s="38"/>
      <c r="DX710" s="38"/>
      <c r="DY710" s="38"/>
      <c r="DZ710" s="38"/>
      <c r="EA710" s="38"/>
      <c r="EB710" s="38"/>
      <c r="EC710" s="38"/>
      <c r="ED710" s="38"/>
      <c r="EE710" s="38"/>
      <c r="EF710" s="38"/>
      <c r="EG710" s="38"/>
      <c r="EH710" s="38"/>
      <c r="EI710" s="38"/>
      <c r="EJ710" s="38"/>
      <c r="EK710" s="38"/>
      <c r="EL710" s="38"/>
      <c r="EM710" s="38"/>
      <c r="EN710" s="38"/>
      <c r="EO710" s="38"/>
      <c r="EP710" s="38"/>
      <c r="EQ710" s="38"/>
      <c r="ER710" s="38"/>
      <c r="ES710" s="38"/>
      <c r="ET710" s="38"/>
      <c r="EU710" s="38"/>
      <c r="EV710" s="38"/>
      <c r="EW710" s="38"/>
      <c r="EX710" s="38"/>
      <c r="EY710" s="38"/>
      <c r="EZ710" s="38"/>
      <c r="FA710" s="38"/>
      <c r="FB710" s="38"/>
      <c r="FC710" s="38"/>
      <c r="FD710" s="38"/>
      <c r="FE710" s="38"/>
      <c r="FF710" s="38"/>
      <c r="FG710" s="38"/>
      <c r="FH710" s="38"/>
      <c r="FI710" s="38"/>
      <c r="FJ710" s="38"/>
      <c r="FK710" s="38"/>
      <c r="FL710" s="38"/>
      <c r="FM710" s="38"/>
    </row>
    <row r="711" spans="1:169" s="1" customFormat="1" ht="15.6" x14ac:dyDescent="0.3">
      <c r="A711" s="36"/>
      <c r="B711" s="49"/>
      <c r="C711" s="49"/>
      <c r="D711" s="49"/>
      <c r="E711" s="69"/>
      <c r="F711" s="146"/>
      <c r="G711" s="16"/>
      <c r="H711" s="16"/>
      <c r="I711" s="29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36"/>
      <c r="CQ711" s="36"/>
      <c r="CR711" s="36"/>
      <c r="CS711" s="36"/>
      <c r="CT711" s="36"/>
      <c r="CU711" s="36"/>
      <c r="CV711" s="36"/>
      <c r="CW711" s="36"/>
      <c r="CX711" s="36"/>
      <c r="CY711" s="36"/>
      <c r="CZ711" s="36"/>
      <c r="DA711" s="36"/>
      <c r="DB711" s="36"/>
      <c r="DC711" s="36"/>
      <c r="DD711" s="36"/>
      <c r="DE711" s="36"/>
      <c r="DF711" s="36"/>
      <c r="DG711" s="36"/>
      <c r="DH711" s="36"/>
      <c r="DI711" s="36"/>
      <c r="DJ711" s="36"/>
      <c r="DK711" s="36"/>
      <c r="DL711" s="36"/>
      <c r="DM711" s="36"/>
      <c r="DN711" s="36"/>
      <c r="DO711" s="38"/>
      <c r="DP711" s="38"/>
      <c r="DQ711" s="38"/>
      <c r="DR711" s="38"/>
      <c r="DS711" s="38"/>
      <c r="DT711" s="38"/>
      <c r="DU711" s="38"/>
      <c r="DV711" s="38"/>
      <c r="DW711" s="38"/>
      <c r="DX711" s="38"/>
      <c r="DY711" s="38"/>
      <c r="DZ711" s="38"/>
      <c r="EA711" s="38"/>
      <c r="EB711" s="38"/>
      <c r="EC711" s="38"/>
      <c r="ED711" s="38"/>
      <c r="EE711" s="38"/>
      <c r="EF711" s="38"/>
      <c r="EG711" s="38"/>
      <c r="EH711" s="38"/>
      <c r="EI711" s="38"/>
      <c r="EJ711" s="38"/>
      <c r="EK711" s="38"/>
      <c r="EL711" s="38"/>
      <c r="EM711" s="38"/>
      <c r="EN711" s="38"/>
      <c r="EO711" s="38"/>
      <c r="EP711" s="38"/>
      <c r="EQ711" s="38"/>
      <c r="ER711" s="38"/>
      <c r="ES711" s="38"/>
      <c r="ET711" s="38"/>
      <c r="EU711" s="38"/>
      <c r="EV711" s="38"/>
      <c r="EW711" s="38"/>
      <c r="EX711" s="38"/>
      <c r="EY711" s="38"/>
      <c r="EZ711" s="38"/>
      <c r="FA711" s="38"/>
      <c r="FB711" s="38"/>
      <c r="FC711" s="38"/>
      <c r="FD711" s="38"/>
      <c r="FE711" s="38"/>
      <c r="FF711" s="38"/>
      <c r="FG711" s="38"/>
      <c r="FH711" s="38"/>
      <c r="FI711" s="38"/>
      <c r="FJ711" s="38"/>
      <c r="FK711" s="38"/>
      <c r="FL711" s="38"/>
      <c r="FM711" s="38"/>
    </row>
    <row r="712" spans="1:169" s="1" customFormat="1" ht="15.6" x14ac:dyDescent="0.3">
      <c r="A712" s="36"/>
      <c r="B712" s="49"/>
      <c r="C712" s="49"/>
      <c r="D712" s="49"/>
      <c r="E712" s="69"/>
      <c r="F712" s="146"/>
      <c r="G712" s="16"/>
      <c r="H712" s="16"/>
      <c r="I712" s="29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CL712" s="36"/>
      <c r="CM712" s="36"/>
      <c r="CN712" s="36"/>
      <c r="CO712" s="36"/>
      <c r="CP712" s="36"/>
      <c r="CQ712" s="36"/>
      <c r="CR712" s="36"/>
      <c r="CS712" s="36"/>
      <c r="CT712" s="36"/>
      <c r="CU712" s="36"/>
      <c r="CV712" s="36"/>
      <c r="CW712" s="36"/>
      <c r="CX712" s="36"/>
      <c r="CY712" s="36"/>
      <c r="CZ712" s="36"/>
      <c r="DA712" s="36"/>
      <c r="DB712" s="36"/>
      <c r="DC712" s="36"/>
      <c r="DD712" s="36"/>
      <c r="DE712" s="36"/>
      <c r="DF712" s="36"/>
      <c r="DG712" s="36"/>
      <c r="DH712" s="36"/>
      <c r="DI712" s="36"/>
      <c r="DJ712" s="36"/>
      <c r="DK712" s="36"/>
      <c r="DL712" s="36"/>
      <c r="DM712" s="36"/>
      <c r="DN712" s="36"/>
      <c r="DO712" s="38"/>
      <c r="DP712" s="38"/>
      <c r="DQ712" s="38"/>
      <c r="DR712" s="38"/>
      <c r="DS712" s="38"/>
      <c r="DT712" s="38"/>
      <c r="DU712" s="38"/>
      <c r="DV712" s="38"/>
      <c r="DW712" s="38"/>
      <c r="DX712" s="38"/>
      <c r="DY712" s="38"/>
      <c r="DZ712" s="38"/>
      <c r="EA712" s="38"/>
      <c r="EB712" s="38"/>
      <c r="EC712" s="38"/>
      <c r="ED712" s="38"/>
      <c r="EE712" s="38"/>
      <c r="EF712" s="38"/>
      <c r="EG712" s="38"/>
      <c r="EH712" s="38"/>
      <c r="EI712" s="38"/>
      <c r="EJ712" s="38"/>
      <c r="EK712" s="38"/>
      <c r="EL712" s="38"/>
      <c r="EM712" s="38"/>
      <c r="EN712" s="38"/>
      <c r="EO712" s="38"/>
      <c r="EP712" s="38"/>
      <c r="EQ712" s="38"/>
      <c r="ER712" s="38"/>
      <c r="ES712" s="38"/>
      <c r="ET712" s="38"/>
      <c r="EU712" s="38"/>
      <c r="EV712" s="38"/>
      <c r="EW712" s="38"/>
      <c r="EX712" s="38"/>
      <c r="EY712" s="38"/>
      <c r="EZ712" s="38"/>
      <c r="FA712" s="38"/>
      <c r="FB712" s="38"/>
      <c r="FC712" s="38"/>
      <c r="FD712" s="38"/>
      <c r="FE712" s="38"/>
      <c r="FF712" s="38"/>
      <c r="FG712" s="38"/>
      <c r="FH712" s="38"/>
      <c r="FI712" s="38"/>
      <c r="FJ712" s="38"/>
      <c r="FK712" s="38"/>
      <c r="FL712" s="38"/>
      <c r="FM712" s="38"/>
    </row>
    <row r="713" spans="1:169" s="1" customFormat="1" ht="15.6" x14ac:dyDescent="0.3">
      <c r="A713" s="36"/>
      <c r="B713" s="49"/>
      <c r="C713" s="49"/>
      <c r="D713" s="49"/>
      <c r="E713" s="69"/>
      <c r="F713" s="146"/>
      <c r="G713" s="16"/>
      <c r="H713" s="16"/>
      <c r="I713" s="29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  <c r="BW713" s="36"/>
      <c r="BX713" s="36"/>
      <c r="BY713" s="36"/>
      <c r="BZ713" s="36"/>
      <c r="CA713" s="36"/>
      <c r="CB713" s="36"/>
      <c r="CC713" s="36"/>
      <c r="CD713" s="36"/>
      <c r="CE713" s="36"/>
      <c r="CF713" s="36"/>
      <c r="CG713" s="36"/>
      <c r="CH713" s="36"/>
      <c r="CI713" s="36"/>
      <c r="CJ713" s="36"/>
      <c r="CK713" s="36"/>
      <c r="CL713" s="36"/>
      <c r="CM713" s="36"/>
      <c r="CN713" s="36"/>
      <c r="CO713" s="36"/>
      <c r="CP713" s="36"/>
      <c r="CQ713" s="36"/>
      <c r="CR713" s="36"/>
      <c r="CS713" s="36"/>
      <c r="CT713" s="36"/>
      <c r="CU713" s="36"/>
      <c r="CV713" s="36"/>
      <c r="CW713" s="36"/>
      <c r="CX713" s="36"/>
      <c r="CY713" s="36"/>
      <c r="CZ713" s="36"/>
      <c r="DA713" s="36"/>
      <c r="DB713" s="36"/>
      <c r="DC713" s="36"/>
      <c r="DD713" s="36"/>
      <c r="DE713" s="36"/>
      <c r="DF713" s="36"/>
      <c r="DG713" s="36"/>
      <c r="DH713" s="36"/>
      <c r="DI713" s="36"/>
      <c r="DJ713" s="36"/>
      <c r="DK713" s="36"/>
      <c r="DL713" s="36"/>
      <c r="DM713" s="36"/>
      <c r="DN713" s="36"/>
      <c r="DO713" s="38"/>
      <c r="DP713" s="38"/>
      <c r="DQ713" s="38"/>
      <c r="DR713" s="38"/>
      <c r="DS713" s="38"/>
      <c r="DT713" s="38"/>
      <c r="DU713" s="38"/>
      <c r="DV713" s="38"/>
      <c r="DW713" s="38"/>
      <c r="DX713" s="38"/>
      <c r="DY713" s="38"/>
      <c r="DZ713" s="38"/>
      <c r="EA713" s="38"/>
      <c r="EB713" s="38"/>
      <c r="EC713" s="38"/>
      <c r="ED713" s="38"/>
      <c r="EE713" s="38"/>
      <c r="EF713" s="38"/>
      <c r="EG713" s="38"/>
      <c r="EH713" s="38"/>
      <c r="EI713" s="38"/>
      <c r="EJ713" s="38"/>
      <c r="EK713" s="38"/>
      <c r="EL713" s="38"/>
      <c r="EM713" s="38"/>
      <c r="EN713" s="38"/>
      <c r="EO713" s="38"/>
      <c r="EP713" s="38"/>
      <c r="EQ713" s="38"/>
      <c r="ER713" s="38"/>
      <c r="ES713" s="38"/>
      <c r="ET713" s="38"/>
      <c r="EU713" s="38"/>
      <c r="EV713" s="38"/>
      <c r="EW713" s="38"/>
      <c r="EX713" s="38"/>
      <c r="EY713" s="38"/>
      <c r="EZ713" s="38"/>
      <c r="FA713" s="38"/>
      <c r="FB713" s="38"/>
      <c r="FC713" s="38"/>
      <c r="FD713" s="38"/>
      <c r="FE713" s="38"/>
      <c r="FF713" s="38"/>
      <c r="FG713" s="38"/>
      <c r="FH713" s="38"/>
      <c r="FI713" s="38"/>
      <c r="FJ713" s="38"/>
      <c r="FK713" s="38"/>
      <c r="FL713" s="38"/>
      <c r="FM713" s="38"/>
    </row>
    <row r="714" spans="1:169" s="1" customFormat="1" ht="15.6" x14ac:dyDescent="0.3">
      <c r="A714" s="36"/>
      <c r="B714" s="65"/>
      <c r="C714" s="65"/>
      <c r="D714" s="49"/>
      <c r="E714" s="69"/>
      <c r="F714" s="149"/>
      <c r="G714" s="16"/>
      <c r="H714" s="16"/>
      <c r="I714" s="29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  <c r="BW714" s="36"/>
      <c r="BX714" s="36"/>
      <c r="BY714" s="36"/>
      <c r="BZ714" s="36"/>
      <c r="CA714" s="36"/>
      <c r="CB714" s="36"/>
      <c r="CC714" s="36"/>
      <c r="CD714" s="36"/>
      <c r="CE714" s="36"/>
      <c r="CF714" s="36"/>
      <c r="CG714" s="36"/>
      <c r="CH714" s="36"/>
      <c r="CI714" s="36"/>
      <c r="CJ714" s="36"/>
      <c r="CK714" s="36"/>
      <c r="CL714" s="36"/>
      <c r="CM714" s="36"/>
      <c r="CN714" s="36"/>
      <c r="CO714" s="36"/>
      <c r="CP714" s="36"/>
      <c r="CQ714" s="36"/>
      <c r="CR714" s="36"/>
      <c r="CS714" s="36"/>
      <c r="CT714" s="36"/>
      <c r="CU714" s="36"/>
      <c r="CV714" s="36"/>
      <c r="CW714" s="36"/>
      <c r="CX714" s="36"/>
      <c r="CY714" s="36"/>
      <c r="CZ714" s="36"/>
      <c r="DA714" s="36"/>
      <c r="DB714" s="36"/>
      <c r="DC714" s="36"/>
      <c r="DD714" s="36"/>
      <c r="DE714" s="36"/>
      <c r="DF714" s="36"/>
      <c r="DG714" s="36"/>
      <c r="DH714" s="36"/>
      <c r="DI714" s="36"/>
      <c r="DJ714" s="36"/>
      <c r="DK714" s="36"/>
      <c r="DL714" s="36"/>
      <c r="DM714" s="36"/>
      <c r="DN714" s="36"/>
      <c r="DO714" s="38"/>
      <c r="DP714" s="38"/>
      <c r="DQ714" s="38"/>
      <c r="DR714" s="38"/>
      <c r="DS714" s="38"/>
      <c r="DT714" s="38"/>
      <c r="DU714" s="38"/>
      <c r="DV714" s="38"/>
      <c r="DW714" s="38"/>
      <c r="DX714" s="38"/>
      <c r="DY714" s="38"/>
      <c r="DZ714" s="38"/>
      <c r="EA714" s="38"/>
      <c r="EB714" s="38"/>
      <c r="EC714" s="38"/>
      <c r="ED714" s="38"/>
      <c r="EE714" s="38"/>
      <c r="EF714" s="38"/>
      <c r="EG714" s="38"/>
      <c r="EH714" s="38"/>
      <c r="EI714" s="38"/>
      <c r="EJ714" s="38"/>
      <c r="EK714" s="38"/>
      <c r="EL714" s="38"/>
      <c r="EM714" s="38"/>
      <c r="EN714" s="38"/>
      <c r="EO714" s="38"/>
      <c r="EP714" s="38"/>
      <c r="EQ714" s="38"/>
      <c r="ER714" s="38"/>
      <c r="ES714" s="38"/>
      <c r="ET714" s="38"/>
      <c r="EU714" s="38"/>
      <c r="EV714" s="38"/>
      <c r="EW714" s="38"/>
      <c r="EX714" s="38"/>
      <c r="EY714" s="38"/>
      <c r="EZ714" s="38"/>
      <c r="FA714" s="38"/>
      <c r="FB714" s="38"/>
      <c r="FC714" s="38"/>
      <c r="FD714" s="38"/>
      <c r="FE714" s="38"/>
      <c r="FF714" s="38"/>
      <c r="FG714" s="38"/>
      <c r="FH714" s="38"/>
      <c r="FI714" s="38"/>
      <c r="FJ714" s="38"/>
      <c r="FK714" s="38"/>
      <c r="FL714" s="38"/>
      <c r="FM714" s="38"/>
    </row>
    <row r="715" spans="1:169" s="1" customFormat="1" ht="15.6" x14ac:dyDescent="0.3">
      <c r="A715" s="36"/>
      <c r="B715" s="49"/>
      <c r="C715" s="49"/>
      <c r="D715" s="49"/>
      <c r="E715" s="69"/>
      <c r="F715" s="146"/>
      <c r="G715" s="16"/>
      <c r="H715" s="16"/>
      <c r="I715" s="29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  <c r="BS715" s="36"/>
      <c r="BT715" s="36"/>
      <c r="BU715" s="36"/>
      <c r="BV715" s="36"/>
      <c r="BW715" s="36"/>
      <c r="BX715" s="36"/>
      <c r="BY715" s="36"/>
      <c r="BZ715" s="36"/>
      <c r="CA715" s="36"/>
      <c r="CB715" s="36"/>
      <c r="CC715" s="36"/>
      <c r="CD715" s="36"/>
      <c r="CE715" s="36"/>
      <c r="CF715" s="36"/>
      <c r="CG715" s="36"/>
      <c r="CH715" s="36"/>
      <c r="CI715" s="36"/>
      <c r="CJ715" s="36"/>
      <c r="CK715" s="36"/>
      <c r="CL715" s="36"/>
      <c r="CM715" s="36"/>
      <c r="CN715" s="36"/>
      <c r="CO715" s="36"/>
      <c r="CP715" s="36"/>
      <c r="CQ715" s="36"/>
      <c r="CR715" s="36"/>
      <c r="CS715" s="36"/>
      <c r="CT715" s="36"/>
      <c r="CU715" s="36"/>
      <c r="CV715" s="36"/>
      <c r="CW715" s="36"/>
      <c r="CX715" s="36"/>
      <c r="CY715" s="36"/>
      <c r="CZ715" s="36"/>
      <c r="DA715" s="36"/>
      <c r="DB715" s="36"/>
      <c r="DC715" s="36"/>
      <c r="DD715" s="36"/>
      <c r="DE715" s="36"/>
      <c r="DF715" s="36"/>
      <c r="DG715" s="36"/>
      <c r="DH715" s="36"/>
      <c r="DI715" s="36"/>
      <c r="DJ715" s="36"/>
      <c r="DK715" s="36"/>
      <c r="DL715" s="36"/>
      <c r="DM715" s="36"/>
      <c r="DN715" s="36"/>
      <c r="DO715" s="38"/>
      <c r="DP715" s="38"/>
      <c r="DQ715" s="38"/>
      <c r="DR715" s="38"/>
      <c r="DS715" s="38"/>
      <c r="DT715" s="38"/>
      <c r="DU715" s="38"/>
      <c r="DV715" s="38"/>
      <c r="DW715" s="38"/>
      <c r="DX715" s="38"/>
      <c r="DY715" s="38"/>
      <c r="DZ715" s="38"/>
      <c r="EA715" s="38"/>
      <c r="EB715" s="38"/>
      <c r="EC715" s="38"/>
      <c r="ED715" s="38"/>
      <c r="EE715" s="38"/>
      <c r="EF715" s="38"/>
      <c r="EG715" s="38"/>
      <c r="EH715" s="38"/>
      <c r="EI715" s="38"/>
      <c r="EJ715" s="38"/>
      <c r="EK715" s="38"/>
      <c r="EL715" s="38"/>
      <c r="EM715" s="38"/>
      <c r="EN715" s="38"/>
      <c r="EO715" s="38"/>
      <c r="EP715" s="38"/>
      <c r="EQ715" s="38"/>
      <c r="ER715" s="38"/>
      <c r="ES715" s="38"/>
      <c r="ET715" s="38"/>
      <c r="EU715" s="38"/>
      <c r="EV715" s="38"/>
      <c r="EW715" s="38"/>
      <c r="EX715" s="38"/>
      <c r="EY715" s="38"/>
      <c r="EZ715" s="38"/>
      <c r="FA715" s="38"/>
      <c r="FB715" s="38"/>
      <c r="FC715" s="38"/>
      <c r="FD715" s="38"/>
      <c r="FE715" s="38"/>
      <c r="FF715" s="38"/>
      <c r="FG715" s="38"/>
      <c r="FH715" s="38"/>
      <c r="FI715" s="38"/>
      <c r="FJ715" s="38"/>
      <c r="FK715" s="38"/>
      <c r="FL715" s="38"/>
      <c r="FM715" s="38"/>
    </row>
    <row r="716" spans="1:169" s="1" customFormat="1" ht="15.6" x14ac:dyDescent="0.3">
      <c r="A716" s="36"/>
      <c r="B716" s="49"/>
      <c r="C716" s="49"/>
      <c r="D716" s="49"/>
      <c r="E716" s="69"/>
      <c r="F716" s="146"/>
      <c r="G716" s="16"/>
      <c r="H716" s="16"/>
      <c r="I716" s="29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  <c r="BW716" s="36"/>
      <c r="BX716" s="36"/>
      <c r="BY716" s="36"/>
      <c r="BZ716" s="36"/>
      <c r="CA716" s="36"/>
      <c r="CB716" s="36"/>
      <c r="CC716" s="36"/>
      <c r="CD716" s="36"/>
      <c r="CE716" s="36"/>
      <c r="CF716" s="36"/>
      <c r="CG716" s="36"/>
      <c r="CH716" s="36"/>
      <c r="CI716" s="36"/>
      <c r="CJ716" s="36"/>
      <c r="CK716" s="36"/>
      <c r="CL716" s="36"/>
      <c r="CM716" s="36"/>
      <c r="CN716" s="36"/>
      <c r="CO716" s="36"/>
      <c r="CP716" s="36"/>
      <c r="CQ716" s="36"/>
      <c r="CR716" s="36"/>
      <c r="CS716" s="36"/>
      <c r="CT716" s="36"/>
      <c r="CU716" s="36"/>
      <c r="CV716" s="36"/>
      <c r="CW716" s="36"/>
      <c r="CX716" s="36"/>
      <c r="CY716" s="36"/>
      <c r="CZ716" s="36"/>
      <c r="DA716" s="36"/>
      <c r="DB716" s="36"/>
      <c r="DC716" s="36"/>
      <c r="DD716" s="36"/>
      <c r="DE716" s="36"/>
      <c r="DF716" s="36"/>
      <c r="DG716" s="36"/>
      <c r="DH716" s="36"/>
      <c r="DI716" s="36"/>
      <c r="DJ716" s="36"/>
      <c r="DK716" s="36"/>
      <c r="DL716" s="36"/>
      <c r="DM716" s="36"/>
      <c r="DN716" s="36"/>
      <c r="DO716" s="38"/>
      <c r="DP716" s="38"/>
      <c r="DQ716" s="38"/>
      <c r="DR716" s="38"/>
      <c r="DS716" s="38"/>
      <c r="DT716" s="38"/>
      <c r="DU716" s="38"/>
      <c r="DV716" s="38"/>
      <c r="DW716" s="38"/>
      <c r="DX716" s="38"/>
      <c r="DY716" s="38"/>
      <c r="DZ716" s="38"/>
      <c r="EA716" s="38"/>
      <c r="EB716" s="38"/>
      <c r="EC716" s="38"/>
      <c r="ED716" s="38"/>
      <c r="EE716" s="38"/>
      <c r="EF716" s="38"/>
      <c r="EG716" s="38"/>
      <c r="EH716" s="38"/>
      <c r="EI716" s="38"/>
      <c r="EJ716" s="38"/>
      <c r="EK716" s="38"/>
      <c r="EL716" s="38"/>
      <c r="EM716" s="38"/>
      <c r="EN716" s="38"/>
      <c r="EO716" s="38"/>
      <c r="EP716" s="38"/>
      <c r="EQ716" s="38"/>
      <c r="ER716" s="38"/>
      <c r="ES716" s="38"/>
      <c r="ET716" s="38"/>
      <c r="EU716" s="38"/>
      <c r="EV716" s="38"/>
      <c r="EW716" s="38"/>
      <c r="EX716" s="38"/>
      <c r="EY716" s="38"/>
      <c r="EZ716" s="38"/>
      <c r="FA716" s="38"/>
      <c r="FB716" s="38"/>
      <c r="FC716" s="38"/>
      <c r="FD716" s="38"/>
      <c r="FE716" s="38"/>
      <c r="FF716" s="38"/>
      <c r="FG716" s="38"/>
      <c r="FH716" s="38"/>
      <c r="FI716" s="38"/>
      <c r="FJ716" s="38"/>
      <c r="FK716" s="38"/>
      <c r="FL716" s="38"/>
      <c r="FM716" s="38"/>
    </row>
    <row r="717" spans="1:169" s="1" customFormat="1" ht="15.6" x14ac:dyDescent="0.3">
      <c r="A717" s="36"/>
      <c r="B717" s="65"/>
      <c r="C717" s="49"/>
      <c r="D717" s="49"/>
      <c r="E717" s="69"/>
      <c r="F717" s="146"/>
      <c r="G717" s="16"/>
      <c r="H717" s="16"/>
      <c r="I717" s="29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  <c r="BS717" s="36"/>
      <c r="BT717" s="36"/>
      <c r="BU717" s="36"/>
      <c r="BV717" s="36"/>
      <c r="BW717" s="36"/>
      <c r="BX717" s="36"/>
      <c r="BY717" s="36"/>
      <c r="BZ717" s="36"/>
      <c r="CA717" s="36"/>
      <c r="CB717" s="36"/>
      <c r="CC717" s="36"/>
      <c r="CD717" s="36"/>
      <c r="CE717" s="36"/>
      <c r="CF717" s="36"/>
      <c r="CG717" s="36"/>
      <c r="CH717" s="36"/>
      <c r="CI717" s="36"/>
      <c r="CJ717" s="36"/>
      <c r="CK717" s="36"/>
      <c r="CL717" s="36"/>
      <c r="CM717" s="36"/>
      <c r="CN717" s="36"/>
      <c r="CO717" s="36"/>
      <c r="CP717" s="36"/>
      <c r="CQ717" s="36"/>
      <c r="CR717" s="36"/>
      <c r="CS717" s="36"/>
      <c r="CT717" s="36"/>
      <c r="CU717" s="36"/>
      <c r="CV717" s="36"/>
      <c r="CW717" s="36"/>
      <c r="CX717" s="36"/>
      <c r="CY717" s="36"/>
      <c r="CZ717" s="36"/>
      <c r="DA717" s="36"/>
      <c r="DB717" s="36"/>
      <c r="DC717" s="36"/>
      <c r="DD717" s="36"/>
      <c r="DE717" s="36"/>
      <c r="DF717" s="36"/>
      <c r="DG717" s="36"/>
      <c r="DH717" s="36"/>
      <c r="DI717" s="36"/>
      <c r="DJ717" s="36"/>
      <c r="DK717" s="36"/>
      <c r="DL717" s="36"/>
      <c r="DM717" s="36"/>
      <c r="DN717" s="36"/>
      <c r="DO717" s="38"/>
      <c r="DP717" s="38"/>
      <c r="DQ717" s="38"/>
      <c r="DR717" s="38"/>
      <c r="DS717" s="38"/>
      <c r="DT717" s="38"/>
      <c r="DU717" s="38"/>
      <c r="DV717" s="38"/>
      <c r="DW717" s="38"/>
      <c r="DX717" s="38"/>
      <c r="DY717" s="38"/>
      <c r="DZ717" s="38"/>
      <c r="EA717" s="38"/>
      <c r="EB717" s="38"/>
      <c r="EC717" s="38"/>
      <c r="ED717" s="38"/>
      <c r="EE717" s="38"/>
      <c r="EF717" s="38"/>
      <c r="EG717" s="38"/>
      <c r="EH717" s="38"/>
      <c r="EI717" s="38"/>
      <c r="EJ717" s="38"/>
      <c r="EK717" s="38"/>
      <c r="EL717" s="38"/>
      <c r="EM717" s="38"/>
      <c r="EN717" s="38"/>
      <c r="EO717" s="38"/>
      <c r="EP717" s="38"/>
      <c r="EQ717" s="38"/>
      <c r="ER717" s="38"/>
      <c r="ES717" s="38"/>
      <c r="ET717" s="38"/>
      <c r="EU717" s="38"/>
      <c r="EV717" s="38"/>
      <c r="EW717" s="38"/>
      <c r="EX717" s="38"/>
      <c r="EY717" s="38"/>
      <c r="EZ717" s="38"/>
      <c r="FA717" s="38"/>
      <c r="FB717" s="38"/>
      <c r="FC717" s="38"/>
      <c r="FD717" s="38"/>
      <c r="FE717" s="38"/>
      <c r="FF717" s="38"/>
      <c r="FG717" s="38"/>
      <c r="FH717" s="38"/>
      <c r="FI717" s="38"/>
      <c r="FJ717" s="38"/>
      <c r="FK717" s="38"/>
      <c r="FL717" s="38"/>
      <c r="FM717" s="38"/>
    </row>
    <row r="718" spans="1:169" s="1" customFormat="1" ht="15.6" x14ac:dyDescent="0.3">
      <c r="A718" s="36"/>
      <c r="B718" s="65"/>
      <c r="C718" s="49"/>
      <c r="D718" s="49"/>
      <c r="E718" s="69"/>
      <c r="F718" s="146"/>
      <c r="G718" s="16"/>
      <c r="H718" s="16"/>
      <c r="I718" s="29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  <c r="BS718" s="36"/>
      <c r="BT718" s="36"/>
      <c r="BU718" s="36"/>
      <c r="BV718" s="36"/>
      <c r="BW718" s="36"/>
      <c r="BX718" s="36"/>
      <c r="BY718" s="36"/>
      <c r="BZ718" s="36"/>
      <c r="CA718" s="36"/>
      <c r="CB718" s="36"/>
      <c r="CC718" s="36"/>
      <c r="CD718" s="36"/>
      <c r="CE718" s="36"/>
      <c r="CF718" s="36"/>
      <c r="CG718" s="36"/>
      <c r="CH718" s="36"/>
      <c r="CI718" s="36"/>
      <c r="CJ718" s="36"/>
      <c r="CK718" s="36"/>
      <c r="CL718" s="36"/>
      <c r="CM718" s="36"/>
      <c r="CN718" s="36"/>
      <c r="CO718" s="36"/>
      <c r="CP718" s="36"/>
      <c r="CQ718" s="36"/>
      <c r="CR718" s="36"/>
      <c r="CS718" s="36"/>
      <c r="CT718" s="36"/>
      <c r="CU718" s="36"/>
      <c r="CV718" s="36"/>
      <c r="CW718" s="36"/>
      <c r="CX718" s="36"/>
      <c r="CY718" s="36"/>
      <c r="CZ718" s="36"/>
      <c r="DA718" s="36"/>
      <c r="DB718" s="36"/>
      <c r="DC718" s="36"/>
      <c r="DD718" s="36"/>
      <c r="DE718" s="36"/>
      <c r="DF718" s="36"/>
      <c r="DG718" s="36"/>
      <c r="DH718" s="36"/>
      <c r="DI718" s="36"/>
      <c r="DJ718" s="36"/>
      <c r="DK718" s="36"/>
      <c r="DL718" s="36"/>
      <c r="DM718" s="36"/>
      <c r="DN718" s="36"/>
      <c r="DO718" s="38"/>
      <c r="DP718" s="38"/>
      <c r="DQ718" s="38"/>
      <c r="DR718" s="38"/>
      <c r="DS718" s="38"/>
      <c r="DT718" s="38"/>
      <c r="DU718" s="38"/>
      <c r="DV718" s="38"/>
      <c r="DW718" s="38"/>
      <c r="DX718" s="38"/>
      <c r="DY718" s="38"/>
      <c r="DZ718" s="38"/>
      <c r="EA718" s="38"/>
      <c r="EB718" s="38"/>
      <c r="EC718" s="38"/>
      <c r="ED718" s="38"/>
      <c r="EE718" s="38"/>
      <c r="EF718" s="38"/>
      <c r="EG718" s="38"/>
      <c r="EH718" s="38"/>
      <c r="EI718" s="38"/>
      <c r="EJ718" s="38"/>
      <c r="EK718" s="38"/>
      <c r="EL718" s="38"/>
      <c r="EM718" s="38"/>
      <c r="EN718" s="38"/>
      <c r="EO718" s="38"/>
      <c r="EP718" s="38"/>
      <c r="EQ718" s="38"/>
      <c r="ER718" s="38"/>
      <c r="ES718" s="38"/>
      <c r="ET718" s="38"/>
      <c r="EU718" s="38"/>
      <c r="EV718" s="38"/>
      <c r="EW718" s="38"/>
      <c r="EX718" s="38"/>
      <c r="EY718" s="38"/>
      <c r="EZ718" s="38"/>
      <c r="FA718" s="38"/>
      <c r="FB718" s="38"/>
      <c r="FC718" s="38"/>
      <c r="FD718" s="38"/>
      <c r="FE718" s="38"/>
      <c r="FF718" s="38"/>
      <c r="FG718" s="38"/>
      <c r="FH718" s="38"/>
      <c r="FI718" s="38"/>
      <c r="FJ718" s="38"/>
      <c r="FK718" s="38"/>
      <c r="FL718" s="38"/>
      <c r="FM718" s="38"/>
    </row>
    <row r="719" spans="1:169" s="1" customFormat="1" ht="15.6" x14ac:dyDescent="0.3">
      <c r="A719" s="36"/>
      <c r="B719" s="49"/>
      <c r="C719" s="65"/>
      <c r="D719" s="49"/>
      <c r="E719" s="69"/>
      <c r="F719" s="146"/>
      <c r="G719" s="16"/>
      <c r="H719" s="16"/>
      <c r="I719" s="29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  <c r="BW719" s="36"/>
      <c r="BX719" s="36"/>
      <c r="BY719" s="36"/>
      <c r="BZ719" s="36"/>
      <c r="CA719" s="36"/>
      <c r="CB719" s="36"/>
      <c r="CC719" s="36"/>
      <c r="CD719" s="36"/>
      <c r="CE719" s="36"/>
      <c r="CF719" s="36"/>
      <c r="CG719" s="36"/>
      <c r="CH719" s="36"/>
      <c r="CI719" s="36"/>
      <c r="CJ719" s="36"/>
      <c r="CK719" s="36"/>
      <c r="CL719" s="36"/>
      <c r="CM719" s="36"/>
      <c r="CN719" s="36"/>
      <c r="CO719" s="36"/>
      <c r="CP719" s="36"/>
      <c r="CQ719" s="36"/>
      <c r="CR719" s="36"/>
      <c r="CS719" s="36"/>
      <c r="CT719" s="36"/>
      <c r="CU719" s="36"/>
      <c r="CV719" s="36"/>
      <c r="CW719" s="36"/>
      <c r="CX719" s="36"/>
      <c r="CY719" s="36"/>
      <c r="CZ719" s="36"/>
      <c r="DA719" s="36"/>
      <c r="DB719" s="36"/>
      <c r="DC719" s="36"/>
      <c r="DD719" s="36"/>
      <c r="DE719" s="36"/>
      <c r="DF719" s="36"/>
      <c r="DG719" s="36"/>
      <c r="DH719" s="36"/>
      <c r="DI719" s="36"/>
      <c r="DJ719" s="36"/>
      <c r="DK719" s="36"/>
      <c r="DL719" s="36"/>
      <c r="DM719" s="36"/>
      <c r="DN719" s="36"/>
      <c r="DO719" s="38"/>
      <c r="DP719" s="38"/>
      <c r="DQ719" s="38"/>
      <c r="DR719" s="38"/>
      <c r="DS719" s="38"/>
      <c r="DT719" s="38"/>
      <c r="DU719" s="38"/>
      <c r="DV719" s="38"/>
      <c r="DW719" s="38"/>
      <c r="DX719" s="38"/>
      <c r="DY719" s="38"/>
      <c r="DZ719" s="38"/>
      <c r="EA719" s="38"/>
      <c r="EB719" s="38"/>
      <c r="EC719" s="38"/>
      <c r="ED719" s="38"/>
      <c r="EE719" s="38"/>
      <c r="EF719" s="38"/>
      <c r="EG719" s="38"/>
      <c r="EH719" s="38"/>
      <c r="EI719" s="38"/>
      <c r="EJ719" s="38"/>
      <c r="EK719" s="38"/>
      <c r="EL719" s="38"/>
      <c r="EM719" s="38"/>
      <c r="EN719" s="38"/>
      <c r="EO719" s="38"/>
      <c r="EP719" s="38"/>
      <c r="EQ719" s="38"/>
      <c r="ER719" s="38"/>
      <c r="ES719" s="38"/>
      <c r="ET719" s="38"/>
      <c r="EU719" s="38"/>
      <c r="EV719" s="38"/>
      <c r="EW719" s="38"/>
      <c r="EX719" s="38"/>
      <c r="EY719" s="38"/>
      <c r="EZ719" s="38"/>
      <c r="FA719" s="38"/>
      <c r="FB719" s="38"/>
      <c r="FC719" s="38"/>
      <c r="FD719" s="38"/>
      <c r="FE719" s="38"/>
      <c r="FF719" s="38"/>
      <c r="FG719" s="38"/>
      <c r="FH719" s="38"/>
      <c r="FI719" s="38"/>
      <c r="FJ719" s="38"/>
      <c r="FK719" s="38"/>
      <c r="FL719" s="38"/>
      <c r="FM719" s="38"/>
    </row>
    <row r="720" spans="1:169" s="1" customFormat="1" ht="15.6" x14ac:dyDescent="0.3">
      <c r="A720" s="36"/>
      <c r="B720" s="49"/>
      <c r="C720" s="49"/>
      <c r="D720" s="49"/>
      <c r="E720" s="69"/>
      <c r="F720" s="146"/>
      <c r="G720" s="16"/>
      <c r="H720" s="16"/>
      <c r="I720" s="29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  <c r="BW720" s="36"/>
      <c r="BX720" s="36"/>
      <c r="BY720" s="36"/>
      <c r="BZ720" s="36"/>
      <c r="CA720" s="36"/>
      <c r="CB720" s="36"/>
      <c r="CC720" s="36"/>
      <c r="CD720" s="36"/>
      <c r="CE720" s="36"/>
      <c r="CF720" s="36"/>
      <c r="CG720" s="36"/>
      <c r="CH720" s="36"/>
      <c r="CI720" s="36"/>
      <c r="CJ720" s="36"/>
      <c r="CK720" s="36"/>
      <c r="CL720" s="36"/>
      <c r="CM720" s="36"/>
      <c r="CN720" s="36"/>
      <c r="CO720" s="36"/>
      <c r="CP720" s="36"/>
      <c r="CQ720" s="36"/>
      <c r="CR720" s="36"/>
      <c r="CS720" s="36"/>
      <c r="CT720" s="36"/>
      <c r="CU720" s="36"/>
      <c r="CV720" s="36"/>
      <c r="CW720" s="36"/>
      <c r="CX720" s="36"/>
      <c r="CY720" s="36"/>
      <c r="CZ720" s="36"/>
      <c r="DA720" s="36"/>
      <c r="DB720" s="36"/>
      <c r="DC720" s="36"/>
      <c r="DD720" s="36"/>
      <c r="DE720" s="36"/>
      <c r="DF720" s="36"/>
      <c r="DG720" s="36"/>
      <c r="DH720" s="36"/>
      <c r="DI720" s="36"/>
      <c r="DJ720" s="36"/>
      <c r="DK720" s="36"/>
      <c r="DL720" s="36"/>
      <c r="DM720" s="36"/>
      <c r="DN720" s="36"/>
      <c r="DO720" s="38"/>
      <c r="DP720" s="38"/>
      <c r="DQ720" s="38"/>
      <c r="DR720" s="38"/>
      <c r="DS720" s="38"/>
      <c r="DT720" s="38"/>
      <c r="DU720" s="38"/>
      <c r="DV720" s="38"/>
      <c r="DW720" s="38"/>
      <c r="DX720" s="38"/>
      <c r="DY720" s="38"/>
      <c r="DZ720" s="38"/>
      <c r="EA720" s="38"/>
      <c r="EB720" s="38"/>
      <c r="EC720" s="38"/>
      <c r="ED720" s="38"/>
      <c r="EE720" s="38"/>
      <c r="EF720" s="38"/>
      <c r="EG720" s="38"/>
      <c r="EH720" s="38"/>
      <c r="EI720" s="38"/>
      <c r="EJ720" s="38"/>
      <c r="EK720" s="38"/>
      <c r="EL720" s="38"/>
      <c r="EM720" s="38"/>
      <c r="EN720" s="38"/>
      <c r="EO720" s="38"/>
      <c r="EP720" s="38"/>
      <c r="EQ720" s="38"/>
      <c r="ER720" s="38"/>
      <c r="ES720" s="38"/>
      <c r="ET720" s="38"/>
      <c r="EU720" s="38"/>
      <c r="EV720" s="38"/>
      <c r="EW720" s="38"/>
      <c r="EX720" s="38"/>
      <c r="EY720" s="38"/>
      <c r="EZ720" s="38"/>
      <c r="FA720" s="38"/>
      <c r="FB720" s="38"/>
      <c r="FC720" s="38"/>
      <c r="FD720" s="38"/>
      <c r="FE720" s="38"/>
      <c r="FF720" s="38"/>
      <c r="FG720" s="38"/>
      <c r="FH720" s="38"/>
      <c r="FI720" s="38"/>
      <c r="FJ720" s="38"/>
      <c r="FK720" s="38"/>
      <c r="FL720" s="38"/>
      <c r="FM720" s="38"/>
    </row>
    <row r="721" spans="1:169" s="1" customFormat="1" ht="15.6" x14ac:dyDescent="0.3">
      <c r="A721" s="36"/>
      <c r="B721" s="65"/>
      <c r="C721" s="49"/>
      <c r="D721" s="49"/>
      <c r="E721" s="69"/>
      <c r="F721" s="146"/>
      <c r="G721" s="16"/>
      <c r="H721" s="16"/>
      <c r="I721" s="29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  <c r="BW721" s="36"/>
      <c r="BX721" s="36"/>
      <c r="BY721" s="36"/>
      <c r="BZ721" s="36"/>
      <c r="CA721" s="36"/>
      <c r="CB721" s="36"/>
      <c r="CC721" s="36"/>
      <c r="CD721" s="36"/>
      <c r="CE721" s="36"/>
      <c r="CF721" s="36"/>
      <c r="CG721" s="36"/>
      <c r="CH721" s="36"/>
      <c r="CI721" s="36"/>
      <c r="CJ721" s="36"/>
      <c r="CK721" s="36"/>
      <c r="CL721" s="36"/>
      <c r="CM721" s="36"/>
      <c r="CN721" s="36"/>
      <c r="CO721" s="36"/>
      <c r="CP721" s="36"/>
      <c r="CQ721" s="36"/>
      <c r="CR721" s="36"/>
      <c r="CS721" s="36"/>
      <c r="CT721" s="36"/>
      <c r="CU721" s="36"/>
      <c r="CV721" s="36"/>
      <c r="CW721" s="36"/>
      <c r="CX721" s="36"/>
      <c r="CY721" s="36"/>
      <c r="CZ721" s="36"/>
      <c r="DA721" s="36"/>
      <c r="DB721" s="36"/>
      <c r="DC721" s="36"/>
      <c r="DD721" s="36"/>
      <c r="DE721" s="36"/>
      <c r="DF721" s="36"/>
      <c r="DG721" s="36"/>
      <c r="DH721" s="36"/>
      <c r="DI721" s="36"/>
      <c r="DJ721" s="36"/>
      <c r="DK721" s="36"/>
      <c r="DL721" s="36"/>
      <c r="DM721" s="36"/>
      <c r="DN721" s="36"/>
      <c r="DO721" s="38"/>
      <c r="DP721" s="38"/>
      <c r="DQ721" s="38"/>
      <c r="DR721" s="38"/>
      <c r="DS721" s="38"/>
      <c r="DT721" s="38"/>
      <c r="DU721" s="38"/>
      <c r="DV721" s="38"/>
      <c r="DW721" s="38"/>
      <c r="DX721" s="38"/>
      <c r="DY721" s="38"/>
      <c r="DZ721" s="38"/>
      <c r="EA721" s="38"/>
      <c r="EB721" s="38"/>
      <c r="EC721" s="38"/>
      <c r="ED721" s="38"/>
      <c r="EE721" s="38"/>
      <c r="EF721" s="38"/>
      <c r="EG721" s="38"/>
      <c r="EH721" s="38"/>
      <c r="EI721" s="38"/>
      <c r="EJ721" s="38"/>
      <c r="EK721" s="38"/>
      <c r="EL721" s="38"/>
      <c r="EM721" s="38"/>
      <c r="EN721" s="38"/>
      <c r="EO721" s="38"/>
      <c r="EP721" s="38"/>
      <c r="EQ721" s="38"/>
      <c r="ER721" s="38"/>
      <c r="ES721" s="38"/>
      <c r="ET721" s="38"/>
      <c r="EU721" s="38"/>
      <c r="EV721" s="38"/>
      <c r="EW721" s="38"/>
      <c r="EX721" s="38"/>
      <c r="EY721" s="38"/>
      <c r="EZ721" s="38"/>
      <c r="FA721" s="38"/>
      <c r="FB721" s="38"/>
      <c r="FC721" s="38"/>
      <c r="FD721" s="38"/>
      <c r="FE721" s="38"/>
      <c r="FF721" s="38"/>
      <c r="FG721" s="38"/>
      <c r="FH721" s="38"/>
      <c r="FI721" s="38"/>
      <c r="FJ721" s="38"/>
      <c r="FK721" s="38"/>
      <c r="FL721" s="38"/>
      <c r="FM721" s="38"/>
    </row>
    <row r="722" spans="1:169" s="1" customFormat="1" ht="15.6" x14ac:dyDescent="0.3">
      <c r="A722" s="36"/>
      <c r="B722" s="49"/>
      <c r="C722" s="49"/>
      <c r="D722" s="49"/>
      <c r="E722" s="69"/>
      <c r="F722" s="146"/>
      <c r="G722" s="16"/>
      <c r="H722" s="16"/>
      <c r="I722" s="29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  <c r="BW722" s="36"/>
      <c r="BX722" s="36"/>
      <c r="BY722" s="36"/>
      <c r="BZ722" s="36"/>
      <c r="CA722" s="36"/>
      <c r="CB722" s="36"/>
      <c r="CC722" s="36"/>
      <c r="CD722" s="36"/>
      <c r="CE722" s="36"/>
      <c r="CF722" s="36"/>
      <c r="CG722" s="36"/>
      <c r="CH722" s="36"/>
      <c r="CI722" s="36"/>
      <c r="CJ722" s="36"/>
      <c r="CK722" s="36"/>
      <c r="CL722" s="36"/>
      <c r="CM722" s="36"/>
      <c r="CN722" s="36"/>
      <c r="CO722" s="36"/>
      <c r="CP722" s="36"/>
      <c r="CQ722" s="36"/>
      <c r="CR722" s="36"/>
      <c r="CS722" s="36"/>
      <c r="CT722" s="36"/>
      <c r="CU722" s="36"/>
      <c r="CV722" s="36"/>
      <c r="CW722" s="36"/>
      <c r="CX722" s="36"/>
      <c r="CY722" s="36"/>
      <c r="CZ722" s="36"/>
      <c r="DA722" s="36"/>
      <c r="DB722" s="36"/>
      <c r="DC722" s="36"/>
      <c r="DD722" s="36"/>
      <c r="DE722" s="36"/>
      <c r="DF722" s="36"/>
      <c r="DG722" s="36"/>
      <c r="DH722" s="36"/>
      <c r="DI722" s="36"/>
      <c r="DJ722" s="36"/>
      <c r="DK722" s="36"/>
      <c r="DL722" s="36"/>
      <c r="DM722" s="36"/>
      <c r="DN722" s="36"/>
      <c r="DO722" s="38"/>
      <c r="DP722" s="38"/>
      <c r="DQ722" s="38"/>
      <c r="DR722" s="38"/>
      <c r="DS722" s="38"/>
      <c r="DT722" s="38"/>
      <c r="DU722" s="38"/>
      <c r="DV722" s="38"/>
      <c r="DW722" s="38"/>
      <c r="DX722" s="38"/>
      <c r="DY722" s="38"/>
      <c r="DZ722" s="38"/>
      <c r="EA722" s="38"/>
      <c r="EB722" s="38"/>
      <c r="EC722" s="38"/>
      <c r="ED722" s="38"/>
      <c r="EE722" s="38"/>
      <c r="EF722" s="38"/>
      <c r="EG722" s="38"/>
      <c r="EH722" s="38"/>
      <c r="EI722" s="38"/>
      <c r="EJ722" s="38"/>
      <c r="EK722" s="38"/>
      <c r="EL722" s="38"/>
      <c r="EM722" s="38"/>
      <c r="EN722" s="38"/>
      <c r="EO722" s="38"/>
      <c r="EP722" s="38"/>
      <c r="EQ722" s="38"/>
      <c r="ER722" s="38"/>
      <c r="ES722" s="38"/>
      <c r="ET722" s="38"/>
      <c r="EU722" s="38"/>
      <c r="EV722" s="38"/>
      <c r="EW722" s="38"/>
      <c r="EX722" s="38"/>
      <c r="EY722" s="38"/>
      <c r="EZ722" s="38"/>
      <c r="FA722" s="38"/>
      <c r="FB722" s="38"/>
      <c r="FC722" s="38"/>
      <c r="FD722" s="38"/>
      <c r="FE722" s="38"/>
      <c r="FF722" s="38"/>
      <c r="FG722" s="38"/>
      <c r="FH722" s="38"/>
      <c r="FI722" s="38"/>
      <c r="FJ722" s="38"/>
      <c r="FK722" s="38"/>
      <c r="FL722" s="38"/>
      <c r="FM722" s="38"/>
    </row>
    <row r="723" spans="1:169" s="1" customFormat="1" ht="15.6" x14ac:dyDescent="0.3">
      <c r="A723" s="36"/>
      <c r="B723" s="65"/>
      <c r="C723" s="49"/>
      <c r="D723" s="49"/>
      <c r="E723" s="69"/>
      <c r="F723" s="146"/>
      <c r="G723" s="16"/>
      <c r="H723" s="16"/>
      <c r="I723" s="29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  <c r="BW723" s="36"/>
      <c r="BX723" s="36"/>
      <c r="BY723" s="36"/>
      <c r="BZ723" s="36"/>
      <c r="CA723" s="36"/>
      <c r="CB723" s="36"/>
      <c r="CC723" s="36"/>
      <c r="CD723" s="36"/>
      <c r="CE723" s="36"/>
      <c r="CF723" s="36"/>
      <c r="CG723" s="36"/>
      <c r="CH723" s="36"/>
      <c r="CI723" s="36"/>
      <c r="CJ723" s="36"/>
      <c r="CK723" s="36"/>
      <c r="CL723" s="36"/>
      <c r="CM723" s="36"/>
      <c r="CN723" s="36"/>
      <c r="CO723" s="36"/>
      <c r="CP723" s="36"/>
      <c r="CQ723" s="36"/>
      <c r="CR723" s="36"/>
      <c r="CS723" s="36"/>
      <c r="CT723" s="36"/>
      <c r="CU723" s="36"/>
      <c r="CV723" s="36"/>
      <c r="CW723" s="36"/>
      <c r="CX723" s="36"/>
      <c r="CY723" s="36"/>
      <c r="CZ723" s="36"/>
      <c r="DA723" s="36"/>
      <c r="DB723" s="36"/>
      <c r="DC723" s="36"/>
      <c r="DD723" s="36"/>
      <c r="DE723" s="36"/>
      <c r="DF723" s="36"/>
      <c r="DG723" s="36"/>
      <c r="DH723" s="36"/>
      <c r="DI723" s="36"/>
      <c r="DJ723" s="36"/>
      <c r="DK723" s="36"/>
      <c r="DL723" s="36"/>
      <c r="DM723" s="36"/>
      <c r="DN723" s="36"/>
      <c r="DO723" s="38"/>
      <c r="DP723" s="38"/>
      <c r="DQ723" s="38"/>
      <c r="DR723" s="38"/>
      <c r="DS723" s="38"/>
      <c r="DT723" s="38"/>
      <c r="DU723" s="38"/>
      <c r="DV723" s="38"/>
      <c r="DW723" s="38"/>
      <c r="DX723" s="38"/>
      <c r="DY723" s="38"/>
      <c r="DZ723" s="38"/>
      <c r="EA723" s="38"/>
      <c r="EB723" s="38"/>
      <c r="EC723" s="38"/>
      <c r="ED723" s="38"/>
      <c r="EE723" s="38"/>
      <c r="EF723" s="38"/>
      <c r="EG723" s="38"/>
      <c r="EH723" s="38"/>
      <c r="EI723" s="38"/>
      <c r="EJ723" s="38"/>
      <c r="EK723" s="38"/>
      <c r="EL723" s="38"/>
      <c r="EM723" s="38"/>
      <c r="EN723" s="38"/>
      <c r="EO723" s="38"/>
      <c r="EP723" s="38"/>
      <c r="EQ723" s="38"/>
      <c r="ER723" s="38"/>
      <c r="ES723" s="38"/>
      <c r="ET723" s="38"/>
      <c r="EU723" s="38"/>
      <c r="EV723" s="38"/>
      <c r="EW723" s="38"/>
      <c r="EX723" s="38"/>
      <c r="EY723" s="38"/>
      <c r="EZ723" s="38"/>
      <c r="FA723" s="38"/>
      <c r="FB723" s="38"/>
      <c r="FC723" s="38"/>
      <c r="FD723" s="38"/>
      <c r="FE723" s="38"/>
      <c r="FF723" s="38"/>
      <c r="FG723" s="38"/>
      <c r="FH723" s="38"/>
      <c r="FI723" s="38"/>
      <c r="FJ723" s="38"/>
      <c r="FK723" s="38"/>
      <c r="FL723" s="38"/>
      <c r="FM723" s="38"/>
    </row>
    <row r="724" spans="1:169" s="1" customFormat="1" ht="15.6" x14ac:dyDescent="0.3">
      <c r="A724" s="36"/>
      <c r="B724" s="49"/>
      <c r="C724" s="49"/>
      <c r="D724" s="49"/>
      <c r="E724" s="69"/>
      <c r="F724" s="146"/>
      <c r="G724" s="16"/>
      <c r="H724" s="16"/>
      <c r="I724" s="29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CL724" s="36"/>
      <c r="CM724" s="36"/>
      <c r="CN724" s="36"/>
      <c r="CO724" s="36"/>
      <c r="CP724" s="36"/>
      <c r="CQ724" s="36"/>
      <c r="CR724" s="36"/>
      <c r="CS724" s="36"/>
      <c r="CT724" s="36"/>
      <c r="CU724" s="36"/>
      <c r="CV724" s="36"/>
      <c r="CW724" s="36"/>
      <c r="CX724" s="36"/>
      <c r="CY724" s="36"/>
      <c r="CZ724" s="36"/>
      <c r="DA724" s="36"/>
      <c r="DB724" s="36"/>
      <c r="DC724" s="36"/>
      <c r="DD724" s="36"/>
      <c r="DE724" s="36"/>
      <c r="DF724" s="36"/>
      <c r="DG724" s="36"/>
      <c r="DH724" s="36"/>
      <c r="DI724" s="36"/>
      <c r="DJ724" s="36"/>
      <c r="DK724" s="36"/>
      <c r="DL724" s="36"/>
      <c r="DM724" s="36"/>
      <c r="DN724" s="36"/>
      <c r="DO724" s="38"/>
      <c r="DP724" s="38"/>
      <c r="DQ724" s="38"/>
      <c r="DR724" s="38"/>
      <c r="DS724" s="38"/>
      <c r="DT724" s="38"/>
      <c r="DU724" s="38"/>
      <c r="DV724" s="38"/>
      <c r="DW724" s="38"/>
      <c r="DX724" s="38"/>
      <c r="DY724" s="38"/>
      <c r="DZ724" s="38"/>
      <c r="EA724" s="38"/>
      <c r="EB724" s="38"/>
      <c r="EC724" s="38"/>
      <c r="ED724" s="38"/>
      <c r="EE724" s="38"/>
      <c r="EF724" s="38"/>
      <c r="EG724" s="38"/>
      <c r="EH724" s="38"/>
      <c r="EI724" s="38"/>
      <c r="EJ724" s="38"/>
      <c r="EK724" s="38"/>
      <c r="EL724" s="38"/>
      <c r="EM724" s="38"/>
      <c r="EN724" s="38"/>
      <c r="EO724" s="38"/>
      <c r="EP724" s="38"/>
      <c r="EQ724" s="38"/>
      <c r="ER724" s="38"/>
      <c r="ES724" s="38"/>
      <c r="ET724" s="38"/>
      <c r="EU724" s="38"/>
      <c r="EV724" s="38"/>
      <c r="EW724" s="38"/>
      <c r="EX724" s="38"/>
      <c r="EY724" s="38"/>
      <c r="EZ724" s="38"/>
      <c r="FA724" s="38"/>
      <c r="FB724" s="38"/>
      <c r="FC724" s="38"/>
      <c r="FD724" s="38"/>
      <c r="FE724" s="38"/>
      <c r="FF724" s="38"/>
      <c r="FG724" s="38"/>
      <c r="FH724" s="38"/>
      <c r="FI724" s="38"/>
      <c r="FJ724" s="38"/>
      <c r="FK724" s="38"/>
      <c r="FL724" s="38"/>
      <c r="FM724" s="38"/>
    </row>
    <row r="725" spans="1:169" s="1" customFormat="1" ht="15.6" x14ac:dyDescent="0.3">
      <c r="A725" s="36"/>
      <c r="B725" s="65"/>
      <c r="C725" s="49"/>
      <c r="D725" s="49"/>
      <c r="E725" s="69"/>
      <c r="F725" s="146"/>
      <c r="G725" s="16"/>
      <c r="H725" s="16"/>
      <c r="I725" s="29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CL725" s="36"/>
      <c r="CM725" s="36"/>
      <c r="CN725" s="36"/>
      <c r="CO725" s="36"/>
      <c r="CP725" s="36"/>
      <c r="CQ725" s="36"/>
      <c r="CR725" s="36"/>
      <c r="CS725" s="36"/>
      <c r="CT725" s="36"/>
      <c r="CU725" s="36"/>
      <c r="CV725" s="36"/>
      <c r="CW725" s="36"/>
      <c r="CX725" s="36"/>
      <c r="CY725" s="36"/>
      <c r="CZ725" s="36"/>
      <c r="DA725" s="36"/>
      <c r="DB725" s="36"/>
      <c r="DC725" s="36"/>
      <c r="DD725" s="36"/>
      <c r="DE725" s="36"/>
      <c r="DF725" s="36"/>
      <c r="DG725" s="36"/>
      <c r="DH725" s="36"/>
      <c r="DI725" s="36"/>
      <c r="DJ725" s="36"/>
      <c r="DK725" s="36"/>
      <c r="DL725" s="36"/>
      <c r="DM725" s="36"/>
      <c r="DN725" s="36"/>
      <c r="DO725" s="38"/>
      <c r="DP725" s="38"/>
      <c r="DQ725" s="38"/>
      <c r="DR725" s="38"/>
      <c r="DS725" s="38"/>
      <c r="DT725" s="38"/>
      <c r="DU725" s="38"/>
      <c r="DV725" s="38"/>
      <c r="DW725" s="38"/>
      <c r="DX725" s="38"/>
      <c r="DY725" s="38"/>
      <c r="DZ725" s="38"/>
      <c r="EA725" s="38"/>
      <c r="EB725" s="38"/>
      <c r="EC725" s="38"/>
      <c r="ED725" s="38"/>
      <c r="EE725" s="38"/>
      <c r="EF725" s="38"/>
      <c r="EG725" s="38"/>
      <c r="EH725" s="38"/>
      <c r="EI725" s="38"/>
      <c r="EJ725" s="38"/>
      <c r="EK725" s="38"/>
      <c r="EL725" s="38"/>
      <c r="EM725" s="38"/>
      <c r="EN725" s="38"/>
      <c r="EO725" s="38"/>
      <c r="EP725" s="38"/>
      <c r="EQ725" s="38"/>
      <c r="ER725" s="38"/>
      <c r="ES725" s="38"/>
      <c r="ET725" s="38"/>
      <c r="EU725" s="38"/>
      <c r="EV725" s="38"/>
      <c r="EW725" s="38"/>
      <c r="EX725" s="38"/>
      <c r="EY725" s="38"/>
      <c r="EZ725" s="38"/>
      <c r="FA725" s="38"/>
      <c r="FB725" s="38"/>
      <c r="FC725" s="38"/>
      <c r="FD725" s="38"/>
      <c r="FE725" s="38"/>
      <c r="FF725" s="38"/>
      <c r="FG725" s="38"/>
      <c r="FH725" s="38"/>
      <c r="FI725" s="38"/>
      <c r="FJ725" s="38"/>
      <c r="FK725" s="38"/>
      <c r="FL725" s="38"/>
      <c r="FM725" s="38"/>
    </row>
    <row r="726" spans="1:169" s="1" customFormat="1" ht="15.6" x14ac:dyDescent="0.3">
      <c r="A726" s="36"/>
      <c r="B726" s="76"/>
      <c r="C726" s="65"/>
      <c r="D726" s="49"/>
      <c r="E726" s="69"/>
      <c r="F726" s="152"/>
      <c r="G726" s="16"/>
      <c r="H726" s="16"/>
      <c r="I726" s="29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CL726" s="36"/>
      <c r="CM726" s="36"/>
      <c r="CN726" s="36"/>
      <c r="CO726" s="36"/>
      <c r="CP726" s="36"/>
      <c r="CQ726" s="36"/>
      <c r="CR726" s="36"/>
      <c r="CS726" s="36"/>
      <c r="CT726" s="36"/>
      <c r="CU726" s="36"/>
      <c r="CV726" s="36"/>
      <c r="CW726" s="36"/>
      <c r="CX726" s="36"/>
      <c r="CY726" s="36"/>
      <c r="CZ726" s="36"/>
      <c r="DA726" s="36"/>
      <c r="DB726" s="36"/>
      <c r="DC726" s="36"/>
      <c r="DD726" s="36"/>
      <c r="DE726" s="36"/>
      <c r="DF726" s="36"/>
      <c r="DG726" s="36"/>
      <c r="DH726" s="36"/>
      <c r="DI726" s="36"/>
      <c r="DJ726" s="36"/>
      <c r="DK726" s="36"/>
      <c r="DL726" s="36"/>
      <c r="DM726" s="36"/>
      <c r="DN726" s="36"/>
      <c r="DO726" s="38"/>
      <c r="DP726" s="38"/>
      <c r="DQ726" s="38"/>
      <c r="DR726" s="38"/>
      <c r="DS726" s="38"/>
      <c r="DT726" s="38"/>
      <c r="DU726" s="38"/>
      <c r="DV726" s="38"/>
      <c r="DW726" s="38"/>
      <c r="DX726" s="38"/>
      <c r="DY726" s="38"/>
      <c r="DZ726" s="38"/>
      <c r="EA726" s="38"/>
      <c r="EB726" s="38"/>
      <c r="EC726" s="38"/>
      <c r="ED726" s="38"/>
      <c r="EE726" s="38"/>
      <c r="EF726" s="38"/>
      <c r="EG726" s="38"/>
      <c r="EH726" s="38"/>
      <c r="EI726" s="38"/>
      <c r="EJ726" s="38"/>
      <c r="EK726" s="38"/>
      <c r="EL726" s="38"/>
      <c r="EM726" s="38"/>
      <c r="EN726" s="38"/>
      <c r="EO726" s="38"/>
      <c r="EP726" s="38"/>
      <c r="EQ726" s="38"/>
      <c r="ER726" s="38"/>
      <c r="ES726" s="38"/>
      <c r="ET726" s="38"/>
      <c r="EU726" s="38"/>
      <c r="EV726" s="38"/>
      <c r="EW726" s="38"/>
      <c r="EX726" s="38"/>
      <c r="EY726" s="38"/>
      <c r="EZ726" s="38"/>
      <c r="FA726" s="38"/>
      <c r="FB726" s="38"/>
      <c r="FC726" s="38"/>
      <c r="FD726" s="38"/>
      <c r="FE726" s="38"/>
      <c r="FF726" s="38"/>
      <c r="FG726" s="38"/>
      <c r="FH726" s="38"/>
      <c r="FI726" s="38"/>
      <c r="FJ726" s="38"/>
      <c r="FK726" s="38"/>
      <c r="FL726" s="38"/>
      <c r="FM726" s="38"/>
    </row>
    <row r="727" spans="1:169" s="1" customFormat="1" ht="15.6" x14ac:dyDescent="0.3">
      <c r="A727" s="36"/>
      <c r="B727" s="49"/>
      <c r="C727" s="49"/>
      <c r="D727" s="49"/>
      <c r="E727" s="69"/>
      <c r="F727" s="146"/>
      <c r="G727" s="16"/>
      <c r="H727" s="16"/>
      <c r="I727" s="29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36"/>
      <c r="BV727" s="36"/>
      <c r="BW727" s="36"/>
      <c r="BX727" s="36"/>
      <c r="BY727" s="36"/>
      <c r="BZ727" s="36"/>
      <c r="CA727" s="36"/>
      <c r="CB727" s="36"/>
      <c r="CC727" s="36"/>
      <c r="CD727" s="36"/>
      <c r="CE727" s="36"/>
      <c r="CF727" s="36"/>
      <c r="CG727" s="36"/>
      <c r="CH727" s="36"/>
      <c r="CI727" s="36"/>
      <c r="CJ727" s="36"/>
      <c r="CK727" s="36"/>
      <c r="CL727" s="36"/>
      <c r="CM727" s="36"/>
      <c r="CN727" s="36"/>
      <c r="CO727" s="36"/>
      <c r="CP727" s="36"/>
      <c r="CQ727" s="36"/>
      <c r="CR727" s="36"/>
      <c r="CS727" s="36"/>
      <c r="CT727" s="36"/>
      <c r="CU727" s="36"/>
      <c r="CV727" s="36"/>
      <c r="CW727" s="36"/>
      <c r="CX727" s="36"/>
      <c r="CY727" s="36"/>
      <c r="CZ727" s="36"/>
      <c r="DA727" s="36"/>
      <c r="DB727" s="36"/>
      <c r="DC727" s="36"/>
      <c r="DD727" s="36"/>
      <c r="DE727" s="36"/>
      <c r="DF727" s="36"/>
      <c r="DG727" s="36"/>
      <c r="DH727" s="36"/>
      <c r="DI727" s="36"/>
      <c r="DJ727" s="36"/>
      <c r="DK727" s="36"/>
      <c r="DL727" s="36"/>
      <c r="DM727" s="36"/>
      <c r="DN727" s="36"/>
      <c r="DO727" s="38"/>
      <c r="DP727" s="38"/>
      <c r="DQ727" s="38"/>
      <c r="DR727" s="38"/>
      <c r="DS727" s="38"/>
      <c r="DT727" s="38"/>
      <c r="DU727" s="38"/>
      <c r="DV727" s="38"/>
      <c r="DW727" s="38"/>
      <c r="DX727" s="38"/>
      <c r="DY727" s="38"/>
      <c r="DZ727" s="38"/>
      <c r="EA727" s="38"/>
      <c r="EB727" s="38"/>
      <c r="EC727" s="38"/>
      <c r="ED727" s="38"/>
      <c r="EE727" s="38"/>
      <c r="EF727" s="38"/>
      <c r="EG727" s="38"/>
      <c r="EH727" s="38"/>
      <c r="EI727" s="38"/>
      <c r="EJ727" s="38"/>
      <c r="EK727" s="38"/>
      <c r="EL727" s="38"/>
      <c r="EM727" s="38"/>
      <c r="EN727" s="38"/>
      <c r="EO727" s="38"/>
      <c r="EP727" s="38"/>
      <c r="EQ727" s="38"/>
      <c r="ER727" s="38"/>
      <c r="ES727" s="38"/>
      <c r="ET727" s="38"/>
      <c r="EU727" s="38"/>
      <c r="EV727" s="38"/>
      <c r="EW727" s="38"/>
      <c r="EX727" s="38"/>
      <c r="EY727" s="38"/>
      <c r="EZ727" s="38"/>
      <c r="FA727" s="38"/>
      <c r="FB727" s="38"/>
      <c r="FC727" s="38"/>
      <c r="FD727" s="38"/>
      <c r="FE727" s="38"/>
      <c r="FF727" s="38"/>
      <c r="FG727" s="38"/>
      <c r="FH727" s="38"/>
      <c r="FI727" s="38"/>
      <c r="FJ727" s="38"/>
      <c r="FK727" s="38"/>
      <c r="FL727" s="38"/>
      <c r="FM727" s="38"/>
    </row>
    <row r="728" spans="1:169" x14ac:dyDescent="0.3">
      <c r="A728" s="28"/>
      <c r="B728" s="77"/>
      <c r="C728" s="69"/>
      <c r="D728" s="69"/>
      <c r="E728" s="69"/>
      <c r="F728" s="152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9"/>
      <c r="DP728" s="29"/>
      <c r="DQ728" s="29"/>
      <c r="DR728" s="29"/>
      <c r="DS728" s="29"/>
      <c r="DT728" s="29"/>
      <c r="DU728" s="29"/>
      <c r="DV728" s="29"/>
      <c r="DW728" s="29"/>
      <c r="DX728" s="29"/>
      <c r="DY728" s="29"/>
      <c r="DZ728" s="29"/>
      <c r="EA728" s="29"/>
      <c r="EB728" s="29"/>
      <c r="EC728" s="29"/>
      <c r="ED728" s="29"/>
      <c r="EE728" s="29"/>
      <c r="EF728" s="29"/>
      <c r="EG728" s="29"/>
      <c r="EH728" s="29"/>
      <c r="EI728" s="29"/>
      <c r="EJ728" s="29"/>
      <c r="EK728" s="29"/>
      <c r="EL728" s="29"/>
      <c r="EM728" s="29"/>
      <c r="EN728" s="29"/>
      <c r="EO728" s="29"/>
      <c r="EP728" s="29"/>
      <c r="EQ728" s="29"/>
      <c r="ER728" s="29"/>
      <c r="ES728" s="29"/>
      <c r="ET728" s="29"/>
      <c r="EU728" s="29"/>
      <c r="EV728" s="29"/>
      <c r="EW728" s="29"/>
      <c r="EX728" s="29"/>
      <c r="EY728" s="29"/>
      <c r="EZ728" s="29"/>
      <c r="FA728" s="29"/>
      <c r="FB728" s="29"/>
      <c r="FC728" s="29"/>
      <c r="FD728" s="29"/>
      <c r="FE728" s="29"/>
      <c r="FF728" s="29"/>
      <c r="FG728" s="29"/>
      <c r="FH728" s="29"/>
      <c r="FI728" s="29"/>
      <c r="FJ728" s="29"/>
      <c r="FK728" s="29"/>
      <c r="FL728" s="29"/>
      <c r="FM728" s="29"/>
    </row>
    <row r="729" spans="1:169" s="1" customFormat="1" ht="15.6" x14ac:dyDescent="0.3">
      <c r="A729" s="27"/>
      <c r="B729" s="78"/>
      <c r="C729" s="78"/>
      <c r="D729" s="78"/>
      <c r="E729" s="78"/>
      <c r="F729" s="153"/>
      <c r="G729" s="16"/>
      <c r="H729" s="16"/>
      <c r="I729" s="29"/>
      <c r="J729" s="35"/>
      <c r="K729" s="35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s="29"/>
      <c r="EE729" s="29"/>
      <c r="EF729" s="29"/>
      <c r="EG729" s="29"/>
      <c r="EH729" s="29"/>
      <c r="EI729" s="29"/>
      <c r="EJ729" s="29"/>
      <c r="EK729" s="29"/>
      <c r="EL729" s="29"/>
      <c r="EM729" s="29"/>
      <c r="EN729" s="29"/>
      <c r="EO729" s="29"/>
      <c r="EP729" s="29"/>
      <c r="EQ729" s="29"/>
      <c r="ER729" s="29"/>
      <c r="ES729" s="29"/>
      <c r="ET729" s="29"/>
      <c r="EU729" s="29"/>
      <c r="EV729" s="29"/>
      <c r="EW729" s="29"/>
      <c r="EX729" s="29"/>
      <c r="EY729" s="29"/>
      <c r="EZ729" s="29"/>
      <c r="FA729" s="29"/>
      <c r="FB729" s="29"/>
      <c r="FC729" s="29"/>
      <c r="FD729" s="29"/>
      <c r="FE729" s="29"/>
      <c r="FF729" s="29"/>
      <c r="FG729" s="29"/>
      <c r="FH729" s="29"/>
      <c r="FI729" s="29"/>
      <c r="FJ729" s="29"/>
      <c r="FK729" s="29"/>
      <c r="FL729" s="29"/>
      <c r="FM729" s="29"/>
    </row>
    <row r="730" spans="1:169" s="1" customFormat="1" ht="15.6" x14ac:dyDescent="0.3">
      <c r="A730" s="27"/>
      <c r="B730" s="79"/>
      <c r="C730" s="78"/>
      <c r="D730" s="78"/>
      <c r="E730" s="78"/>
      <c r="F730" s="153"/>
      <c r="G730" s="16"/>
      <c r="H730" s="16"/>
      <c r="I730" s="29"/>
      <c r="J730" s="35"/>
      <c r="K730" s="35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  <c r="EG730" s="29"/>
      <c r="EH730" s="29"/>
      <c r="EI730" s="29"/>
      <c r="EJ730" s="29"/>
      <c r="EK730" s="29"/>
      <c r="EL730" s="29"/>
      <c r="EM730" s="29"/>
      <c r="EN730" s="29"/>
      <c r="EO730" s="29"/>
      <c r="EP730" s="29"/>
      <c r="EQ730" s="29"/>
      <c r="ER730" s="29"/>
      <c r="ES730" s="29"/>
      <c r="ET730" s="29"/>
      <c r="EU730" s="29"/>
      <c r="EV730" s="29"/>
      <c r="EW730" s="29"/>
      <c r="EX730" s="29"/>
      <c r="EY730" s="29"/>
      <c r="EZ730" s="29"/>
      <c r="FA730" s="29"/>
      <c r="FB730" s="29"/>
      <c r="FC730" s="29"/>
      <c r="FD730" s="29"/>
      <c r="FE730" s="29"/>
      <c r="FF730" s="29"/>
      <c r="FG730" s="29"/>
      <c r="FH730" s="29"/>
      <c r="FI730" s="29"/>
      <c r="FJ730" s="29"/>
      <c r="FK730" s="29"/>
      <c r="FL730" s="29"/>
      <c r="FM730" s="29"/>
    </row>
    <row r="731" spans="1:169" s="1" customFormat="1" ht="15.6" x14ac:dyDescent="0.3">
      <c r="A731" s="35"/>
      <c r="B731" s="74"/>
      <c r="C731" s="74"/>
      <c r="D731" s="74"/>
      <c r="E731" s="78"/>
      <c r="F731" s="151"/>
      <c r="G731" s="16"/>
      <c r="H731" s="16"/>
      <c r="I731" s="29"/>
      <c r="J731" s="35"/>
      <c r="K731" s="35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9"/>
      <c r="DP731" s="29"/>
      <c r="DQ731" s="29"/>
      <c r="DR731" s="29"/>
      <c r="DS731" s="29"/>
      <c r="DT731" s="29"/>
      <c r="DU731" s="29"/>
      <c r="DV731" s="29"/>
      <c r="DW731" s="29"/>
      <c r="DX731" s="29"/>
      <c r="DY731" s="29"/>
      <c r="DZ731" s="29"/>
      <c r="EA731" s="29"/>
      <c r="EB731" s="29"/>
      <c r="EC731" s="29"/>
      <c r="ED731" s="29"/>
      <c r="EE731" s="29"/>
      <c r="EF731" s="29"/>
      <c r="EG731" s="29"/>
      <c r="EH731" s="29"/>
      <c r="EI731" s="29"/>
      <c r="EJ731" s="29"/>
      <c r="EK731" s="29"/>
      <c r="EL731" s="29"/>
      <c r="EM731" s="29"/>
      <c r="EN731" s="29"/>
      <c r="EO731" s="29"/>
      <c r="EP731" s="29"/>
      <c r="EQ731" s="29"/>
      <c r="ER731" s="29"/>
      <c r="ES731" s="29"/>
      <c r="ET731" s="29"/>
      <c r="EU731" s="29"/>
      <c r="EV731" s="29"/>
      <c r="EW731" s="29"/>
      <c r="EX731" s="29"/>
      <c r="EY731" s="29"/>
      <c r="EZ731" s="29"/>
      <c r="FA731" s="29"/>
      <c r="FB731" s="29"/>
      <c r="FC731" s="29"/>
      <c r="FD731" s="29"/>
      <c r="FE731" s="29"/>
      <c r="FF731" s="29"/>
      <c r="FG731" s="29"/>
      <c r="FH731" s="29"/>
      <c r="FI731" s="29"/>
      <c r="FJ731" s="29"/>
      <c r="FK731" s="29"/>
      <c r="FL731" s="29"/>
      <c r="FM731" s="29"/>
    </row>
    <row r="732" spans="1:169" s="1" customFormat="1" ht="15.6" x14ac:dyDescent="0.3">
      <c r="A732" s="35"/>
      <c r="B732" s="74"/>
      <c r="C732" s="74"/>
      <c r="D732" s="74"/>
      <c r="E732" s="78"/>
      <c r="F732" s="151"/>
      <c r="G732" s="16"/>
      <c r="H732" s="16"/>
      <c r="I732" s="29"/>
      <c r="J732" s="35"/>
      <c r="K732" s="35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9"/>
      <c r="DP732" s="29"/>
      <c r="DQ732" s="29"/>
      <c r="DR732" s="29"/>
      <c r="DS732" s="29"/>
      <c r="DT732" s="29"/>
      <c r="DU732" s="29"/>
      <c r="DV732" s="29"/>
      <c r="DW732" s="29"/>
      <c r="DX732" s="29"/>
      <c r="DY732" s="29"/>
      <c r="DZ732" s="29"/>
      <c r="EA732" s="29"/>
      <c r="EB732" s="29"/>
      <c r="EC732" s="29"/>
      <c r="ED732" s="29"/>
      <c r="EE732" s="29"/>
      <c r="EF732" s="29"/>
      <c r="EG732" s="29"/>
      <c r="EH732" s="29"/>
      <c r="EI732" s="29"/>
      <c r="EJ732" s="29"/>
      <c r="EK732" s="29"/>
      <c r="EL732" s="29"/>
      <c r="EM732" s="29"/>
      <c r="EN732" s="29"/>
      <c r="EO732" s="29"/>
      <c r="EP732" s="29"/>
      <c r="EQ732" s="29"/>
      <c r="ER732" s="29"/>
      <c r="ES732" s="29"/>
      <c r="ET732" s="29"/>
      <c r="EU732" s="29"/>
      <c r="EV732" s="29"/>
      <c r="EW732" s="29"/>
      <c r="EX732" s="29"/>
      <c r="EY732" s="29"/>
      <c r="EZ732" s="29"/>
      <c r="FA732" s="29"/>
      <c r="FB732" s="29"/>
      <c r="FC732" s="29"/>
      <c r="FD732" s="29"/>
      <c r="FE732" s="29"/>
      <c r="FF732" s="29"/>
      <c r="FG732" s="29"/>
      <c r="FH732" s="29"/>
      <c r="FI732" s="29"/>
      <c r="FJ732" s="29"/>
      <c r="FK732" s="29"/>
      <c r="FL732" s="29"/>
      <c r="FM732" s="29"/>
    </row>
    <row r="733" spans="1:169" s="1" customFormat="1" ht="15.6" x14ac:dyDescent="0.3">
      <c r="A733" s="27"/>
      <c r="B733" s="78"/>
      <c r="C733" s="78"/>
      <c r="D733" s="78"/>
      <c r="E733" s="78"/>
      <c r="F733" s="153"/>
      <c r="G733" s="16"/>
      <c r="H733" s="16"/>
      <c r="I733" s="29"/>
      <c r="J733" s="35"/>
      <c r="K733" s="35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/>
      <c r="EC733" s="29"/>
      <c r="ED733" s="29"/>
      <c r="EE733" s="29"/>
      <c r="EF733" s="29"/>
      <c r="EG733" s="29"/>
      <c r="EH733" s="29"/>
      <c r="EI733" s="29"/>
      <c r="EJ733" s="29"/>
      <c r="EK733" s="29"/>
      <c r="EL733" s="29"/>
      <c r="EM733" s="29"/>
      <c r="EN733" s="29"/>
      <c r="EO733" s="29"/>
      <c r="EP733" s="29"/>
      <c r="EQ733" s="29"/>
      <c r="ER733" s="29"/>
      <c r="ES733" s="29"/>
      <c r="ET733" s="29"/>
      <c r="EU733" s="29"/>
      <c r="EV733" s="29"/>
      <c r="EW733" s="29"/>
      <c r="EX733" s="29"/>
      <c r="EY733" s="29"/>
      <c r="EZ733" s="29"/>
      <c r="FA733" s="29"/>
      <c r="FB733" s="29"/>
      <c r="FC733" s="29"/>
      <c r="FD733" s="29"/>
      <c r="FE733" s="29"/>
      <c r="FF733" s="29"/>
      <c r="FG733" s="29"/>
      <c r="FH733" s="29"/>
      <c r="FI733" s="29"/>
      <c r="FJ733" s="29"/>
      <c r="FK733" s="29"/>
      <c r="FL733" s="29"/>
      <c r="FM733" s="29"/>
    </row>
    <row r="734" spans="1:169" s="1" customFormat="1" ht="15.6" x14ac:dyDescent="0.3">
      <c r="A734" s="27"/>
      <c r="B734" s="78"/>
      <c r="C734" s="78"/>
      <c r="D734" s="78"/>
      <c r="E734" s="78"/>
      <c r="F734" s="153"/>
      <c r="G734" s="16"/>
      <c r="H734" s="16"/>
      <c r="I734" s="29"/>
      <c r="J734" s="35"/>
      <c r="K734" s="35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9"/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s="29"/>
      <c r="EE734" s="29"/>
      <c r="EF734" s="29"/>
      <c r="EG734" s="29"/>
      <c r="EH734" s="29"/>
      <c r="EI734" s="29"/>
      <c r="EJ734" s="29"/>
      <c r="EK734" s="29"/>
      <c r="EL734" s="29"/>
      <c r="EM734" s="29"/>
      <c r="EN734" s="29"/>
      <c r="EO734" s="29"/>
      <c r="EP734" s="29"/>
      <c r="EQ734" s="29"/>
      <c r="ER734" s="29"/>
      <c r="ES734" s="29"/>
      <c r="ET734" s="29"/>
      <c r="EU734" s="29"/>
      <c r="EV734" s="29"/>
      <c r="EW734" s="29"/>
      <c r="EX734" s="29"/>
      <c r="EY734" s="29"/>
      <c r="EZ734" s="29"/>
      <c r="FA734" s="29"/>
      <c r="FB734" s="29"/>
      <c r="FC734" s="29"/>
      <c r="FD734" s="29"/>
      <c r="FE734" s="29"/>
      <c r="FF734" s="29"/>
      <c r="FG734" s="29"/>
      <c r="FH734" s="29"/>
      <c r="FI734" s="29"/>
      <c r="FJ734" s="29"/>
      <c r="FK734" s="29"/>
      <c r="FL734" s="29"/>
      <c r="FM734" s="29"/>
    </row>
    <row r="735" spans="1:169" ht="15.6" x14ac:dyDescent="0.3">
      <c r="A735" s="36"/>
      <c r="B735" s="49"/>
      <c r="C735" s="49"/>
      <c r="D735" s="49"/>
      <c r="E735" s="69"/>
      <c r="F735" s="154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9"/>
      <c r="DP735" s="29"/>
      <c r="DQ735" s="29"/>
      <c r="DR735" s="29"/>
      <c r="DS735" s="29"/>
      <c r="DT735" s="29"/>
      <c r="DU735" s="29"/>
      <c r="DV735" s="29"/>
      <c r="DW735" s="29"/>
      <c r="DX735" s="29"/>
      <c r="DY735" s="29"/>
      <c r="DZ735" s="29"/>
      <c r="EA735" s="29"/>
      <c r="EB735" s="29"/>
      <c r="EC735" s="29"/>
      <c r="ED735" s="29"/>
      <c r="EE735" s="29"/>
      <c r="EF735" s="29"/>
      <c r="EG735" s="29"/>
      <c r="EH735" s="29"/>
      <c r="EI735" s="29"/>
      <c r="EJ735" s="29"/>
      <c r="EK735" s="29"/>
      <c r="EL735" s="29"/>
      <c r="EM735" s="29"/>
      <c r="EN735" s="29"/>
      <c r="EO735" s="29"/>
      <c r="EP735" s="29"/>
      <c r="EQ735" s="29"/>
      <c r="ER735" s="29"/>
      <c r="ES735" s="29"/>
      <c r="ET735" s="29"/>
      <c r="EU735" s="29"/>
      <c r="EV735" s="29"/>
      <c r="EW735" s="29"/>
      <c r="EX735" s="29"/>
      <c r="EY735" s="29"/>
      <c r="EZ735" s="29"/>
      <c r="FA735" s="29"/>
      <c r="FB735" s="29"/>
      <c r="FC735" s="29"/>
      <c r="FD735" s="29"/>
      <c r="FE735" s="29"/>
      <c r="FF735" s="29"/>
      <c r="FG735" s="29"/>
      <c r="FH735" s="29"/>
      <c r="FI735" s="29"/>
      <c r="FJ735" s="29"/>
      <c r="FK735" s="29"/>
      <c r="FL735" s="29"/>
      <c r="FM735" s="29"/>
    </row>
    <row r="736" spans="1:169" s="1" customFormat="1" ht="15.6" x14ac:dyDescent="0.3">
      <c r="A736" s="27"/>
      <c r="B736" s="78"/>
      <c r="C736" s="78"/>
      <c r="D736" s="78"/>
      <c r="E736" s="78"/>
      <c r="F736" s="153"/>
      <c r="G736" s="16"/>
      <c r="H736" s="16"/>
      <c r="I736" s="29"/>
      <c r="J736" s="35"/>
      <c r="K736" s="35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9"/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s="29"/>
      <c r="EE736" s="29"/>
      <c r="EF736" s="29"/>
      <c r="EG736" s="29"/>
      <c r="EH736" s="29"/>
      <c r="EI736" s="29"/>
      <c r="EJ736" s="29"/>
      <c r="EK736" s="29"/>
      <c r="EL736" s="29"/>
      <c r="EM736" s="29"/>
      <c r="EN736" s="29"/>
      <c r="EO736" s="29"/>
      <c r="EP736" s="29"/>
      <c r="EQ736" s="29"/>
      <c r="ER736" s="29"/>
      <c r="ES736" s="29"/>
      <c r="ET736" s="29"/>
      <c r="EU736" s="29"/>
      <c r="EV736" s="29"/>
      <c r="EW736" s="29"/>
      <c r="EX736" s="29"/>
      <c r="EY736" s="29"/>
      <c r="EZ736" s="29"/>
      <c r="FA736" s="29"/>
      <c r="FB736" s="29"/>
      <c r="FC736" s="29"/>
      <c r="FD736" s="29"/>
      <c r="FE736" s="29"/>
      <c r="FF736" s="29"/>
      <c r="FG736" s="29"/>
      <c r="FH736" s="29"/>
      <c r="FI736" s="29"/>
      <c r="FJ736" s="29"/>
      <c r="FK736" s="29"/>
      <c r="FL736" s="29"/>
      <c r="FM736" s="29"/>
    </row>
    <row r="737" spans="1:169" x14ac:dyDescent="0.3">
      <c r="A737" s="27"/>
      <c r="B737" s="69"/>
      <c r="C737" s="69"/>
      <c r="D737" s="78"/>
      <c r="E737" s="69"/>
      <c r="F737" s="154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/>
      <c r="EA737" s="29"/>
      <c r="EB737" s="29"/>
      <c r="EC737" s="29"/>
      <c r="ED737" s="29"/>
      <c r="EE737" s="29"/>
      <c r="EF737" s="29"/>
      <c r="EG737" s="29"/>
      <c r="EH737" s="29"/>
      <c r="EI737" s="29"/>
      <c r="EJ737" s="29"/>
      <c r="EK737" s="29"/>
      <c r="EL737" s="29"/>
      <c r="EM737" s="29"/>
      <c r="EN737" s="29"/>
      <c r="EO737" s="29"/>
      <c r="EP737" s="29"/>
      <c r="EQ737" s="29"/>
      <c r="ER737" s="29"/>
      <c r="ES737" s="29"/>
      <c r="ET737" s="29"/>
      <c r="EU737" s="29"/>
      <c r="EV737" s="29"/>
      <c r="EW737" s="29"/>
      <c r="EX737" s="29"/>
      <c r="EY737" s="29"/>
      <c r="EZ737" s="29"/>
      <c r="FA737" s="29"/>
      <c r="FB737" s="29"/>
      <c r="FC737" s="29"/>
      <c r="FD737" s="29"/>
      <c r="FE737" s="29"/>
      <c r="FF737" s="29"/>
      <c r="FG737" s="29"/>
      <c r="FH737" s="29"/>
      <c r="FI737" s="29"/>
      <c r="FJ737" s="29"/>
      <c r="FK737" s="29"/>
      <c r="FL737" s="29"/>
      <c r="FM737" s="29"/>
    </row>
    <row r="738" spans="1:169" x14ac:dyDescent="0.3">
      <c r="A738" s="28"/>
      <c r="B738" s="80"/>
      <c r="C738" s="69"/>
      <c r="D738" s="81"/>
      <c r="E738" s="69"/>
      <c r="F738" s="154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9"/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s="29"/>
      <c r="EE738" s="29"/>
      <c r="EF738" s="29"/>
      <c r="EG738" s="29"/>
      <c r="EH738" s="29"/>
      <c r="EI738" s="29"/>
      <c r="EJ738" s="29"/>
      <c r="EK738" s="29"/>
      <c r="EL738" s="29"/>
      <c r="EM738" s="29"/>
      <c r="EN738" s="29"/>
      <c r="EO738" s="29"/>
      <c r="EP738" s="29"/>
      <c r="EQ738" s="29"/>
      <c r="ER738" s="29"/>
      <c r="ES738" s="29"/>
      <c r="ET738" s="29"/>
      <c r="EU738" s="29"/>
      <c r="EV738" s="29"/>
      <c r="EW738" s="29"/>
      <c r="EX738" s="29"/>
      <c r="EY738" s="29"/>
      <c r="EZ738" s="29"/>
      <c r="FA738" s="29"/>
      <c r="FB738" s="29"/>
      <c r="FC738" s="29"/>
      <c r="FD738" s="29"/>
      <c r="FE738" s="29"/>
      <c r="FF738" s="29"/>
      <c r="FG738" s="29"/>
      <c r="FH738" s="29"/>
      <c r="FI738" s="29"/>
      <c r="FJ738" s="29"/>
      <c r="FK738" s="29"/>
      <c r="FL738" s="29"/>
      <c r="FM738" s="29"/>
    </row>
    <row r="739" spans="1:169" x14ac:dyDescent="0.3">
      <c r="A739" s="28"/>
      <c r="B739" s="77"/>
      <c r="C739" s="69"/>
      <c r="D739" s="69"/>
      <c r="E739" s="69"/>
      <c r="F739" s="154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9"/>
      <c r="DP739" s="29"/>
      <c r="DQ739" s="29"/>
      <c r="DR739" s="29"/>
      <c r="DS739" s="29"/>
      <c r="DT739" s="29"/>
      <c r="DU739" s="29"/>
      <c r="DV739" s="29"/>
      <c r="DW739" s="29"/>
      <c r="DX739" s="29"/>
      <c r="DY739" s="29"/>
      <c r="DZ739" s="29"/>
      <c r="EA739" s="29"/>
      <c r="EB739" s="29"/>
      <c r="EC739" s="29"/>
      <c r="ED739" s="29"/>
      <c r="EE739" s="29"/>
      <c r="EF739" s="29"/>
      <c r="EG739" s="29"/>
      <c r="EH739" s="29"/>
      <c r="EI739" s="29"/>
      <c r="EJ739" s="29"/>
      <c r="EK739" s="29"/>
      <c r="EL739" s="29"/>
      <c r="EM739" s="29"/>
      <c r="EN739" s="29"/>
      <c r="EO739" s="29"/>
      <c r="EP739" s="29"/>
      <c r="EQ739" s="29"/>
      <c r="ER739" s="29"/>
      <c r="ES739" s="29"/>
      <c r="ET739" s="29"/>
      <c r="EU739" s="29"/>
      <c r="EV739" s="29"/>
      <c r="EW739" s="29"/>
      <c r="EX739" s="29"/>
      <c r="EY739" s="29"/>
      <c r="EZ739" s="29"/>
      <c r="FA739" s="29"/>
      <c r="FB739" s="29"/>
      <c r="FC739" s="29"/>
      <c r="FD739" s="29"/>
      <c r="FE739" s="29"/>
      <c r="FF739" s="29"/>
      <c r="FG739" s="29"/>
      <c r="FH739" s="29"/>
      <c r="FI739" s="29"/>
      <c r="FJ739" s="29"/>
      <c r="FK739" s="29"/>
      <c r="FL739" s="29"/>
      <c r="FM739" s="29"/>
    </row>
    <row r="740" spans="1:169" x14ac:dyDescent="0.3">
      <c r="A740" s="28"/>
      <c r="B740" s="14"/>
      <c r="C740" s="69"/>
      <c r="D740" s="17"/>
      <c r="E740" s="78"/>
      <c r="F740" s="154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/>
      <c r="DY740" s="29"/>
      <c r="DZ740" s="29"/>
      <c r="EA740" s="29"/>
      <c r="EB740" s="29"/>
      <c r="EC740" s="29"/>
      <c r="ED740" s="29"/>
      <c r="EE740" s="29"/>
      <c r="EF740" s="29"/>
      <c r="EG740" s="29"/>
      <c r="EH740" s="29"/>
      <c r="EI740" s="29"/>
      <c r="EJ740" s="29"/>
      <c r="EK740" s="29"/>
      <c r="EL740" s="29"/>
      <c r="EM740" s="29"/>
      <c r="EN740" s="29"/>
      <c r="EO740" s="29"/>
      <c r="EP740" s="29"/>
      <c r="EQ740" s="29"/>
      <c r="ER740" s="29"/>
      <c r="ES740" s="29"/>
      <c r="ET740" s="29"/>
      <c r="EU740" s="29"/>
      <c r="EV740" s="29"/>
      <c r="EW740" s="29"/>
      <c r="EX740" s="29"/>
      <c r="EY740" s="29"/>
      <c r="EZ740" s="29"/>
      <c r="FA740" s="29"/>
      <c r="FB740" s="29"/>
      <c r="FC740" s="29"/>
      <c r="FD740" s="29"/>
      <c r="FE740" s="29"/>
      <c r="FF740" s="29"/>
      <c r="FG740" s="29"/>
      <c r="FH740" s="29"/>
      <c r="FI740" s="29"/>
      <c r="FJ740" s="29"/>
      <c r="FK740" s="29"/>
      <c r="FL740" s="29"/>
      <c r="FM740" s="29"/>
    </row>
    <row r="741" spans="1:169" x14ac:dyDescent="0.3">
      <c r="A741" s="28"/>
      <c r="B741" s="77"/>
      <c r="C741" s="69"/>
      <c r="D741" s="69"/>
      <c r="E741" s="78"/>
      <c r="F741" s="154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s="29"/>
      <c r="EE741" s="29"/>
      <c r="EF741" s="29"/>
      <c r="EG741" s="29"/>
      <c r="EH741" s="29"/>
      <c r="EI741" s="29"/>
      <c r="EJ741" s="29"/>
      <c r="EK741" s="29"/>
      <c r="EL741" s="29"/>
      <c r="EM741" s="29"/>
      <c r="EN741" s="29"/>
      <c r="EO741" s="29"/>
      <c r="EP741" s="29"/>
      <c r="EQ741" s="29"/>
      <c r="ER741" s="29"/>
      <c r="ES741" s="29"/>
      <c r="ET741" s="29"/>
      <c r="EU741" s="29"/>
      <c r="EV741" s="29"/>
      <c r="EW741" s="29"/>
      <c r="EX741" s="29"/>
      <c r="EY741" s="29"/>
      <c r="EZ741" s="29"/>
      <c r="FA741" s="29"/>
      <c r="FB741" s="29"/>
      <c r="FC741" s="29"/>
      <c r="FD741" s="29"/>
      <c r="FE741" s="29"/>
      <c r="FF741" s="29"/>
      <c r="FG741" s="29"/>
      <c r="FH741" s="29"/>
      <c r="FI741" s="29"/>
      <c r="FJ741" s="29"/>
      <c r="FK741" s="29"/>
      <c r="FL741" s="29"/>
      <c r="FM741" s="29"/>
    </row>
    <row r="742" spans="1:169" x14ac:dyDescent="0.3">
      <c r="A742" s="28"/>
      <c r="B742" s="77"/>
      <c r="C742" s="69"/>
      <c r="D742" s="69"/>
      <c r="E742" s="69"/>
      <c r="F742" s="154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s="29"/>
      <c r="EE742" s="29"/>
      <c r="EF742" s="29"/>
      <c r="EG742" s="29"/>
      <c r="EH742" s="29"/>
      <c r="EI742" s="29"/>
      <c r="EJ742" s="29"/>
      <c r="EK742" s="29"/>
      <c r="EL742" s="29"/>
      <c r="EM742" s="29"/>
      <c r="EN742" s="29"/>
      <c r="EO742" s="29"/>
      <c r="EP742" s="29"/>
      <c r="EQ742" s="29"/>
      <c r="ER742" s="29"/>
      <c r="ES742" s="29"/>
      <c r="ET742" s="29"/>
      <c r="EU742" s="29"/>
      <c r="EV742" s="29"/>
      <c r="EW742" s="29"/>
      <c r="EX742" s="29"/>
      <c r="EY742" s="29"/>
      <c r="EZ742" s="29"/>
      <c r="FA742" s="29"/>
      <c r="FB742" s="29"/>
      <c r="FC742" s="29"/>
      <c r="FD742" s="29"/>
      <c r="FE742" s="29"/>
      <c r="FF742" s="29"/>
      <c r="FG742" s="29"/>
      <c r="FH742" s="29"/>
      <c r="FI742" s="29"/>
      <c r="FJ742" s="29"/>
      <c r="FK742" s="29"/>
      <c r="FL742" s="29"/>
      <c r="FM742" s="29"/>
    </row>
    <row r="743" spans="1:169" x14ac:dyDescent="0.3">
      <c r="A743" s="28"/>
      <c r="B743" s="77"/>
      <c r="C743" s="69"/>
      <c r="D743" s="69"/>
      <c r="E743" s="69"/>
      <c r="F743" s="154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s="29"/>
      <c r="EE743" s="29"/>
      <c r="EF743" s="29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29"/>
      <c r="EV743" s="29"/>
      <c r="EW743" s="29"/>
      <c r="EX743" s="29"/>
      <c r="EY743" s="29"/>
      <c r="EZ743" s="29"/>
      <c r="FA743" s="29"/>
      <c r="FB743" s="29"/>
      <c r="FC743" s="29"/>
      <c r="FD743" s="29"/>
      <c r="FE743" s="29"/>
      <c r="FF743" s="29"/>
      <c r="FG743" s="29"/>
      <c r="FH743" s="29"/>
      <c r="FI743" s="29"/>
      <c r="FJ743" s="29"/>
      <c r="FK743" s="29"/>
      <c r="FL743" s="29"/>
      <c r="FM743" s="29"/>
    </row>
    <row r="744" spans="1:169" x14ac:dyDescent="0.3">
      <c r="A744" s="28"/>
      <c r="B744" s="77"/>
      <c r="C744" s="69"/>
      <c r="D744" s="69"/>
      <c r="E744" s="69"/>
      <c r="F744" s="154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9"/>
      <c r="DP744" s="29"/>
      <c r="DQ744" s="29"/>
      <c r="DR744" s="29"/>
      <c r="DS744" s="29"/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s="29"/>
      <c r="EE744" s="29"/>
      <c r="EF744" s="29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29"/>
      <c r="EV744" s="29"/>
      <c r="EW744" s="29"/>
      <c r="EX744" s="29"/>
      <c r="EY744" s="29"/>
      <c r="EZ744" s="29"/>
      <c r="FA744" s="29"/>
      <c r="FB744" s="29"/>
      <c r="FC744" s="29"/>
      <c r="FD744" s="29"/>
      <c r="FE744" s="29"/>
      <c r="FF744" s="29"/>
      <c r="FG744" s="29"/>
      <c r="FH744" s="29"/>
      <c r="FI744" s="29"/>
      <c r="FJ744" s="29"/>
      <c r="FK744" s="29"/>
      <c r="FL744" s="29"/>
      <c r="FM744" s="29"/>
    </row>
    <row r="745" spans="1:169" x14ac:dyDescent="0.3">
      <c r="A745" s="28"/>
      <c r="B745" s="77"/>
      <c r="C745" s="69"/>
      <c r="D745" s="69"/>
      <c r="E745" s="69"/>
      <c r="F745" s="154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29"/>
      <c r="EG745" s="29"/>
      <c r="EH745" s="29"/>
      <c r="EI745" s="29"/>
      <c r="EJ745" s="29"/>
      <c r="EK745" s="29"/>
      <c r="EL745" s="29"/>
      <c r="EM745" s="29"/>
      <c r="EN745" s="29"/>
      <c r="EO745" s="29"/>
      <c r="EP745" s="29"/>
      <c r="EQ745" s="29"/>
      <c r="ER745" s="29"/>
      <c r="ES745" s="29"/>
      <c r="ET745" s="29"/>
      <c r="EU745" s="29"/>
      <c r="EV745" s="29"/>
      <c r="EW745" s="29"/>
      <c r="EX745" s="29"/>
      <c r="EY745" s="29"/>
      <c r="EZ745" s="29"/>
      <c r="FA745" s="29"/>
      <c r="FB745" s="29"/>
      <c r="FC745" s="29"/>
      <c r="FD745" s="29"/>
      <c r="FE745" s="29"/>
      <c r="FF745" s="29"/>
      <c r="FG745" s="29"/>
      <c r="FH745" s="29"/>
      <c r="FI745" s="29"/>
      <c r="FJ745" s="29"/>
      <c r="FK745" s="29"/>
      <c r="FL745" s="29"/>
      <c r="FM745" s="29"/>
    </row>
    <row r="746" spans="1:169" x14ac:dyDescent="0.3">
      <c r="A746" s="28"/>
      <c r="B746" s="77"/>
      <c r="C746" s="69"/>
      <c r="D746" s="69"/>
      <c r="E746" s="69"/>
      <c r="F746" s="154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29"/>
      <c r="EG746" s="29"/>
      <c r="EH746" s="29"/>
      <c r="EI746" s="29"/>
      <c r="EJ746" s="29"/>
      <c r="EK746" s="29"/>
      <c r="EL746" s="29"/>
      <c r="EM746" s="29"/>
      <c r="EN746" s="29"/>
      <c r="EO746" s="29"/>
      <c r="EP746" s="29"/>
      <c r="EQ746" s="29"/>
      <c r="ER746" s="29"/>
      <c r="ES746" s="29"/>
      <c r="ET746" s="29"/>
      <c r="EU746" s="29"/>
      <c r="EV746" s="29"/>
      <c r="EW746" s="29"/>
      <c r="EX746" s="29"/>
      <c r="EY746" s="29"/>
      <c r="EZ746" s="29"/>
      <c r="FA746" s="29"/>
      <c r="FB746" s="29"/>
      <c r="FC746" s="29"/>
      <c r="FD746" s="29"/>
      <c r="FE746" s="29"/>
      <c r="FF746" s="29"/>
      <c r="FG746" s="29"/>
      <c r="FH746" s="29"/>
      <c r="FI746" s="29"/>
      <c r="FJ746" s="29"/>
      <c r="FK746" s="29"/>
      <c r="FL746" s="29"/>
      <c r="FM746" s="29"/>
    </row>
    <row r="747" spans="1:169" x14ac:dyDescent="0.3">
      <c r="A747" s="28"/>
      <c r="B747" s="82"/>
      <c r="C747" s="50"/>
      <c r="D747" s="50"/>
      <c r="E747" s="69"/>
      <c r="F747" s="154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29"/>
      <c r="EG747" s="29"/>
      <c r="EH747" s="29"/>
      <c r="EI747" s="29"/>
      <c r="EJ747" s="29"/>
      <c r="EK747" s="29"/>
      <c r="EL747" s="29"/>
      <c r="EM747" s="29"/>
      <c r="EN747" s="29"/>
      <c r="EO747" s="29"/>
      <c r="EP747" s="29"/>
      <c r="EQ747" s="29"/>
      <c r="ER747" s="29"/>
      <c r="ES747" s="29"/>
      <c r="ET747" s="29"/>
      <c r="EU747" s="29"/>
      <c r="EV747" s="29"/>
      <c r="EW747" s="29"/>
      <c r="EX747" s="29"/>
      <c r="EY747" s="29"/>
      <c r="EZ747" s="29"/>
      <c r="FA747" s="29"/>
      <c r="FB747" s="29"/>
      <c r="FC747" s="29"/>
      <c r="FD747" s="29"/>
      <c r="FE747" s="29"/>
      <c r="FF747" s="29"/>
      <c r="FG747" s="29"/>
      <c r="FH747" s="29"/>
      <c r="FI747" s="29"/>
      <c r="FJ747" s="29"/>
      <c r="FK747" s="29"/>
      <c r="FL747" s="29"/>
      <c r="FM747" s="29"/>
    </row>
    <row r="748" spans="1:169" x14ac:dyDescent="0.3">
      <c r="A748" s="28"/>
      <c r="B748" s="82"/>
      <c r="C748" s="50"/>
      <c r="D748" s="50"/>
      <c r="E748" s="69"/>
      <c r="F748" s="154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29"/>
      <c r="EG748" s="29"/>
      <c r="EH748" s="29"/>
      <c r="EI748" s="29"/>
      <c r="EJ748" s="29"/>
      <c r="EK748" s="29"/>
      <c r="EL748" s="29"/>
      <c r="EM748" s="29"/>
      <c r="EN748" s="29"/>
      <c r="EO748" s="29"/>
      <c r="EP748" s="29"/>
      <c r="EQ748" s="29"/>
      <c r="ER748" s="29"/>
      <c r="ES748" s="29"/>
      <c r="ET748" s="29"/>
      <c r="EU748" s="29"/>
      <c r="EV748" s="29"/>
      <c r="EW748" s="29"/>
      <c r="EX748" s="29"/>
      <c r="EY748" s="29"/>
      <c r="EZ748" s="29"/>
      <c r="FA748" s="29"/>
      <c r="FB748" s="29"/>
      <c r="FC748" s="29"/>
      <c r="FD748" s="29"/>
      <c r="FE748" s="29"/>
      <c r="FF748" s="29"/>
      <c r="FG748" s="29"/>
      <c r="FH748" s="29"/>
      <c r="FI748" s="29"/>
      <c r="FJ748" s="29"/>
      <c r="FK748" s="29"/>
      <c r="FL748" s="29"/>
      <c r="FM748" s="29"/>
    </row>
    <row r="749" spans="1:169" x14ac:dyDescent="0.3">
      <c r="A749" s="28"/>
      <c r="B749" s="82"/>
      <c r="C749" s="50"/>
      <c r="D749" s="50"/>
      <c r="E749" s="69"/>
      <c r="F749" s="154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  <c r="EG749" s="29"/>
      <c r="EH749" s="29"/>
      <c r="EI749" s="29"/>
      <c r="EJ749" s="29"/>
      <c r="EK749" s="29"/>
      <c r="EL749" s="29"/>
      <c r="EM749" s="29"/>
      <c r="EN749" s="29"/>
      <c r="EO749" s="29"/>
      <c r="EP749" s="29"/>
      <c r="EQ749" s="29"/>
      <c r="ER749" s="29"/>
      <c r="ES749" s="29"/>
      <c r="ET749" s="29"/>
      <c r="EU749" s="29"/>
      <c r="EV749" s="29"/>
      <c r="EW749" s="29"/>
      <c r="EX749" s="29"/>
      <c r="EY749" s="29"/>
      <c r="EZ749" s="29"/>
      <c r="FA749" s="29"/>
      <c r="FB749" s="29"/>
      <c r="FC749" s="29"/>
      <c r="FD749" s="29"/>
      <c r="FE749" s="29"/>
      <c r="FF749" s="29"/>
      <c r="FG749" s="29"/>
      <c r="FH749" s="29"/>
      <c r="FI749" s="29"/>
      <c r="FJ749" s="29"/>
      <c r="FK749" s="29"/>
      <c r="FL749" s="29"/>
      <c r="FM749" s="29"/>
    </row>
    <row r="750" spans="1:169" x14ac:dyDescent="0.3">
      <c r="A750" s="28"/>
      <c r="B750" s="82"/>
      <c r="C750" s="50"/>
      <c r="D750" s="50"/>
      <c r="E750" s="69"/>
      <c r="F750" s="154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29"/>
      <c r="EG750" s="29"/>
      <c r="EH750" s="29"/>
      <c r="EI750" s="29"/>
      <c r="EJ750" s="29"/>
      <c r="EK750" s="29"/>
      <c r="EL750" s="29"/>
      <c r="EM750" s="29"/>
      <c r="EN750" s="29"/>
      <c r="EO750" s="29"/>
      <c r="EP750" s="29"/>
      <c r="EQ750" s="29"/>
      <c r="ER750" s="29"/>
      <c r="ES750" s="29"/>
      <c r="ET750" s="29"/>
      <c r="EU750" s="29"/>
      <c r="EV750" s="29"/>
      <c r="EW750" s="29"/>
      <c r="EX750" s="29"/>
      <c r="EY750" s="29"/>
      <c r="EZ750" s="29"/>
      <c r="FA750" s="29"/>
      <c r="FB750" s="29"/>
      <c r="FC750" s="29"/>
      <c r="FD750" s="29"/>
      <c r="FE750" s="29"/>
      <c r="FF750" s="29"/>
      <c r="FG750" s="29"/>
      <c r="FH750" s="29"/>
      <c r="FI750" s="29"/>
      <c r="FJ750" s="29"/>
      <c r="FK750" s="29"/>
      <c r="FL750" s="29"/>
      <c r="FM750" s="29"/>
    </row>
    <row r="751" spans="1:169" x14ac:dyDescent="0.3">
      <c r="A751" s="28"/>
      <c r="B751" s="82"/>
      <c r="C751" s="50"/>
      <c r="D751" s="50"/>
      <c r="E751" s="69"/>
      <c r="F751" s="154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29"/>
      <c r="EG751" s="29"/>
      <c r="EH751" s="29"/>
      <c r="EI751" s="29"/>
      <c r="EJ751" s="29"/>
      <c r="EK751" s="29"/>
      <c r="EL751" s="29"/>
      <c r="EM751" s="29"/>
      <c r="EN751" s="29"/>
      <c r="EO751" s="29"/>
      <c r="EP751" s="29"/>
      <c r="EQ751" s="29"/>
      <c r="ER751" s="29"/>
      <c r="ES751" s="29"/>
      <c r="ET751" s="29"/>
      <c r="EU751" s="29"/>
      <c r="EV751" s="29"/>
      <c r="EW751" s="29"/>
      <c r="EX751" s="29"/>
      <c r="EY751" s="29"/>
      <c r="EZ751" s="29"/>
      <c r="FA751" s="29"/>
      <c r="FB751" s="29"/>
      <c r="FC751" s="29"/>
      <c r="FD751" s="29"/>
      <c r="FE751" s="29"/>
      <c r="FF751" s="29"/>
      <c r="FG751" s="29"/>
      <c r="FH751" s="29"/>
      <c r="FI751" s="29"/>
      <c r="FJ751" s="29"/>
      <c r="FK751" s="29"/>
      <c r="FL751" s="29"/>
      <c r="FM751" s="29"/>
    </row>
    <row r="752" spans="1:169" x14ac:dyDescent="0.3">
      <c r="A752" s="28"/>
      <c r="B752" s="82"/>
      <c r="C752" s="69"/>
      <c r="D752" s="69"/>
      <c r="E752" s="69"/>
      <c r="F752" s="154"/>
    </row>
    <row r="753" spans="1:6" x14ac:dyDescent="0.3">
      <c r="A753" s="28"/>
      <c r="B753" s="77"/>
      <c r="C753" s="69"/>
      <c r="D753" s="69"/>
      <c r="E753" s="69"/>
      <c r="F753" s="154"/>
    </row>
  </sheetData>
  <mergeCells count="1">
    <mergeCell ref="H1:I1"/>
  </mergeCells>
  <pageMargins left="0.7" right="0.7" top="0.75" bottom="0.75" header="0.51180555555555496" footer="0.51180555555555496"/>
  <pageSetup paperSize="9" firstPageNumber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M907"/>
  <sheetViews>
    <sheetView topLeftCell="C1" zoomScale="170" zoomScaleNormal="170" zoomScalePageLayoutView="151" workbookViewId="0">
      <pane ySplit="1" topLeftCell="A319" activePane="bottomLeft" state="frozen"/>
      <selection pane="bottomLeft" activeCell="D304" sqref="D304"/>
    </sheetView>
  </sheetViews>
  <sheetFormatPr baseColWidth="10" defaultColWidth="9.33203125" defaultRowHeight="14.4" x14ac:dyDescent="0.3"/>
  <cols>
    <col min="1" max="1" width="0" style="11" hidden="1" customWidth="1"/>
    <col min="2" max="2" width="11.33203125" style="11" hidden="1" customWidth="1"/>
    <col min="3" max="3" width="36.109375" style="11" customWidth="1"/>
    <col min="4" max="4" width="15.88671875" style="11" customWidth="1"/>
    <col min="5" max="5" width="13.109375" style="234" customWidth="1"/>
    <col min="6" max="6" width="14" style="234" customWidth="1"/>
    <col min="7" max="7" width="17.33203125" style="11" customWidth="1"/>
    <col min="8" max="8" width="23.21875" style="11" bestFit="1" customWidth="1"/>
    <col min="9" max="9" width="46.21875" style="234" customWidth="1"/>
    <col min="10" max="10" width="14.109375" style="234" customWidth="1"/>
    <col min="11" max="11" width="30.6640625" style="11" bestFit="1" customWidth="1"/>
    <col min="12" max="12" width="22.5546875" style="11" customWidth="1"/>
    <col min="13" max="13" width="19.33203125" style="11" customWidth="1"/>
    <col min="14" max="16384" width="9.33203125" style="11"/>
  </cols>
  <sheetData>
    <row r="1" spans="1:169" s="12" customFormat="1" ht="18" x14ac:dyDescent="0.35">
      <c r="A1" s="83" t="s">
        <v>697</v>
      </c>
      <c r="B1" s="83" t="s">
        <v>698</v>
      </c>
      <c r="C1" s="83" t="s">
        <v>0</v>
      </c>
      <c r="D1" s="265" t="s">
        <v>2</v>
      </c>
      <c r="E1" s="240" t="s">
        <v>2</v>
      </c>
      <c r="F1" s="240" t="s">
        <v>3</v>
      </c>
      <c r="G1" s="83" t="s">
        <v>4</v>
      </c>
      <c r="H1" s="83" t="s">
        <v>5</v>
      </c>
      <c r="I1" s="210" t="s">
        <v>6</v>
      </c>
      <c r="J1" s="319" t="s">
        <v>7</v>
      </c>
      <c r="K1" s="320"/>
      <c r="L1" s="157" t="s">
        <v>8</v>
      </c>
      <c r="M1" s="22" t="s">
        <v>9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</row>
    <row r="2" spans="1:169" s="10" customFormat="1" x14ac:dyDescent="0.3">
      <c r="A2" s="19">
        <v>1</v>
      </c>
      <c r="B2" s="19" t="s">
        <v>699</v>
      </c>
      <c r="C2" s="19" t="s">
        <v>700</v>
      </c>
      <c r="D2" s="266">
        <v>81035546404</v>
      </c>
      <c r="E2" s="241">
        <v>1035546404</v>
      </c>
      <c r="F2" s="241" t="s">
        <v>701</v>
      </c>
      <c r="G2" s="20">
        <v>182520478</v>
      </c>
      <c r="H2" s="84">
        <v>28189</v>
      </c>
      <c r="I2" s="211"/>
      <c r="J2" s="217"/>
      <c r="K2" s="1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</row>
    <row r="3" spans="1:169" s="10" customFormat="1" x14ac:dyDescent="0.3">
      <c r="A3" s="19">
        <v>2</v>
      </c>
      <c r="B3" s="19" t="s">
        <v>699</v>
      </c>
      <c r="C3" s="19" t="s">
        <v>702</v>
      </c>
      <c r="D3" s="266">
        <v>81140685613</v>
      </c>
      <c r="E3" s="241">
        <v>1140685613</v>
      </c>
      <c r="F3" s="241" t="s">
        <v>703</v>
      </c>
      <c r="G3" s="20">
        <f>G2</f>
        <v>182520478</v>
      </c>
      <c r="H3" s="84">
        <v>28291</v>
      </c>
      <c r="I3" s="211"/>
      <c r="J3" s="217" t="s">
        <v>704</v>
      </c>
      <c r="K3" s="1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</row>
    <row r="4" spans="1:169" s="6" customFormat="1" ht="15.6" x14ac:dyDescent="0.3">
      <c r="A4" s="30">
        <v>5</v>
      </c>
      <c r="B4" s="30" t="s">
        <v>705</v>
      </c>
      <c r="C4" s="30" t="s">
        <v>706</v>
      </c>
      <c r="D4" s="85">
        <v>71016176631</v>
      </c>
      <c r="E4" s="242">
        <v>1016176631</v>
      </c>
      <c r="F4" s="242" t="s">
        <v>707</v>
      </c>
      <c r="G4" s="85">
        <v>186282967</v>
      </c>
      <c r="H4" s="86">
        <v>27090</v>
      </c>
      <c r="I4" s="212"/>
      <c r="J4" s="215"/>
      <c r="K4" s="30"/>
      <c r="L4" s="30"/>
      <c r="M4" s="30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</row>
    <row r="5" spans="1:169" s="9" customFormat="1" ht="15.6" x14ac:dyDescent="0.3">
      <c r="A5" s="30">
        <v>6</v>
      </c>
      <c r="B5" s="30" t="s">
        <v>699</v>
      </c>
      <c r="C5" s="30" t="s">
        <v>708</v>
      </c>
      <c r="D5" s="85">
        <v>81112028173</v>
      </c>
      <c r="E5" s="242">
        <v>1112028173</v>
      </c>
      <c r="F5" s="242" t="s">
        <v>709</v>
      </c>
      <c r="G5" s="85">
        <v>186282967</v>
      </c>
      <c r="H5" s="86">
        <v>28708</v>
      </c>
      <c r="I5" s="212"/>
      <c r="J5" s="215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</row>
    <row r="6" spans="1:169" s="9" customFormat="1" ht="15.6" x14ac:dyDescent="0.3">
      <c r="A6" s="30">
        <v>7</v>
      </c>
      <c r="B6" s="30" t="s">
        <v>699</v>
      </c>
      <c r="C6" s="30" t="s">
        <v>710</v>
      </c>
      <c r="D6" s="85">
        <v>81276689111</v>
      </c>
      <c r="E6" s="242">
        <v>1276689111</v>
      </c>
      <c r="F6" s="242" t="s">
        <v>711</v>
      </c>
      <c r="G6" s="85">
        <v>186282967</v>
      </c>
      <c r="H6" s="86">
        <v>32322</v>
      </c>
      <c r="I6" s="212"/>
      <c r="J6" s="216"/>
      <c r="K6" s="30" t="s">
        <v>712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</row>
    <row r="7" spans="1:169" s="9" customFormat="1" ht="15.6" x14ac:dyDescent="0.3">
      <c r="A7" s="30">
        <v>8</v>
      </c>
      <c r="B7" s="30" t="s">
        <v>705</v>
      </c>
      <c r="C7" s="30" t="s">
        <v>713</v>
      </c>
      <c r="D7" s="85">
        <v>81276691939</v>
      </c>
      <c r="E7" s="242">
        <v>1276691939</v>
      </c>
      <c r="F7" s="242" t="s">
        <v>714</v>
      </c>
      <c r="G7" s="85">
        <v>186282967</v>
      </c>
      <c r="H7" s="86">
        <v>33550</v>
      </c>
      <c r="I7" s="212"/>
      <c r="J7" s="216"/>
      <c r="K7" s="30" t="s">
        <v>712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</row>
    <row r="8" spans="1:169" s="9" customFormat="1" ht="15.6" x14ac:dyDescent="0.3">
      <c r="A8" s="30">
        <v>9</v>
      </c>
      <c r="B8" s="30" t="s">
        <v>699</v>
      </c>
      <c r="C8" s="30" t="s">
        <v>715</v>
      </c>
      <c r="D8" s="85">
        <v>81189866734</v>
      </c>
      <c r="E8" s="242">
        <v>1189866734</v>
      </c>
      <c r="F8" s="242" t="s">
        <v>716</v>
      </c>
      <c r="G8" s="85">
        <v>186282967</v>
      </c>
      <c r="H8" s="86">
        <v>29818</v>
      </c>
      <c r="I8" s="212"/>
      <c r="J8" s="215" t="s">
        <v>717</v>
      </c>
      <c r="K8" s="30" t="s">
        <v>718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</row>
    <row r="9" spans="1:169" s="9" customFormat="1" ht="15.6" x14ac:dyDescent="0.3">
      <c r="A9" s="30">
        <v>10</v>
      </c>
      <c r="B9" s="30" t="s">
        <v>705</v>
      </c>
      <c r="C9" s="30" t="s">
        <v>719</v>
      </c>
      <c r="D9" s="85">
        <v>111034429337</v>
      </c>
      <c r="E9" s="242">
        <v>1034429337</v>
      </c>
      <c r="F9" s="242" t="s">
        <v>720</v>
      </c>
      <c r="G9" s="85">
        <v>186282967</v>
      </c>
      <c r="H9" s="86">
        <v>28320</v>
      </c>
      <c r="I9" s="212"/>
      <c r="J9" s="215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</row>
    <row r="10" spans="1:169" s="9" customFormat="1" ht="15.6" x14ac:dyDescent="0.3">
      <c r="A10" s="30">
        <v>11</v>
      </c>
      <c r="B10" s="30" t="s">
        <v>699</v>
      </c>
      <c r="C10" s="30" t="s">
        <v>721</v>
      </c>
      <c r="D10" s="85">
        <v>71016750042</v>
      </c>
      <c r="E10" s="242" t="s">
        <v>722</v>
      </c>
      <c r="F10" s="242" t="s">
        <v>723</v>
      </c>
      <c r="G10" s="85">
        <v>186282967</v>
      </c>
      <c r="H10" s="86">
        <v>28769</v>
      </c>
      <c r="I10" s="212"/>
      <c r="J10" s="215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</row>
    <row r="11" spans="1:169" s="9" customFormat="1" ht="15.6" x14ac:dyDescent="0.3">
      <c r="A11" s="30">
        <v>12</v>
      </c>
      <c r="B11" s="30" t="s">
        <v>705</v>
      </c>
      <c r="C11" s="30" t="s">
        <v>724</v>
      </c>
      <c r="D11" s="85">
        <v>71059675370</v>
      </c>
      <c r="E11" s="242">
        <v>1059675370</v>
      </c>
      <c r="F11" s="242" t="s">
        <v>725</v>
      </c>
      <c r="G11" s="85">
        <v>186282967</v>
      </c>
      <c r="H11" s="86">
        <v>29515</v>
      </c>
      <c r="I11" s="212"/>
      <c r="J11" s="216" t="s">
        <v>726</v>
      </c>
      <c r="K11" s="30" t="s">
        <v>727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</row>
    <row r="12" spans="1:169" s="9" customFormat="1" ht="15.6" x14ac:dyDescent="0.3">
      <c r="A12" s="30">
        <v>13</v>
      </c>
      <c r="B12" s="30" t="s">
        <v>699</v>
      </c>
      <c r="C12" s="30" t="s">
        <v>728</v>
      </c>
      <c r="D12" s="85">
        <v>71042179907</v>
      </c>
      <c r="E12" s="242">
        <v>1042179907</v>
      </c>
      <c r="F12" s="242" t="s">
        <v>729</v>
      </c>
      <c r="G12" s="85">
        <v>186282967</v>
      </c>
      <c r="H12" s="86">
        <v>27313</v>
      </c>
      <c r="I12" s="212"/>
      <c r="J12" s="216"/>
      <c r="K12" s="30" t="s">
        <v>712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</row>
    <row r="13" spans="1:169" s="9" customFormat="1" ht="15.6" x14ac:dyDescent="0.3">
      <c r="A13" s="30">
        <v>15</v>
      </c>
      <c r="B13" s="30" t="s">
        <v>705</v>
      </c>
      <c r="C13" s="30" t="s">
        <v>730</v>
      </c>
      <c r="D13" s="85">
        <v>81185847702</v>
      </c>
      <c r="E13" s="242">
        <v>1185847702</v>
      </c>
      <c r="F13" s="242" t="s">
        <v>731</v>
      </c>
      <c r="G13" s="85">
        <v>186282967</v>
      </c>
      <c r="H13" s="86">
        <v>28638</v>
      </c>
      <c r="I13" s="212"/>
      <c r="J13" s="216"/>
      <c r="K13" s="30" t="s">
        <v>712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</row>
    <row r="14" spans="1:169" s="9" customFormat="1" ht="15.6" x14ac:dyDescent="0.3">
      <c r="A14" s="30">
        <v>17</v>
      </c>
      <c r="B14" s="30" t="s">
        <v>705</v>
      </c>
      <c r="C14" s="30" t="s">
        <v>732</v>
      </c>
      <c r="D14" s="85">
        <v>81197175985</v>
      </c>
      <c r="E14" s="242">
        <v>1197175985</v>
      </c>
      <c r="F14" s="242" t="s">
        <v>733</v>
      </c>
      <c r="G14" s="85">
        <v>186282967</v>
      </c>
      <c r="H14" s="86">
        <v>27290</v>
      </c>
      <c r="I14" s="212"/>
      <c r="J14" s="216"/>
      <c r="K14" s="30" t="s">
        <v>712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</row>
    <row r="15" spans="1:169" s="9" customFormat="1" ht="15.6" x14ac:dyDescent="0.3">
      <c r="A15" s="30">
        <v>18</v>
      </c>
      <c r="B15" s="30" t="s">
        <v>699</v>
      </c>
      <c r="C15" s="30" t="s">
        <v>734</v>
      </c>
      <c r="D15" s="85">
        <v>81117119966</v>
      </c>
      <c r="E15" s="242">
        <v>1117119966</v>
      </c>
      <c r="F15" s="242" t="s">
        <v>735</v>
      </c>
      <c r="G15" s="85">
        <v>186282967</v>
      </c>
      <c r="H15" s="86">
        <v>32604</v>
      </c>
      <c r="I15" s="212"/>
      <c r="J15" s="215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</row>
    <row r="16" spans="1:169" s="9" customFormat="1" ht="15.6" x14ac:dyDescent="0.3">
      <c r="A16" s="30">
        <v>20</v>
      </c>
      <c r="B16" s="30" t="s">
        <v>699</v>
      </c>
      <c r="C16" s="30" t="s">
        <v>736</v>
      </c>
      <c r="D16" s="85">
        <v>81187766480</v>
      </c>
      <c r="E16" s="257">
        <v>1187766480</v>
      </c>
      <c r="F16" s="242" t="s">
        <v>737</v>
      </c>
      <c r="G16" s="85">
        <v>186282967</v>
      </c>
      <c r="H16" s="86">
        <v>30943</v>
      </c>
      <c r="I16" s="212"/>
      <c r="J16" s="215" t="s">
        <v>738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</row>
    <row r="17" spans="1:13" s="9" customFormat="1" ht="15.6" x14ac:dyDescent="0.3">
      <c r="A17" s="30">
        <v>21</v>
      </c>
      <c r="B17" s="30" t="s">
        <v>705</v>
      </c>
      <c r="C17" s="30" t="s">
        <v>739</v>
      </c>
      <c r="D17" s="85">
        <v>81138084191</v>
      </c>
      <c r="E17" s="242" t="s">
        <v>740</v>
      </c>
      <c r="F17" s="242" t="s">
        <v>741</v>
      </c>
      <c r="G17" s="85">
        <v>186282967</v>
      </c>
      <c r="H17" s="86">
        <v>31083</v>
      </c>
      <c r="I17" s="212"/>
      <c r="J17" s="215"/>
      <c r="K17" s="30"/>
      <c r="L17" s="30"/>
      <c r="M17" s="30"/>
    </row>
    <row r="18" spans="1:13" s="9" customFormat="1" ht="15.6" x14ac:dyDescent="0.3">
      <c r="A18" s="30">
        <v>22</v>
      </c>
      <c r="B18" s="30" t="s">
        <v>705</v>
      </c>
      <c r="C18" s="30" t="s">
        <v>742</v>
      </c>
      <c r="D18" s="85">
        <v>80504123978</v>
      </c>
      <c r="E18" s="242" t="s">
        <v>743</v>
      </c>
      <c r="F18" s="242" t="s">
        <v>744</v>
      </c>
      <c r="G18" s="85">
        <v>186282967</v>
      </c>
      <c r="H18" s="86">
        <v>24541</v>
      </c>
      <c r="I18" s="212"/>
      <c r="J18" s="215"/>
      <c r="K18" s="30"/>
      <c r="L18" s="30"/>
      <c r="M18" s="30"/>
    </row>
    <row r="19" spans="1:13" s="9" customFormat="1" ht="15.6" x14ac:dyDescent="0.3">
      <c r="A19" s="34">
        <v>23</v>
      </c>
      <c r="B19" s="34" t="s">
        <v>705</v>
      </c>
      <c r="C19" s="34" t="s">
        <v>739</v>
      </c>
      <c r="D19" s="85"/>
      <c r="E19" s="242"/>
      <c r="F19" s="236" t="s">
        <v>745</v>
      </c>
      <c r="G19" s="34">
        <v>186282967</v>
      </c>
      <c r="H19" s="34">
        <v>31824</v>
      </c>
      <c r="I19" s="212"/>
      <c r="J19" s="215"/>
      <c r="K19" s="30"/>
      <c r="L19" s="30"/>
      <c r="M19" s="30"/>
    </row>
    <row r="20" spans="1:13" s="1" customFormat="1" ht="15.6" x14ac:dyDescent="0.3">
      <c r="A20" s="30">
        <v>24</v>
      </c>
      <c r="B20" s="30" t="s">
        <v>705</v>
      </c>
      <c r="C20" s="30" t="s">
        <v>746</v>
      </c>
      <c r="D20" s="85">
        <v>81245927074</v>
      </c>
      <c r="E20" s="242">
        <v>1245927074</v>
      </c>
      <c r="F20" s="242" t="s">
        <v>747</v>
      </c>
      <c r="G20" s="85">
        <v>186282967</v>
      </c>
      <c r="H20" s="86">
        <v>29965</v>
      </c>
      <c r="I20" s="213"/>
      <c r="J20" s="235">
        <v>45860</v>
      </c>
      <c r="K20" s="21" t="s">
        <v>748</v>
      </c>
      <c r="L20" s="21"/>
      <c r="M20" s="21"/>
    </row>
    <row r="21" spans="1:13" s="9" customFormat="1" ht="15.6" x14ac:dyDescent="0.3">
      <c r="A21" s="34">
        <v>26</v>
      </c>
      <c r="B21" s="34" t="s">
        <v>705</v>
      </c>
      <c r="C21" s="34" t="s">
        <v>749</v>
      </c>
      <c r="D21" s="34"/>
      <c r="E21" s="236"/>
      <c r="F21" s="243" t="s">
        <v>750</v>
      </c>
      <c r="G21" s="88">
        <v>186282967</v>
      </c>
      <c r="H21" s="89">
        <v>27313</v>
      </c>
      <c r="I21" s="214"/>
      <c r="J21" s="236"/>
      <c r="K21" s="34"/>
      <c r="L21" s="30"/>
      <c r="M21" s="30"/>
    </row>
    <row r="22" spans="1:13" s="9" customFormat="1" ht="15.6" x14ac:dyDescent="0.3">
      <c r="A22" s="30">
        <v>27</v>
      </c>
      <c r="B22" s="30" t="s">
        <v>699</v>
      </c>
      <c r="C22" s="30" t="s">
        <v>751</v>
      </c>
      <c r="D22" s="30"/>
      <c r="E22" s="215"/>
      <c r="F22" s="242" t="s">
        <v>752</v>
      </c>
      <c r="G22" s="85">
        <v>186282967</v>
      </c>
      <c r="H22" s="86"/>
      <c r="I22" s="212"/>
      <c r="J22" s="216"/>
      <c r="K22" s="30"/>
      <c r="L22" s="30"/>
      <c r="M22" s="30"/>
    </row>
    <row r="23" spans="1:13" s="9" customFormat="1" ht="15.6" x14ac:dyDescent="0.3">
      <c r="A23" s="34">
        <v>28</v>
      </c>
      <c r="B23" s="34" t="s">
        <v>699</v>
      </c>
      <c r="C23" s="34" t="s">
        <v>753</v>
      </c>
      <c r="D23" s="88">
        <v>251008545865</v>
      </c>
      <c r="E23" s="258">
        <v>1008545865</v>
      </c>
      <c r="F23" s="243" t="s">
        <v>754</v>
      </c>
      <c r="G23" s="88">
        <f>G21</f>
        <v>186282967</v>
      </c>
      <c r="H23" s="89">
        <v>30625</v>
      </c>
      <c r="I23" s="214"/>
      <c r="J23" s="215"/>
      <c r="K23" s="30"/>
      <c r="L23" s="30"/>
      <c r="M23" s="30"/>
    </row>
    <row r="24" spans="1:13" s="9" customFormat="1" ht="15.6" x14ac:dyDescent="0.3">
      <c r="A24" s="34">
        <v>29</v>
      </c>
      <c r="B24" s="34" t="s">
        <v>705</v>
      </c>
      <c r="C24" s="34" t="s">
        <v>755</v>
      </c>
      <c r="D24" s="88">
        <v>81044360973</v>
      </c>
      <c r="E24" s="258">
        <v>1044360973</v>
      </c>
      <c r="F24" s="243" t="s">
        <v>756</v>
      </c>
      <c r="G24" s="88" t="e">
        <f>PUNTUALES!#REF!</f>
        <v>#REF!</v>
      </c>
      <c r="H24" s="89">
        <v>30625</v>
      </c>
      <c r="I24" s="214"/>
      <c r="J24" s="215"/>
      <c r="K24" s="30"/>
      <c r="L24" s="30"/>
      <c r="M24" s="30"/>
    </row>
    <row r="25" spans="1:13" s="9" customFormat="1" ht="15.6" x14ac:dyDescent="0.3">
      <c r="A25" s="34">
        <v>30</v>
      </c>
      <c r="B25" s="34" t="s">
        <v>699</v>
      </c>
      <c r="C25" s="34" t="s">
        <v>757</v>
      </c>
      <c r="D25" s="88"/>
      <c r="E25" s="258"/>
      <c r="F25" s="243" t="s">
        <v>758</v>
      </c>
      <c r="G25" s="88" t="e">
        <f>G24</f>
        <v>#REF!</v>
      </c>
      <c r="H25" s="89"/>
      <c r="I25" s="214"/>
      <c r="J25" s="215"/>
      <c r="K25" s="30"/>
      <c r="L25" s="30"/>
      <c r="M25" s="30"/>
    </row>
    <row r="26" spans="1:13" s="9" customFormat="1" ht="15.6" x14ac:dyDescent="0.3">
      <c r="A26" s="30">
        <v>31</v>
      </c>
      <c r="B26" s="30" t="s">
        <v>699</v>
      </c>
      <c r="C26" s="30" t="s">
        <v>759</v>
      </c>
      <c r="D26" s="85">
        <v>80534686759</v>
      </c>
      <c r="E26" s="242" t="s">
        <v>760</v>
      </c>
      <c r="F26" s="242" t="s">
        <v>761</v>
      </c>
      <c r="G26" s="85" t="e">
        <f>PUNTUALES!#REF!</f>
        <v>#REF!</v>
      </c>
      <c r="H26" s="86">
        <v>26104</v>
      </c>
      <c r="I26" s="212"/>
      <c r="J26" s="215"/>
      <c r="K26" s="30"/>
      <c r="L26" s="30"/>
      <c r="M26" s="30"/>
    </row>
    <row r="27" spans="1:13" s="6" customFormat="1" ht="15.6" x14ac:dyDescent="0.3">
      <c r="A27" s="30">
        <v>32</v>
      </c>
      <c r="B27" s="30" t="s">
        <v>705</v>
      </c>
      <c r="C27" s="30" t="s">
        <v>762</v>
      </c>
      <c r="D27" s="85">
        <v>81029958392</v>
      </c>
      <c r="E27" s="242">
        <v>1029958392</v>
      </c>
      <c r="F27" s="242" t="s">
        <v>763</v>
      </c>
      <c r="G27" s="85" t="e">
        <f>G26</f>
        <v>#REF!</v>
      </c>
      <c r="H27" s="86">
        <v>27680</v>
      </c>
      <c r="I27" s="212"/>
      <c r="J27" s="215"/>
      <c r="K27" s="30"/>
      <c r="L27" s="30"/>
      <c r="M27" s="30"/>
    </row>
    <row r="28" spans="1:13" s="9" customFormat="1" ht="15.6" x14ac:dyDescent="0.3">
      <c r="A28" s="30">
        <v>33</v>
      </c>
      <c r="B28" s="30" t="s">
        <v>699</v>
      </c>
      <c r="C28" s="30" t="s">
        <v>764</v>
      </c>
      <c r="D28" s="85">
        <v>281338412404</v>
      </c>
      <c r="E28" s="242">
        <v>1338412404</v>
      </c>
      <c r="F28" s="242" t="s">
        <v>765</v>
      </c>
      <c r="G28" s="85" t="e">
        <f>G27</f>
        <v>#REF!</v>
      </c>
      <c r="H28" s="86">
        <v>29673</v>
      </c>
      <c r="I28" s="212"/>
      <c r="J28" s="216"/>
      <c r="K28" s="30" t="s">
        <v>712</v>
      </c>
      <c r="L28" s="30"/>
      <c r="M28" s="30"/>
    </row>
    <row r="29" spans="1:13" s="9" customFormat="1" ht="15.6" x14ac:dyDescent="0.3">
      <c r="A29" s="30">
        <v>34</v>
      </c>
      <c r="B29" s="30" t="s">
        <v>699</v>
      </c>
      <c r="C29" s="30" t="s">
        <v>766</v>
      </c>
      <c r="D29" s="30">
        <v>81068009270</v>
      </c>
      <c r="E29" s="257">
        <v>1068009270</v>
      </c>
      <c r="F29" s="215" t="s">
        <v>767</v>
      </c>
      <c r="G29" s="85" t="e">
        <f>G28</f>
        <v>#REF!</v>
      </c>
      <c r="H29" s="86">
        <v>29673</v>
      </c>
      <c r="I29" s="212"/>
      <c r="J29" s="215"/>
      <c r="K29" s="30"/>
      <c r="L29" s="30"/>
      <c r="M29" s="30"/>
    </row>
    <row r="30" spans="1:13" s="9" customFormat="1" ht="15.6" x14ac:dyDescent="0.3">
      <c r="A30" s="30">
        <v>36</v>
      </c>
      <c r="B30" s="30" t="s">
        <v>705</v>
      </c>
      <c r="C30" s="30" t="s">
        <v>768</v>
      </c>
      <c r="D30" s="30"/>
      <c r="E30" s="257"/>
      <c r="F30" s="242" t="s">
        <v>769</v>
      </c>
      <c r="G30" s="85" t="e">
        <f>#REF!</f>
        <v>#REF!</v>
      </c>
      <c r="H30" s="86">
        <v>28194</v>
      </c>
      <c r="I30" s="212"/>
      <c r="J30" s="215" t="s">
        <v>770</v>
      </c>
      <c r="K30" s="30"/>
      <c r="L30" s="30"/>
      <c r="M30" s="30"/>
    </row>
    <row r="31" spans="1:13" s="9" customFormat="1" ht="15.6" x14ac:dyDescent="0.3">
      <c r="A31" s="30">
        <v>37</v>
      </c>
      <c r="B31" s="30" t="s">
        <v>699</v>
      </c>
      <c r="C31" s="30" t="s">
        <v>771</v>
      </c>
      <c r="D31" s="85">
        <v>81088713619</v>
      </c>
      <c r="E31" s="242">
        <v>1088713619</v>
      </c>
      <c r="F31" s="242" t="s">
        <v>772</v>
      </c>
      <c r="G31" s="85" t="e">
        <f>#REF!</f>
        <v>#REF!</v>
      </c>
      <c r="H31" s="86">
        <v>30105</v>
      </c>
      <c r="I31" s="212"/>
      <c r="J31" s="215"/>
      <c r="K31" s="30"/>
      <c r="L31" s="30"/>
      <c r="M31" s="30"/>
    </row>
    <row r="32" spans="1:13" s="9" customFormat="1" ht="15.6" x14ac:dyDescent="0.3">
      <c r="A32" s="30">
        <v>38</v>
      </c>
      <c r="B32" s="30" t="s">
        <v>699</v>
      </c>
      <c r="C32" s="30" t="s">
        <v>773</v>
      </c>
      <c r="D32" s="85">
        <v>81061184817</v>
      </c>
      <c r="E32" s="242">
        <v>1061184817</v>
      </c>
      <c r="F32" s="242" t="s">
        <v>774</v>
      </c>
      <c r="G32" s="85" t="e">
        <f>G31</f>
        <v>#REF!</v>
      </c>
      <c r="H32" s="86">
        <v>28775</v>
      </c>
      <c r="I32" s="212"/>
      <c r="J32" s="215"/>
      <c r="K32" s="30"/>
      <c r="L32" s="30"/>
      <c r="M32" s="30"/>
    </row>
    <row r="33" spans="1:169" s="9" customFormat="1" ht="15.6" x14ac:dyDescent="0.3">
      <c r="A33" s="30">
        <v>39</v>
      </c>
      <c r="B33" s="30" t="s">
        <v>705</v>
      </c>
      <c r="C33" s="30" t="s">
        <v>775</v>
      </c>
      <c r="D33" s="85">
        <v>81240966637</v>
      </c>
      <c r="E33" s="242">
        <v>1240966637</v>
      </c>
      <c r="F33" s="242" t="s">
        <v>776</v>
      </c>
      <c r="G33" s="85" t="e">
        <f>G32</f>
        <v>#REF!</v>
      </c>
      <c r="H33" s="86">
        <v>28242</v>
      </c>
      <c r="I33" s="212"/>
      <c r="J33" s="215">
        <v>13042025</v>
      </c>
      <c r="K33" s="30" t="s">
        <v>777</v>
      </c>
      <c r="L33" s="30"/>
      <c r="M33" s="30">
        <v>182521791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</row>
    <row r="34" spans="1:169" s="9" customFormat="1" ht="15.6" x14ac:dyDescent="0.3">
      <c r="A34" s="30">
        <v>40</v>
      </c>
      <c r="B34" s="30" t="s">
        <v>705</v>
      </c>
      <c r="C34" s="30" t="s">
        <v>778</v>
      </c>
      <c r="D34" s="85">
        <v>281116646556</v>
      </c>
      <c r="E34" s="242">
        <v>1116646556</v>
      </c>
      <c r="F34" s="242" t="s">
        <v>779</v>
      </c>
      <c r="G34" s="85" t="e">
        <f>G33</f>
        <v>#REF!</v>
      </c>
      <c r="H34" s="86">
        <v>27431</v>
      </c>
      <c r="I34" s="212"/>
      <c r="J34" s="215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</row>
    <row r="35" spans="1:169" s="9" customFormat="1" ht="15.6" x14ac:dyDescent="0.3">
      <c r="A35" s="30">
        <v>44</v>
      </c>
      <c r="B35" s="30" t="s">
        <v>705</v>
      </c>
      <c r="C35" s="30" t="s">
        <v>780</v>
      </c>
      <c r="D35" s="85">
        <v>281091475258</v>
      </c>
      <c r="E35" s="242" t="s">
        <v>781</v>
      </c>
      <c r="F35" s="242" t="s">
        <v>782</v>
      </c>
      <c r="G35" s="85" t="e">
        <f>#REF!</f>
        <v>#REF!</v>
      </c>
      <c r="H35" s="86">
        <v>27664</v>
      </c>
      <c r="I35" s="215"/>
      <c r="J35" s="215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</row>
    <row r="36" spans="1:169" s="9" customFormat="1" ht="15.6" x14ac:dyDescent="0.3">
      <c r="A36" s="30">
        <v>45</v>
      </c>
      <c r="B36" s="30" t="s">
        <v>699</v>
      </c>
      <c r="C36" s="30" t="s">
        <v>783</v>
      </c>
      <c r="D36" s="85">
        <v>81143002903</v>
      </c>
      <c r="E36" s="242">
        <v>1143002903</v>
      </c>
      <c r="F36" s="242" t="s">
        <v>784</v>
      </c>
      <c r="G36" s="85" t="e">
        <f>G35</f>
        <v>#REF!</v>
      </c>
      <c r="H36" s="86">
        <v>30886</v>
      </c>
      <c r="I36" s="215" t="s">
        <v>785</v>
      </c>
      <c r="J36" s="215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</row>
    <row r="37" spans="1:169" s="9" customFormat="1" ht="15.6" x14ac:dyDescent="0.3">
      <c r="A37" s="30">
        <v>46</v>
      </c>
      <c r="B37" s="30" t="s">
        <v>705</v>
      </c>
      <c r="C37" s="30" t="s">
        <v>786</v>
      </c>
      <c r="D37" s="85">
        <v>81107269820</v>
      </c>
      <c r="E37" s="242" t="s">
        <v>787</v>
      </c>
      <c r="F37" s="242" t="s">
        <v>788</v>
      </c>
      <c r="G37" s="85" t="e">
        <f>G36</f>
        <v>#REF!</v>
      </c>
      <c r="H37" s="86">
        <v>30694</v>
      </c>
      <c r="I37" s="216" t="s">
        <v>789</v>
      </c>
      <c r="J37" s="216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</row>
    <row r="38" spans="1:169" s="10" customFormat="1" x14ac:dyDescent="0.3">
      <c r="A38" s="19">
        <v>47</v>
      </c>
      <c r="B38" s="19" t="s">
        <v>699</v>
      </c>
      <c r="C38" s="19" t="s">
        <v>702</v>
      </c>
      <c r="D38" s="266">
        <v>81140685613</v>
      </c>
      <c r="E38" s="241">
        <v>1140685613</v>
      </c>
      <c r="F38" s="241" t="s">
        <v>703</v>
      </c>
      <c r="G38" s="20">
        <v>182521791</v>
      </c>
      <c r="H38" s="84">
        <v>28291</v>
      </c>
      <c r="I38" s="217" t="s">
        <v>790</v>
      </c>
      <c r="J38" s="217"/>
      <c r="K38" s="1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</row>
    <row r="39" spans="1:169" s="9" customFormat="1" ht="15.6" x14ac:dyDescent="0.3">
      <c r="A39" s="34">
        <v>48</v>
      </c>
      <c r="B39" s="34" t="s">
        <v>699</v>
      </c>
      <c r="C39" s="34" t="s">
        <v>791</v>
      </c>
      <c r="D39" s="88"/>
      <c r="E39" s="243"/>
      <c r="F39" s="243" t="s">
        <v>792</v>
      </c>
      <c r="G39" s="88">
        <f>PUNTUALES!G38</f>
        <v>182521791</v>
      </c>
      <c r="H39" s="89"/>
      <c r="I39" s="215" t="s">
        <v>793</v>
      </c>
      <c r="J39" s="215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</row>
    <row r="40" spans="1:169" s="9" customFormat="1" ht="15.6" x14ac:dyDescent="0.3">
      <c r="A40" s="34">
        <v>49</v>
      </c>
      <c r="B40" s="34" t="s">
        <v>705</v>
      </c>
      <c r="C40" s="34" t="s">
        <v>794</v>
      </c>
      <c r="D40" s="88"/>
      <c r="E40" s="243"/>
      <c r="F40" s="243" t="s">
        <v>795</v>
      </c>
      <c r="G40" s="88">
        <f>G39</f>
        <v>182521791</v>
      </c>
      <c r="H40" s="89"/>
      <c r="I40" s="215" t="s">
        <v>793</v>
      </c>
      <c r="J40" s="215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</row>
    <row r="41" spans="1:169" s="9" customFormat="1" ht="15.6" x14ac:dyDescent="0.3">
      <c r="A41" s="30">
        <v>50</v>
      </c>
      <c r="B41" s="30" t="s">
        <v>705</v>
      </c>
      <c r="C41" s="30" t="s">
        <v>796</v>
      </c>
      <c r="D41" s="85">
        <v>81247103909</v>
      </c>
      <c r="E41" s="257">
        <v>1247103909</v>
      </c>
      <c r="F41" s="242" t="s">
        <v>797</v>
      </c>
      <c r="G41" s="85">
        <f>G40</f>
        <v>182521791</v>
      </c>
      <c r="H41" s="86">
        <v>30677</v>
      </c>
      <c r="I41" s="216"/>
      <c r="J41" s="215" t="s">
        <v>712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</row>
    <row r="42" spans="1:169" s="1" customFormat="1" ht="15.6" x14ac:dyDescent="0.3">
      <c r="A42" s="37">
        <v>50</v>
      </c>
      <c r="B42" s="37" t="s">
        <v>699</v>
      </c>
      <c r="C42" s="37" t="s">
        <v>798</v>
      </c>
      <c r="D42" s="90"/>
      <c r="E42" s="244"/>
      <c r="F42" s="244"/>
      <c r="G42" s="90">
        <f>PUNTUALES!G38</f>
        <v>182521791</v>
      </c>
      <c r="H42" s="91"/>
      <c r="I42" s="98"/>
      <c r="J42" s="98"/>
      <c r="K42" s="38"/>
      <c r="L42" s="38"/>
      <c r="M42" s="38">
        <f>1520-1519.64</f>
        <v>0.35999999999989996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</row>
    <row r="43" spans="1:169" s="1" customFormat="1" ht="15.6" x14ac:dyDescent="0.3">
      <c r="A43" s="38">
        <v>51</v>
      </c>
      <c r="B43" s="38" t="s">
        <v>699</v>
      </c>
      <c r="C43" s="38" t="s">
        <v>799</v>
      </c>
      <c r="D43" s="92">
        <v>81227132013</v>
      </c>
      <c r="E43" s="103">
        <v>1227132013</v>
      </c>
      <c r="F43" s="103" t="s">
        <v>800</v>
      </c>
      <c r="G43" s="92">
        <f>PUNTUALES!G41</f>
        <v>182521791</v>
      </c>
      <c r="H43" s="94">
        <v>31026</v>
      </c>
      <c r="I43" s="98">
        <v>21032019</v>
      </c>
      <c r="J43" s="98" t="s">
        <v>801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</row>
    <row r="44" spans="1:169" s="1" customFormat="1" ht="15.6" x14ac:dyDescent="0.3">
      <c r="A44" s="38">
        <v>52</v>
      </c>
      <c r="B44" s="38" t="s">
        <v>705</v>
      </c>
      <c r="C44" s="38" t="s">
        <v>802</v>
      </c>
      <c r="D44" s="92">
        <v>471020535307</v>
      </c>
      <c r="E44" s="103" t="s">
        <v>803</v>
      </c>
      <c r="F44" s="103" t="s">
        <v>804</v>
      </c>
      <c r="G44" s="92">
        <f>G43</f>
        <v>182521791</v>
      </c>
      <c r="H44" s="94">
        <v>28654</v>
      </c>
      <c r="I44" s="180"/>
      <c r="J44" s="98" t="s">
        <v>712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</row>
    <row r="45" spans="1:169" s="1" customFormat="1" ht="15.6" x14ac:dyDescent="0.3">
      <c r="A45" s="38">
        <v>54</v>
      </c>
      <c r="B45" s="38" t="s">
        <v>705</v>
      </c>
      <c r="C45" s="38" t="s">
        <v>805</v>
      </c>
      <c r="D45" s="92">
        <v>170066315695</v>
      </c>
      <c r="E45" s="103" t="s">
        <v>806</v>
      </c>
      <c r="F45" s="103" t="s">
        <v>807</v>
      </c>
      <c r="G45" s="92" t="e">
        <f>#REF!</f>
        <v>#REF!</v>
      </c>
      <c r="H45" s="94">
        <v>27560</v>
      </c>
      <c r="I45" s="98"/>
      <c r="J45" s="9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</row>
    <row r="46" spans="1:169" s="1" customFormat="1" ht="15.6" x14ac:dyDescent="0.3">
      <c r="A46" s="38">
        <v>55</v>
      </c>
      <c r="B46" s="38" t="s">
        <v>705</v>
      </c>
      <c r="C46" s="38" t="s">
        <v>808</v>
      </c>
      <c r="D46" s="92">
        <v>281028783653</v>
      </c>
      <c r="E46" s="103">
        <v>1028783653</v>
      </c>
      <c r="F46" s="103" t="s">
        <v>809</v>
      </c>
      <c r="G46" s="92" t="e">
        <f>G45</f>
        <v>#REF!</v>
      </c>
      <c r="H46" s="94">
        <v>27313</v>
      </c>
      <c r="I46" s="98"/>
      <c r="J46" s="9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</row>
    <row r="47" spans="1:169" s="1" customFormat="1" ht="15.6" x14ac:dyDescent="0.3">
      <c r="A47" s="37">
        <v>57</v>
      </c>
      <c r="B47" s="37" t="s">
        <v>699</v>
      </c>
      <c r="C47" s="37" t="s">
        <v>810</v>
      </c>
      <c r="D47" s="90">
        <v>91011374388</v>
      </c>
      <c r="E47" s="259">
        <v>1011374388</v>
      </c>
      <c r="F47" s="244" t="s">
        <v>811</v>
      </c>
      <c r="G47" s="90" t="e">
        <f>#REF!</f>
        <v>#REF!</v>
      </c>
      <c r="H47" s="91">
        <v>31424</v>
      </c>
      <c r="I47" s="98"/>
      <c r="J47" s="9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</row>
    <row r="48" spans="1:169" s="3" customFormat="1" ht="15.6" x14ac:dyDescent="0.3">
      <c r="A48" s="39">
        <v>60</v>
      </c>
      <c r="B48" s="39" t="s">
        <v>705</v>
      </c>
      <c r="C48" s="39" t="s">
        <v>812</v>
      </c>
      <c r="D48" s="95">
        <v>81185861846</v>
      </c>
      <c r="E48" s="128" t="s">
        <v>813</v>
      </c>
      <c r="F48" s="128" t="s">
        <v>814</v>
      </c>
      <c r="G48" s="95" t="e">
        <f>#REF!</f>
        <v>#REF!</v>
      </c>
      <c r="H48" s="96">
        <v>28242</v>
      </c>
      <c r="I48" s="127" t="s">
        <v>815</v>
      </c>
      <c r="J48" s="127" t="s">
        <v>712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</row>
    <row r="49" spans="1:17" s="1" customFormat="1" ht="15.6" x14ac:dyDescent="0.3">
      <c r="A49" s="38">
        <v>61</v>
      </c>
      <c r="B49" s="38" t="s">
        <v>705</v>
      </c>
      <c r="C49" s="38" t="s">
        <v>816</v>
      </c>
      <c r="D49" s="92">
        <v>281160487324</v>
      </c>
      <c r="E49" s="103">
        <v>1160487324</v>
      </c>
      <c r="F49" s="103" t="s">
        <v>817</v>
      </c>
      <c r="G49" s="92" t="e">
        <f>#REF!</f>
        <v>#REF!</v>
      </c>
      <c r="H49" s="94">
        <v>29196</v>
      </c>
      <c r="I49" s="98" t="s">
        <v>789</v>
      </c>
      <c r="J49" s="98"/>
      <c r="K49" s="38"/>
      <c r="L49" s="38"/>
      <c r="M49" s="38"/>
      <c r="N49" s="38"/>
      <c r="O49" s="38"/>
      <c r="P49" s="38"/>
      <c r="Q49" s="38"/>
    </row>
    <row r="50" spans="1:17" s="1" customFormat="1" ht="15.6" x14ac:dyDescent="0.3">
      <c r="A50" s="38">
        <v>62</v>
      </c>
      <c r="B50" s="38" t="s">
        <v>705</v>
      </c>
      <c r="C50" s="38" t="s">
        <v>818</v>
      </c>
      <c r="D50" s="92">
        <v>81127310828</v>
      </c>
      <c r="E50" s="103">
        <v>1127310828</v>
      </c>
      <c r="F50" s="103" t="s">
        <v>819</v>
      </c>
      <c r="G50" s="38">
        <v>186282967</v>
      </c>
      <c r="H50" s="94">
        <v>30886</v>
      </c>
      <c r="I50" s="98"/>
      <c r="J50" s="98"/>
      <c r="K50" s="38"/>
      <c r="L50" s="38"/>
      <c r="M50" s="38"/>
      <c r="N50" s="38"/>
      <c r="O50" s="38"/>
      <c r="P50" s="38"/>
      <c r="Q50" s="38"/>
    </row>
    <row r="51" spans="1:17" s="3" customFormat="1" ht="15.6" x14ac:dyDescent="0.3">
      <c r="A51" s="39">
        <v>65</v>
      </c>
      <c r="B51" s="39" t="s">
        <v>705</v>
      </c>
      <c r="C51" s="39" t="s">
        <v>820</v>
      </c>
      <c r="D51" s="95">
        <v>411060067250</v>
      </c>
      <c r="E51" s="128" t="s">
        <v>821</v>
      </c>
      <c r="F51" s="128" t="s">
        <v>822</v>
      </c>
      <c r="G51" s="95">
        <f>PUNTUALES!G50</f>
        <v>186282967</v>
      </c>
      <c r="H51" s="96">
        <v>30574</v>
      </c>
      <c r="I51" s="127" t="s">
        <v>815</v>
      </c>
      <c r="J51" s="127"/>
      <c r="K51" s="39"/>
      <c r="L51" s="39"/>
      <c r="M51" s="39"/>
      <c r="N51" s="39"/>
      <c r="O51" s="39"/>
      <c r="P51" s="39"/>
      <c r="Q51" s="39"/>
    </row>
    <row r="52" spans="1:17" s="1" customFormat="1" ht="15.6" x14ac:dyDescent="0.3">
      <c r="A52" s="38">
        <v>67</v>
      </c>
      <c r="B52" s="38" t="s">
        <v>699</v>
      </c>
      <c r="C52" s="38" t="s">
        <v>823</v>
      </c>
      <c r="D52" s="92">
        <v>81139873136</v>
      </c>
      <c r="E52" s="103" t="s">
        <v>824</v>
      </c>
      <c r="F52" s="103" t="s">
        <v>825</v>
      </c>
      <c r="G52" s="38">
        <v>186282967</v>
      </c>
      <c r="H52" s="94">
        <v>26104</v>
      </c>
      <c r="I52" s="180"/>
      <c r="J52" s="98" t="s">
        <v>712</v>
      </c>
      <c r="K52" s="38"/>
      <c r="L52" s="38"/>
      <c r="M52" s="38"/>
      <c r="N52" s="38"/>
      <c r="O52" s="38"/>
      <c r="P52" s="38"/>
      <c r="Q52" s="38"/>
    </row>
    <row r="53" spans="1:17" s="1" customFormat="1" ht="15.6" x14ac:dyDescent="0.3">
      <c r="A53" s="38">
        <v>70</v>
      </c>
      <c r="B53" s="38" t="s">
        <v>699</v>
      </c>
      <c r="C53" s="38" t="s">
        <v>826</v>
      </c>
      <c r="D53" s="38">
        <v>81098996528</v>
      </c>
      <c r="E53" s="98">
        <v>1098996528</v>
      </c>
      <c r="F53" s="98" t="s">
        <v>69</v>
      </c>
      <c r="G53" s="38">
        <v>186282967</v>
      </c>
      <c r="H53" s="38">
        <v>29855</v>
      </c>
      <c r="I53" s="98" t="s">
        <v>827</v>
      </c>
      <c r="J53" s="98"/>
      <c r="K53" s="38"/>
      <c r="L53" s="38"/>
      <c r="M53" s="38"/>
      <c r="N53" s="38"/>
      <c r="O53" s="38"/>
      <c r="P53" s="38"/>
      <c r="Q53" s="38"/>
    </row>
    <row r="54" spans="1:17" s="1" customFormat="1" ht="15.6" x14ac:dyDescent="0.3">
      <c r="A54" s="38">
        <v>72</v>
      </c>
      <c r="B54" s="38" t="s">
        <v>699</v>
      </c>
      <c r="C54" s="38" t="s">
        <v>828</v>
      </c>
      <c r="D54" s="92">
        <v>431013218541</v>
      </c>
      <c r="E54" s="103">
        <v>1013218541</v>
      </c>
      <c r="F54" s="103" t="s">
        <v>829</v>
      </c>
      <c r="G54" s="38" t="e">
        <f>#REF!</f>
        <v>#REF!</v>
      </c>
      <c r="H54" s="94">
        <v>31198</v>
      </c>
      <c r="I54" s="98"/>
      <c r="J54" s="98"/>
      <c r="K54" s="38"/>
      <c r="L54" s="38"/>
      <c r="M54" s="38"/>
      <c r="N54" s="38"/>
      <c r="O54" s="38"/>
      <c r="P54" s="38"/>
      <c r="Q54" s="38"/>
    </row>
    <row r="55" spans="1:17" s="1" customFormat="1" ht="15.6" x14ac:dyDescent="0.3">
      <c r="A55" s="38">
        <v>73</v>
      </c>
      <c r="B55" s="38" t="s">
        <v>699</v>
      </c>
      <c r="C55" s="38" t="s">
        <v>830</v>
      </c>
      <c r="D55" s="92"/>
      <c r="E55" s="103"/>
      <c r="F55" s="103" t="s">
        <v>831</v>
      </c>
      <c r="G55" s="92" t="e">
        <f>G54</f>
        <v>#REF!</v>
      </c>
      <c r="H55" s="94">
        <v>30114</v>
      </c>
      <c r="I55" s="98" t="s">
        <v>770</v>
      </c>
      <c r="J55" s="98"/>
      <c r="K55" s="38"/>
      <c r="L55" s="38"/>
      <c r="M55" s="38"/>
      <c r="N55" s="38"/>
      <c r="O55" s="38"/>
      <c r="P55" s="38"/>
      <c r="Q55" s="38"/>
    </row>
    <row r="56" spans="1:17" s="1" customFormat="1" ht="15.6" x14ac:dyDescent="0.3">
      <c r="A56" s="38">
        <v>74</v>
      </c>
      <c r="B56" s="38" t="s">
        <v>705</v>
      </c>
      <c r="C56" s="38" t="s">
        <v>832</v>
      </c>
      <c r="D56" s="92">
        <v>71029611636</v>
      </c>
      <c r="E56" s="103">
        <v>1029611636</v>
      </c>
      <c r="F56" s="103" t="s">
        <v>833</v>
      </c>
      <c r="G56" s="92" t="e">
        <f>G54</f>
        <v>#REF!</v>
      </c>
      <c r="H56" s="94">
        <v>26955</v>
      </c>
      <c r="I56" s="98"/>
      <c r="J56" s="98"/>
      <c r="K56" s="38"/>
      <c r="L56" s="38"/>
      <c r="M56" s="38"/>
      <c r="N56" s="38"/>
      <c r="O56" s="38"/>
      <c r="P56" s="38"/>
      <c r="Q56" s="38"/>
    </row>
    <row r="57" spans="1:17" s="1" customFormat="1" ht="15.6" x14ac:dyDescent="0.3">
      <c r="A57" s="38">
        <v>75</v>
      </c>
      <c r="B57" s="38" t="s">
        <v>699</v>
      </c>
      <c r="C57" s="38" t="s">
        <v>834</v>
      </c>
      <c r="D57" s="92">
        <v>80519102596</v>
      </c>
      <c r="E57" s="103" t="s">
        <v>835</v>
      </c>
      <c r="F57" s="103" t="s">
        <v>836</v>
      </c>
      <c r="G57" s="92" t="e">
        <f>G56</f>
        <v>#REF!</v>
      </c>
      <c r="H57" s="94">
        <v>25810</v>
      </c>
      <c r="I57" s="98"/>
      <c r="J57" s="98"/>
      <c r="K57" s="38"/>
      <c r="L57" s="38"/>
      <c r="M57" s="38"/>
      <c r="N57" s="38"/>
      <c r="O57" s="38"/>
      <c r="P57" s="38"/>
      <c r="Q57" s="38"/>
    </row>
    <row r="58" spans="1:17" s="1" customFormat="1" ht="15.6" x14ac:dyDescent="0.3">
      <c r="A58" s="38">
        <v>80</v>
      </c>
      <c r="B58" s="38" t="s">
        <v>699</v>
      </c>
      <c r="C58" s="38" t="s">
        <v>837</v>
      </c>
      <c r="D58" s="92">
        <v>181046329202</v>
      </c>
      <c r="E58" s="103">
        <v>1046329202</v>
      </c>
      <c r="F58" s="103" t="s">
        <v>838</v>
      </c>
      <c r="G58" s="92">
        <v>186282967</v>
      </c>
      <c r="H58" s="94">
        <v>30904</v>
      </c>
      <c r="I58" s="98"/>
      <c r="J58" s="98"/>
      <c r="K58" s="38"/>
      <c r="L58" s="38"/>
      <c r="M58" s="38"/>
      <c r="N58" s="38"/>
      <c r="O58" s="38"/>
      <c r="P58" s="38"/>
      <c r="Q58" s="38"/>
    </row>
    <row r="59" spans="1:17" s="1" customFormat="1" ht="15.6" x14ac:dyDescent="0.3">
      <c r="A59" s="38">
        <v>81</v>
      </c>
      <c r="B59" s="38" t="s">
        <v>699</v>
      </c>
      <c r="C59" s="38" t="s">
        <v>839</v>
      </c>
      <c r="D59" s="92">
        <v>281142855249</v>
      </c>
      <c r="E59" s="103">
        <v>1142855249</v>
      </c>
      <c r="F59" s="103" t="s">
        <v>840</v>
      </c>
      <c r="G59" s="92">
        <v>186282967</v>
      </c>
      <c r="H59" s="94">
        <v>30187</v>
      </c>
      <c r="I59" s="98"/>
      <c r="J59" s="98"/>
      <c r="K59" s="38"/>
      <c r="L59" s="38"/>
      <c r="M59" s="38"/>
      <c r="N59" s="38"/>
      <c r="O59" s="38"/>
      <c r="P59" s="38"/>
      <c r="Q59" s="38">
        <f>29.48*13</f>
        <v>383.24</v>
      </c>
    </row>
    <row r="60" spans="1:17" s="1" customFormat="1" ht="15.6" x14ac:dyDescent="0.3">
      <c r="A60" s="38">
        <v>82</v>
      </c>
      <c r="B60" s="38" t="s">
        <v>699</v>
      </c>
      <c r="C60" s="38" t="s">
        <v>841</v>
      </c>
      <c r="D60" s="92">
        <v>81109224772</v>
      </c>
      <c r="E60" s="103">
        <v>1109224772</v>
      </c>
      <c r="F60" s="103" t="s">
        <v>842</v>
      </c>
      <c r="G60" s="92">
        <v>186282967</v>
      </c>
      <c r="H60" s="94">
        <v>31130</v>
      </c>
      <c r="I60" s="98"/>
      <c r="J60" s="98"/>
      <c r="K60" s="38"/>
      <c r="L60" s="38"/>
      <c r="M60" s="38"/>
      <c r="N60" s="38"/>
      <c r="O60" s="38"/>
      <c r="P60" s="38"/>
      <c r="Q60" s="38"/>
    </row>
    <row r="61" spans="1:17" s="1" customFormat="1" ht="15.6" x14ac:dyDescent="0.3">
      <c r="A61" s="38">
        <v>83</v>
      </c>
      <c r="B61" s="38" t="s">
        <v>705</v>
      </c>
      <c r="C61" s="38" t="s">
        <v>843</v>
      </c>
      <c r="D61" s="92">
        <v>81037442853</v>
      </c>
      <c r="E61" s="103">
        <v>1037442853</v>
      </c>
      <c r="F61" s="103" t="s">
        <v>844</v>
      </c>
      <c r="G61" s="92">
        <v>186282967</v>
      </c>
      <c r="H61" s="94">
        <v>27330</v>
      </c>
      <c r="I61" s="98"/>
      <c r="J61" s="98"/>
      <c r="K61" s="38"/>
      <c r="L61" s="38"/>
      <c r="M61" s="38"/>
      <c r="N61" s="38"/>
      <c r="O61" s="38"/>
      <c r="P61" s="38"/>
      <c r="Q61" s="38"/>
    </row>
    <row r="62" spans="1:17" s="1" customFormat="1" ht="15.6" x14ac:dyDescent="0.3">
      <c r="A62" s="38">
        <v>84</v>
      </c>
      <c r="B62" s="38" t="s">
        <v>705</v>
      </c>
      <c r="C62" s="38" t="s">
        <v>845</v>
      </c>
      <c r="D62" s="92">
        <v>431003735981</v>
      </c>
      <c r="E62" s="103">
        <v>1003735981</v>
      </c>
      <c r="F62" s="103" t="s">
        <v>846</v>
      </c>
      <c r="G62" s="92">
        <v>186282967</v>
      </c>
      <c r="H62" s="94">
        <v>28799</v>
      </c>
      <c r="I62" s="98"/>
      <c r="J62" s="98"/>
      <c r="K62" s="38"/>
      <c r="L62" s="93"/>
      <c r="M62" s="38"/>
      <c r="N62" s="38"/>
      <c r="O62" s="38"/>
      <c r="P62" s="38"/>
      <c r="Q62" s="38"/>
    </row>
    <row r="63" spans="1:17" s="1" customFormat="1" ht="15.6" x14ac:dyDescent="0.3">
      <c r="A63" s="38">
        <v>86</v>
      </c>
      <c r="B63" s="38" t="s">
        <v>705</v>
      </c>
      <c r="C63" s="21" t="s">
        <v>847</v>
      </c>
      <c r="D63" s="92">
        <v>81024515581</v>
      </c>
      <c r="E63" s="103">
        <v>1024515581</v>
      </c>
      <c r="F63" s="103" t="s">
        <v>848</v>
      </c>
      <c r="G63" s="92">
        <v>186282967</v>
      </c>
      <c r="H63" s="94">
        <v>28078</v>
      </c>
      <c r="I63" s="98"/>
      <c r="J63" s="98"/>
      <c r="K63" s="38"/>
      <c r="L63" s="38"/>
      <c r="M63" s="38"/>
      <c r="N63" s="38"/>
      <c r="O63" s="38"/>
      <c r="P63" s="38"/>
      <c r="Q63" s="38"/>
    </row>
    <row r="64" spans="1:17" s="1" customFormat="1" ht="15.6" x14ac:dyDescent="0.3">
      <c r="A64" s="38">
        <v>87</v>
      </c>
      <c r="B64" s="38" t="s">
        <v>699</v>
      </c>
      <c r="C64" s="38" t="s">
        <v>849</v>
      </c>
      <c r="D64" s="92">
        <v>81093980416</v>
      </c>
      <c r="E64" s="103">
        <v>1093980416</v>
      </c>
      <c r="F64" s="103" t="s">
        <v>850</v>
      </c>
      <c r="G64" s="92">
        <v>186282967</v>
      </c>
      <c r="H64" s="94">
        <v>29505</v>
      </c>
      <c r="I64" s="98"/>
      <c r="J64" s="98"/>
      <c r="K64" s="38"/>
      <c r="L64" s="38"/>
      <c r="M64" s="38"/>
      <c r="N64" s="38"/>
      <c r="O64" s="38"/>
      <c r="P64" s="38"/>
      <c r="Q64" s="38"/>
    </row>
    <row r="65" spans="1:12" s="1" customFormat="1" ht="15.6" x14ac:dyDescent="0.3">
      <c r="A65" s="38">
        <v>88</v>
      </c>
      <c r="B65" s="38" t="s">
        <v>699</v>
      </c>
      <c r="C65" s="38" t="s">
        <v>851</v>
      </c>
      <c r="D65" s="92">
        <v>281068726839</v>
      </c>
      <c r="E65" s="101">
        <v>1068726839</v>
      </c>
      <c r="F65" s="103" t="s">
        <v>852</v>
      </c>
      <c r="G65" s="98">
        <v>182521791</v>
      </c>
      <c r="H65" s="94">
        <v>28664</v>
      </c>
      <c r="I65" s="98"/>
      <c r="J65" s="98"/>
      <c r="K65" s="38"/>
    </row>
    <row r="66" spans="1:12" s="1" customFormat="1" ht="15.6" x14ac:dyDescent="0.3">
      <c r="A66" s="38">
        <v>89</v>
      </c>
      <c r="B66" s="38" t="s">
        <v>705</v>
      </c>
      <c r="C66" s="38" t="s">
        <v>853</v>
      </c>
      <c r="D66" s="92">
        <v>81070756693</v>
      </c>
      <c r="E66" s="103">
        <v>1070756693</v>
      </c>
      <c r="F66" s="103" t="s">
        <v>854</v>
      </c>
      <c r="G66" s="92">
        <f>G64</f>
        <v>186282967</v>
      </c>
      <c r="H66" s="94">
        <v>28500</v>
      </c>
      <c r="I66" s="98"/>
      <c r="J66" s="98"/>
      <c r="K66" s="38"/>
    </row>
    <row r="67" spans="1:12" s="1" customFormat="1" ht="15.6" x14ac:dyDescent="0.3">
      <c r="A67" s="38">
        <v>90</v>
      </c>
      <c r="B67" s="38" t="s">
        <v>705</v>
      </c>
      <c r="C67" s="38" t="s">
        <v>855</v>
      </c>
      <c r="D67" s="92">
        <v>170063393066</v>
      </c>
      <c r="E67" s="103" t="s">
        <v>856</v>
      </c>
      <c r="F67" s="103" t="s">
        <v>857</v>
      </c>
      <c r="G67" s="92">
        <f t="shared" ref="G67:G72" si="0">G66</f>
        <v>186282967</v>
      </c>
      <c r="H67" s="94">
        <v>26500</v>
      </c>
      <c r="I67" s="98"/>
      <c r="J67" s="98"/>
      <c r="K67" s="38"/>
    </row>
    <row r="68" spans="1:12" s="1" customFormat="1" ht="15.6" x14ac:dyDescent="0.3">
      <c r="A68" s="38">
        <v>91</v>
      </c>
      <c r="B68" s="38" t="s">
        <v>705</v>
      </c>
      <c r="C68" s="38" t="s">
        <v>858</v>
      </c>
      <c r="D68" s="92">
        <v>80498608924</v>
      </c>
      <c r="E68" s="103">
        <v>498608924</v>
      </c>
      <c r="F68" s="103" t="s">
        <v>859</v>
      </c>
      <c r="G68" s="92">
        <f t="shared" si="0"/>
        <v>186282967</v>
      </c>
      <c r="H68" s="94">
        <v>25138</v>
      </c>
      <c r="I68" s="98"/>
      <c r="J68" s="98"/>
      <c r="K68" s="38"/>
    </row>
    <row r="69" spans="1:12" s="1" customFormat="1" ht="15.6" x14ac:dyDescent="0.3">
      <c r="A69" s="38">
        <v>92</v>
      </c>
      <c r="B69" s="38" t="s">
        <v>705</v>
      </c>
      <c r="C69" s="38" t="s">
        <v>860</v>
      </c>
      <c r="D69" s="92">
        <v>281349031981</v>
      </c>
      <c r="E69" s="103">
        <v>1349031981</v>
      </c>
      <c r="F69" s="103" t="s">
        <v>861</v>
      </c>
      <c r="G69" s="92">
        <f t="shared" si="0"/>
        <v>186282967</v>
      </c>
      <c r="H69" s="94">
        <v>31790</v>
      </c>
      <c r="I69" s="98"/>
      <c r="J69" s="98"/>
      <c r="K69" s="38"/>
    </row>
    <row r="70" spans="1:12" s="1" customFormat="1" ht="15.6" x14ac:dyDescent="0.3">
      <c r="A70" s="38">
        <v>93</v>
      </c>
      <c r="B70" s="38" t="s">
        <v>705</v>
      </c>
      <c r="C70" s="38" t="s">
        <v>862</v>
      </c>
      <c r="D70" s="92">
        <v>81286290289</v>
      </c>
      <c r="E70" s="103">
        <v>1286290289</v>
      </c>
      <c r="F70" s="103" t="s">
        <v>863</v>
      </c>
      <c r="G70" s="92">
        <f t="shared" si="0"/>
        <v>186282967</v>
      </c>
      <c r="H70" s="94">
        <v>32469</v>
      </c>
      <c r="I70" s="180"/>
      <c r="J70" s="98" t="s">
        <v>107</v>
      </c>
      <c r="K70" s="38"/>
    </row>
    <row r="71" spans="1:12" s="3" customFormat="1" ht="15.6" x14ac:dyDescent="0.3">
      <c r="A71" s="39">
        <v>94</v>
      </c>
      <c r="B71" s="39" t="s">
        <v>705</v>
      </c>
      <c r="C71" s="39" t="s">
        <v>864</v>
      </c>
      <c r="D71" s="95">
        <v>111056038715</v>
      </c>
      <c r="E71" s="128" t="s">
        <v>865</v>
      </c>
      <c r="F71" s="128" t="s">
        <v>866</v>
      </c>
      <c r="G71" s="95">
        <f t="shared" si="0"/>
        <v>186282967</v>
      </c>
      <c r="H71" s="96">
        <v>32469</v>
      </c>
      <c r="I71" s="127" t="s">
        <v>867</v>
      </c>
      <c r="J71" s="127"/>
      <c r="K71" s="39"/>
    </row>
    <row r="72" spans="1:12" s="1" customFormat="1" ht="15.6" x14ac:dyDescent="0.3">
      <c r="A72" s="38">
        <v>95</v>
      </c>
      <c r="B72" s="38" t="s">
        <v>699</v>
      </c>
      <c r="C72" s="38" t="s">
        <v>868</v>
      </c>
      <c r="D72" s="92">
        <v>81144738900</v>
      </c>
      <c r="E72" s="103">
        <v>1144738900</v>
      </c>
      <c r="F72" s="103" t="s">
        <v>869</v>
      </c>
      <c r="G72" s="92">
        <f t="shared" si="0"/>
        <v>186282967</v>
      </c>
      <c r="H72" s="94">
        <v>28953</v>
      </c>
      <c r="I72" s="180"/>
      <c r="J72" s="98" t="s">
        <v>712</v>
      </c>
      <c r="K72" s="38"/>
    </row>
    <row r="73" spans="1:12" s="3" customFormat="1" ht="15.6" x14ac:dyDescent="0.3">
      <c r="A73" s="39">
        <v>96</v>
      </c>
      <c r="B73" s="39" t="s">
        <v>705</v>
      </c>
      <c r="C73" s="39" t="s">
        <v>870</v>
      </c>
      <c r="D73" s="95">
        <v>81158501378</v>
      </c>
      <c r="E73" s="128">
        <v>1158501378</v>
      </c>
      <c r="F73" s="128" t="s">
        <v>871</v>
      </c>
      <c r="G73" s="95">
        <v>182521791</v>
      </c>
      <c r="H73" s="96">
        <v>28380</v>
      </c>
      <c r="I73" s="127" t="s">
        <v>643</v>
      </c>
      <c r="J73" s="127" t="s">
        <v>712</v>
      </c>
      <c r="K73" s="39"/>
    </row>
    <row r="74" spans="1:12" s="173" customFormat="1" ht="15.6" x14ac:dyDescent="0.3">
      <c r="A74" s="71">
        <v>97</v>
      </c>
      <c r="B74" s="71" t="s">
        <v>705</v>
      </c>
      <c r="C74" s="71" t="s">
        <v>872</v>
      </c>
      <c r="D74" s="181">
        <v>81170573737</v>
      </c>
      <c r="E74" s="291">
        <v>1170573737</v>
      </c>
      <c r="F74" s="291" t="s">
        <v>873</v>
      </c>
      <c r="G74" s="181">
        <v>186282967</v>
      </c>
      <c r="H74" s="102">
        <v>27601</v>
      </c>
      <c r="I74" s="180"/>
      <c r="J74" s="231">
        <v>3</v>
      </c>
      <c r="K74" s="176">
        <v>6000327</v>
      </c>
      <c r="L74" s="28" t="s">
        <v>26</v>
      </c>
    </row>
    <row r="75" spans="1:12" s="1" customFormat="1" ht="15.6" x14ac:dyDescent="0.3">
      <c r="A75" s="38">
        <v>98</v>
      </c>
      <c r="B75" s="38" t="s">
        <v>699</v>
      </c>
      <c r="C75" s="38" t="s">
        <v>874</v>
      </c>
      <c r="D75" s="92">
        <v>70056813250</v>
      </c>
      <c r="E75" s="103" t="s">
        <v>875</v>
      </c>
      <c r="F75" s="103" t="s">
        <v>876</v>
      </c>
      <c r="G75" s="92">
        <f>G74</f>
        <v>186282967</v>
      </c>
      <c r="H75" s="94">
        <v>20122</v>
      </c>
      <c r="I75" s="98"/>
      <c r="J75" s="98"/>
      <c r="K75" s="38"/>
    </row>
    <row r="76" spans="1:12" s="1" customFormat="1" ht="15.6" x14ac:dyDescent="0.3">
      <c r="A76" s="38">
        <v>99</v>
      </c>
      <c r="B76" s="38" t="s">
        <v>705</v>
      </c>
      <c r="C76" s="38" t="s">
        <v>877</v>
      </c>
      <c r="D76" s="92">
        <v>431011945821</v>
      </c>
      <c r="E76" s="103">
        <v>1011945821</v>
      </c>
      <c r="F76" s="103" t="s">
        <v>878</v>
      </c>
      <c r="G76" s="92">
        <f>G75</f>
        <v>186282967</v>
      </c>
      <c r="H76" s="94">
        <v>29733</v>
      </c>
      <c r="I76" s="98"/>
      <c r="J76" s="98"/>
      <c r="K76" s="38"/>
    </row>
    <row r="77" spans="1:12" s="1" customFormat="1" ht="15.6" x14ac:dyDescent="0.3">
      <c r="A77" s="38">
        <v>100</v>
      </c>
      <c r="B77" s="38" t="s">
        <v>705</v>
      </c>
      <c r="C77" s="38" t="s">
        <v>879</v>
      </c>
      <c r="D77" s="92">
        <v>71070550585</v>
      </c>
      <c r="E77" s="103">
        <v>1070550585</v>
      </c>
      <c r="F77" s="103" t="s">
        <v>880</v>
      </c>
      <c r="G77" s="92">
        <f>G76</f>
        <v>186282967</v>
      </c>
      <c r="H77" s="94">
        <v>30494</v>
      </c>
      <c r="I77" s="98"/>
      <c r="J77" s="98" t="s">
        <v>881</v>
      </c>
      <c r="K77" s="38" t="s">
        <v>882</v>
      </c>
    </row>
    <row r="78" spans="1:12" s="1" customFormat="1" ht="15.6" x14ac:dyDescent="0.3">
      <c r="A78" s="38">
        <v>101</v>
      </c>
      <c r="B78" s="38" t="s">
        <v>699</v>
      </c>
      <c r="C78" s="38" t="s">
        <v>883</v>
      </c>
      <c r="D78" s="92">
        <v>81151468575</v>
      </c>
      <c r="E78" s="103">
        <v>1151468575</v>
      </c>
      <c r="F78" s="103" t="s">
        <v>884</v>
      </c>
      <c r="G78" s="92">
        <f>G77</f>
        <v>186282967</v>
      </c>
      <c r="H78" s="94">
        <v>32217</v>
      </c>
      <c r="I78" s="98"/>
      <c r="J78" s="98"/>
      <c r="K78" s="38"/>
    </row>
    <row r="79" spans="1:12" s="1" customFormat="1" ht="15.6" x14ac:dyDescent="0.3">
      <c r="A79" s="38">
        <v>104</v>
      </c>
      <c r="B79" s="38" t="s">
        <v>705</v>
      </c>
      <c r="C79" s="38" t="s">
        <v>885</v>
      </c>
      <c r="D79" s="92">
        <v>81041022759</v>
      </c>
      <c r="E79" s="103">
        <v>1041022759</v>
      </c>
      <c r="F79" s="103" t="s">
        <v>886</v>
      </c>
      <c r="G79" s="92" t="e">
        <f>#REF!</f>
        <v>#REF!</v>
      </c>
      <c r="H79" s="94">
        <v>27319</v>
      </c>
      <c r="I79" s="98"/>
      <c r="J79" s="98"/>
      <c r="K79" s="38"/>
    </row>
    <row r="80" spans="1:12" s="1" customFormat="1" ht="15.6" x14ac:dyDescent="0.3">
      <c r="A80" s="38">
        <v>106</v>
      </c>
      <c r="B80" s="38" t="s">
        <v>705</v>
      </c>
      <c r="C80" s="38" t="s">
        <v>887</v>
      </c>
      <c r="D80" s="92">
        <v>81091597145</v>
      </c>
      <c r="E80" s="103">
        <v>1091597145</v>
      </c>
      <c r="F80" s="103" t="s">
        <v>888</v>
      </c>
      <c r="G80" s="92" t="e">
        <f>#REF!</f>
        <v>#REF!</v>
      </c>
      <c r="H80" s="94">
        <v>29196</v>
      </c>
      <c r="I80" s="98"/>
      <c r="J80" s="98"/>
      <c r="K80" s="38"/>
    </row>
    <row r="81" spans="1:13" s="1" customFormat="1" ht="15.6" x14ac:dyDescent="0.3">
      <c r="A81" s="38">
        <v>107</v>
      </c>
      <c r="B81" s="38" t="s">
        <v>705</v>
      </c>
      <c r="C81" s="38" t="s">
        <v>889</v>
      </c>
      <c r="D81" s="92">
        <v>31020115505</v>
      </c>
      <c r="E81" s="103" t="s">
        <v>890</v>
      </c>
      <c r="F81" s="103" t="s">
        <v>891</v>
      </c>
      <c r="G81" s="92" t="e">
        <f>G80</f>
        <v>#REF!</v>
      </c>
      <c r="H81" s="94">
        <v>29501</v>
      </c>
      <c r="I81" s="98"/>
      <c r="J81" s="98"/>
      <c r="K81" s="38"/>
      <c r="L81" s="38"/>
      <c r="M81" s="38"/>
    </row>
    <row r="82" spans="1:13" s="1" customFormat="1" ht="15.6" x14ac:dyDescent="0.3">
      <c r="A82" s="38">
        <v>108</v>
      </c>
      <c r="B82" s="38" t="s">
        <v>699</v>
      </c>
      <c r="C82" s="21" t="s">
        <v>828</v>
      </c>
      <c r="D82" s="92">
        <v>431013218541</v>
      </c>
      <c r="E82" s="103">
        <v>1013218541</v>
      </c>
      <c r="F82" s="103" t="s">
        <v>829</v>
      </c>
      <c r="G82" s="92" t="e">
        <f>G81</f>
        <v>#REF!</v>
      </c>
      <c r="H82" s="94">
        <v>31198</v>
      </c>
      <c r="I82" s="98"/>
      <c r="J82" s="98"/>
      <c r="K82" s="38"/>
      <c r="L82" s="38"/>
      <c r="M82" s="38"/>
    </row>
    <row r="83" spans="1:13" s="1" customFormat="1" ht="15.6" x14ac:dyDescent="0.3">
      <c r="A83" s="38">
        <v>109</v>
      </c>
      <c r="B83" s="38" t="s">
        <v>699</v>
      </c>
      <c r="C83" s="38" t="s">
        <v>892</v>
      </c>
      <c r="D83" s="92">
        <v>81179357489</v>
      </c>
      <c r="E83" s="103" t="s">
        <v>893</v>
      </c>
      <c r="F83" s="103" t="s">
        <v>894</v>
      </c>
      <c r="G83" s="92" t="e">
        <f>G82</f>
        <v>#REF!</v>
      </c>
      <c r="H83" s="94">
        <v>31418</v>
      </c>
      <c r="I83" s="98"/>
      <c r="J83" s="98"/>
      <c r="K83" s="38"/>
      <c r="L83" s="38"/>
      <c r="M83" s="38"/>
    </row>
    <row r="84" spans="1:13" s="3" customFormat="1" ht="15.6" x14ac:dyDescent="0.3">
      <c r="A84" s="39">
        <v>110</v>
      </c>
      <c r="B84" s="39" t="s">
        <v>699</v>
      </c>
      <c r="C84" s="39" t="s">
        <v>895</v>
      </c>
      <c r="D84" s="95">
        <v>80533126978</v>
      </c>
      <c r="E84" s="128" t="s">
        <v>896</v>
      </c>
      <c r="F84" s="128" t="s">
        <v>897</v>
      </c>
      <c r="G84" s="95">
        <v>182521791</v>
      </c>
      <c r="H84" s="96">
        <v>27317</v>
      </c>
      <c r="I84" s="127" t="s">
        <v>898</v>
      </c>
      <c r="J84" s="127"/>
      <c r="K84" s="39"/>
      <c r="L84" s="39"/>
      <c r="M84" s="39"/>
    </row>
    <row r="85" spans="1:13" s="1" customFormat="1" ht="15.6" x14ac:dyDescent="0.3">
      <c r="A85" s="38">
        <v>111</v>
      </c>
      <c r="B85" s="38" t="s">
        <v>699</v>
      </c>
      <c r="C85" s="38" t="s">
        <v>899</v>
      </c>
      <c r="D85" s="92">
        <v>331021963661</v>
      </c>
      <c r="E85" s="103">
        <v>1021963661</v>
      </c>
      <c r="F85" s="103" t="s">
        <v>900</v>
      </c>
      <c r="G85" s="92">
        <v>186282967</v>
      </c>
      <c r="H85" s="94">
        <v>29831</v>
      </c>
      <c r="I85" s="98"/>
      <c r="J85" s="98"/>
      <c r="K85" s="38"/>
      <c r="L85" s="38"/>
      <c r="M85" s="38"/>
    </row>
    <row r="86" spans="1:13" s="1" customFormat="1" ht="15.6" x14ac:dyDescent="0.3">
      <c r="A86" s="38">
        <v>112</v>
      </c>
      <c r="B86" s="38" t="s">
        <v>699</v>
      </c>
      <c r="C86" s="38" t="s">
        <v>901</v>
      </c>
      <c r="D86" s="92">
        <v>81196938842</v>
      </c>
      <c r="E86" s="103">
        <v>1196938842</v>
      </c>
      <c r="F86" s="103" t="s">
        <v>902</v>
      </c>
      <c r="G86" s="92">
        <v>186282967</v>
      </c>
      <c r="H86" s="94">
        <v>30581</v>
      </c>
      <c r="I86" s="98"/>
      <c r="J86" s="98"/>
      <c r="K86" s="38"/>
      <c r="L86" s="38"/>
      <c r="M86" s="38"/>
    </row>
    <row r="87" spans="1:13" s="1" customFormat="1" ht="15.6" x14ac:dyDescent="0.3">
      <c r="A87" s="38">
        <v>114</v>
      </c>
      <c r="B87" s="38" t="s">
        <v>705</v>
      </c>
      <c r="C87" s="38" t="s">
        <v>903</v>
      </c>
      <c r="D87" s="92">
        <v>140071831830</v>
      </c>
      <c r="E87" s="103" t="s">
        <v>904</v>
      </c>
      <c r="F87" s="103" t="s">
        <v>905</v>
      </c>
      <c r="G87" s="92">
        <v>186282967</v>
      </c>
      <c r="H87" s="94">
        <v>24729</v>
      </c>
      <c r="I87" s="98"/>
      <c r="J87" s="98"/>
      <c r="K87" s="38"/>
      <c r="L87" s="38"/>
      <c r="M87" s="38"/>
    </row>
    <row r="88" spans="1:13" s="1" customFormat="1" ht="15.6" x14ac:dyDescent="0.3">
      <c r="A88" s="38">
        <v>118</v>
      </c>
      <c r="B88" s="38" t="s">
        <v>705</v>
      </c>
      <c r="C88" s="38" t="s">
        <v>906</v>
      </c>
      <c r="D88" s="92">
        <v>461063141258</v>
      </c>
      <c r="E88" s="103">
        <v>1063141258</v>
      </c>
      <c r="F88" s="103" t="s">
        <v>907</v>
      </c>
      <c r="G88" s="92">
        <v>186282967</v>
      </c>
      <c r="H88" s="94">
        <v>31827</v>
      </c>
      <c r="I88" s="98"/>
      <c r="J88" s="98"/>
      <c r="K88" s="38"/>
      <c r="L88" s="38"/>
      <c r="M88" s="38"/>
    </row>
    <row r="89" spans="1:13" s="1" customFormat="1" ht="15.6" x14ac:dyDescent="0.3">
      <c r="A89" s="38">
        <v>119</v>
      </c>
      <c r="B89" s="38" t="s">
        <v>705</v>
      </c>
      <c r="C89" s="38" t="s">
        <v>908</v>
      </c>
      <c r="D89" s="92">
        <v>471019720204</v>
      </c>
      <c r="E89" s="103">
        <v>1019720204</v>
      </c>
      <c r="F89" s="103" t="s">
        <v>909</v>
      </c>
      <c r="G89" s="92">
        <f t="shared" ref="G89:G94" si="1">G88</f>
        <v>186282967</v>
      </c>
      <c r="H89" s="94">
        <v>33446</v>
      </c>
      <c r="I89" s="98"/>
      <c r="J89" s="98"/>
      <c r="K89" s="38"/>
      <c r="L89" s="38"/>
      <c r="M89" s="38"/>
    </row>
    <row r="90" spans="1:13" s="1" customFormat="1" ht="15.6" x14ac:dyDescent="0.3">
      <c r="A90" s="38">
        <v>120</v>
      </c>
      <c r="B90" s="38" t="s">
        <v>699</v>
      </c>
      <c r="C90" s="38" t="s">
        <v>910</v>
      </c>
      <c r="D90" s="92">
        <v>81057441021</v>
      </c>
      <c r="E90" s="103">
        <v>1057441021</v>
      </c>
      <c r="F90" s="103" t="s">
        <v>911</v>
      </c>
      <c r="G90" s="92">
        <f t="shared" si="1"/>
        <v>186282967</v>
      </c>
      <c r="H90" s="94">
        <v>28464</v>
      </c>
      <c r="I90" s="98"/>
      <c r="J90" s="98"/>
      <c r="K90" s="38"/>
      <c r="L90" s="38"/>
      <c r="M90" s="38"/>
    </row>
    <row r="91" spans="1:13" s="1" customFormat="1" ht="15.6" x14ac:dyDescent="0.3">
      <c r="A91" s="38">
        <v>121</v>
      </c>
      <c r="B91" s="38" t="s">
        <v>705</v>
      </c>
      <c r="C91" s="38" t="s">
        <v>912</v>
      </c>
      <c r="D91" s="92">
        <v>81157691632</v>
      </c>
      <c r="E91" s="103">
        <v>1157691632</v>
      </c>
      <c r="F91" s="103" t="s">
        <v>913</v>
      </c>
      <c r="G91" s="92">
        <f t="shared" si="1"/>
        <v>186282967</v>
      </c>
      <c r="H91" s="94">
        <v>32691</v>
      </c>
      <c r="I91" s="98"/>
      <c r="J91" s="98"/>
      <c r="K91" s="38"/>
      <c r="L91" s="38"/>
      <c r="M91" s="38"/>
    </row>
    <row r="92" spans="1:13" s="1" customFormat="1" ht="15.6" x14ac:dyDescent="0.3">
      <c r="A92" s="38">
        <v>122</v>
      </c>
      <c r="B92" s="38" t="s">
        <v>705</v>
      </c>
      <c r="C92" s="38" t="s">
        <v>914</v>
      </c>
      <c r="D92" s="92">
        <v>81273848829</v>
      </c>
      <c r="E92" s="103">
        <v>1273848829</v>
      </c>
      <c r="F92" s="103" t="s">
        <v>915</v>
      </c>
      <c r="G92" s="92">
        <f t="shared" si="1"/>
        <v>186282967</v>
      </c>
      <c r="H92" s="94">
        <v>31868</v>
      </c>
      <c r="I92" s="180" t="s">
        <v>916</v>
      </c>
      <c r="J92" s="98"/>
      <c r="K92" s="38"/>
      <c r="L92" s="38"/>
      <c r="M92" s="38"/>
    </row>
    <row r="93" spans="1:13" s="1" customFormat="1" ht="15.6" x14ac:dyDescent="0.3">
      <c r="A93" s="38">
        <v>123</v>
      </c>
      <c r="B93" s="38" t="s">
        <v>699</v>
      </c>
      <c r="C93" s="38" t="s">
        <v>917</v>
      </c>
      <c r="D93" s="92">
        <v>171022676473</v>
      </c>
      <c r="E93" s="103">
        <v>1022676473</v>
      </c>
      <c r="F93" s="103" t="s">
        <v>918</v>
      </c>
      <c r="G93" s="92">
        <f t="shared" si="1"/>
        <v>186282967</v>
      </c>
      <c r="H93" s="94">
        <v>24735</v>
      </c>
      <c r="I93" s="98"/>
      <c r="J93" s="98"/>
      <c r="K93" s="38"/>
      <c r="L93" s="38"/>
      <c r="M93" s="38"/>
    </row>
    <row r="94" spans="1:13" s="1" customFormat="1" ht="15.6" x14ac:dyDescent="0.3">
      <c r="A94" s="38">
        <v>124</v>
      </c>
      <c r="B94" s="38" t="s">
        <v>705</v>
      </c>
      <c r="C94" s="38" t="s">
        <v>919</v>
      </c>
      <c r="D94" s="92">
        <v>80532676738</v>
      </c>
      <c r="E94" s="103" t="s">
        <v>920</v>
      </c>
      <c r="F94" s="103" t="s">
        <v>921</v>
      </c>
      <c r="G94" s="92">
        <f t="shared" si="1"/>
        <v>186282967</v>
      </c>
      <c r="H94" s="94">
        <v>26819</v>
      </c>
      <c r="I94" s="98" t="s">
        <v>789</v>
      </c>
      <c r="J94" s="98"/>
      <c r="K94" s="38"/>
      <c r="L94" s="38"/>
      <c r="M94" s="38"/>
    </row>
    <row r="95" spans="1:13" s="1" customFormat="1" ht="15.6" x14ac:dyDescent="0.3">
      <c r="A95" s="38">
        <v>126</v>
      </c>
      <c r="B95" s="38" t="s">
        <v>705</v>
      </c>
      <c r="C95" s="38" t="s">
        <v>922</v>
      </c>
      <c r="D95" s="92">
        <v>80509254470</v>
      </c>
      <c r="E95" s="103" t="s">
        <v>923</v>
      </c>
      <c r="F95" s="103" t="s">
        <v>924</v>
      </c>
      <c r="G95" s="92" t="e">
        <f>#REF!</f>
        <v>#REF!</v>
      </c>
      <c r="H95" s="94">
        <v>26681</v>
      </c>
      <c r="I95" s="98"/>
      <c r="J95" s="98"/>
      <c r="K95" s="38"/>
      <c r="L95" s="38"/>
      <c r="M95" s="38"/>
    </row>
    <row r="96" spans="1:13" s="1" customFormat="1" ht="15.6" x14ac:dyDescent="0.3">
      <c r="A96" s="21">
        <v>127</v>
      </c>
      <c r="B96" s="21" t="s">
        <v>699</v>
      </c>
      <c r="C96" s="21" t="s">
        <v>925</v>
      </c>
      <c r="D96" s="99">
        <v>81256412572</v>
      </c>
      <c r="E96" s="245">
        <v>1256412572</v>
      </c>
      <c r="F96" s="245" t="s">
        <v>926</v>
      </c>
      <c r="G96" s="92" t="e">
        <f>G95</f>
        <v>#REF!</v>
      </c>
      <c r="H96" s="87">
        <v>27068</v>
      </c>
      <c r="I96" s="218" t="s">
        <v>927</v>
      </c>
      <c r="J96" s="237" t="s">
        <v>928</v>
      </c>
      <c r="K96" s="38"/>
      <c r="L96" s="100"/>
      <c r="M96" s="100"/>
    </row>
    <row r="97" spans="1:13" s="5" customFormat="1" ht="15.6" x14ac:dyDescent="0.3">
      <c r="A97" s="38">
        <v>128</v>
      </c>
      <c r="B97" s="38" t="s">
        <v>705</v>
      </c>
      <c r="C97" s="38" t="s">
        <v>929</v>
      </c>
      <c r="D97" s="92">
        <v>81179837237</v>
      </c>
      <c r="E97" s="103">
        <v>1179837237</v>
      </c>
      <c r="F97" s="103" t="s">
        <v>930</v>
      </c>
      <c r="G97" s="92" t="e">
        <f>G96</f>
        <v>#REF!</v>
      </c>
      <c r="H97" s="94">
        <v>30679</v>
      </c>
      <c r="I97" s="98"/>
      <c r="J97" s="98"/>
      <c r="K97" s="100"/>
      <c r="L97" s="38"/>
      <c r="M97" s="38"/>
    </row>
    <row r="98" spans="1:13" s="1" customFormat="1" ht="15.6" x14ac:dyDescent="0.3">
      <c r="A98" s="38">
        <v>131</v>
      </c>
      <c r="B98" s="38" t="s">
        <v>705</v>
      </c>
      <c r="C98" s="38" t="s">
        <v>931</v>
      </c>
      <c r="D98" s="92">
        <v>80487988030</v>
      </c>
      <c r="E98" s="103" t="s">
        <v>932</v>
      </c>
      <c r="F98" s="103" t="s">
        <v>933</v>
      </c>
      <c r="G98" s="92" t="e">
        <f>#REF!</f>
        <v>#REF!</v>
      </c>
      <c r="H98" s="94">
        <v>24427</v>
      </c>
      <c r="I98" s="98"/>
      <c r="J98" s="98"/>
      <c r="K98" s="38"/>
      <c r="L98" s="38"/>
      <c r="M98" s="38"/>
    </row>
    <row r="99" spans="1:13" s="1" customFormat="1" ht="15.6" x14ac:dyDescent="0.3">
      <c r="A99" s="38">
        <v>132</v>
      </c>
      <c r="B99" s="38" t="s">
        <v>699</v>
      </c>
      <c r="C99" s="38" t="s">
        <v>934</v>
      </c>
      <c r="D99" s="92">
        <v>81174325920</v>
      </c>
      <c r="E99" s="103" t="s">
        <v>935</v>
      </c>
      <c r="F99" s="103" t="s">
        <v>936</v>
      </c>
      <c r="G99" s="92" t="e">
        <f>G98</f>
        <v>#REF!</v>
      </c>
      <c r="H99" s="94">
        <v>29912</v>
      </c>
      <c r="I99" s="180"/>
      <c r="J99" s="98"/>
      <c r="K99" s="38"/>
      <c r="L99" s="38"/>
      <c r="M99" s="38"/>
    </row>
    <row r="100" spans="1:13" s="1" customFormat="1" ht="15.6" x14ac:dyDescent="0.3">
      <c r="A100" s="38">
        <v>133</v>
      </c>
      <c r="B100" s="38" t="s">
        <v>705</v>
      </c>
      <c r="C100" s="38" t="s">
        <v>937</v>
      </c>
      <c r="D100" s="92">
        <v>81162045720</v>
      </c>
      <c r="E100" s="103">
        <v>1162045720</v>
      </c>
      <c r="F100" s="103" t="s">
        <v>938</v>
      </c>
      <c r="G100" s="92" t="e">
        <f>G98</f>
        <v>#REF!</v>
      </c>
      <c r="H100" s="94">
        <v>30576</v>
      </c>
      <c r="I100" s="98"/>
      <c r="J100" s="98"/>
      <c r="K100" s="38"/>
      <c r="L100" s="38"/>
      <c r="M100" s="38"/>
    </row>
    <row r="101" spans="1:13" s="1" customFormat="1" ht="15.6" x14ac:dyDescent="0.3">
      <c r="A101" s="38">
        <v>134</v>
      </c>
      <c r="B101" s="38" t="s">
        <v>705</v>
      </c>
      <c r="C101" s="38" t="s">
        <v>939</v>
      </c>
      <c r="D101" s="92" t="s">
        <v>940</v>
      </c>
      <c r="E101" s="98"/>
      <c r="F101" s="98"/>
      <c r="G101" s="92" t="e">
        <f t="shared" ref="G101:G110" si="2">G100</f>
        <v>#REF!</v>
      </c>
      <c r="H101" s="94"/>
      <c r="I101" s="98"/>
      <c r="J101" s="98"/>
      <c r="K101" s="38"/>
      <c r="L101" s="38"/>
      <c r="M101" s="38"/>
    </row>
    <row r="102" spans="1:13" s="1" customFormat="1" ht="15.6" x14ac:dyDescent="0.3">
      <c r="A102" s="38">
        <v>135</v>
      </c>
      <c r="B102" s="38" t="s">
        <v>705</v>
      </c>
      <c r="C102" s="38" t="s">
        <v>941</v>
      </c>
      <c r="D102" s="92">
        <v>391007309790</v>
      </c>
      <c r="E102" s="103">
        <v>1007309790</v>
      </c>
      <c r="F102" s="103" t="s">
        <v>942</v>
      </c>
      <c r="G102" s="92" t="e">
        <f t="shared" si="2"/>
        <v>#REF!</v>
      </c>
      <c r="H102" s="94">
        <v>28782</v>
      </c>
      <c r="I102" s="98"/>
      <c r="J102" s="98"/>
      <c r="K102" s="38"/>
      <c r="L102" s="38"/>
      <c r="M102" s="38"/>
    </row>
    <row r="103" spans="1:13" s="1" customFormat="1" ht="15.6" x14ac:dyDescent="0.3">
      <c r="A103" s="38">
        <v>136</v>
      </c>
      <c r="B103" s="38" t="s">
        <v>699</v>
      </c>
      <c r="C103" s="38" t="s">
        <v>943</v>
      </c>
      <c r="D103" s="92">
        <v>80539500787</v>
      </c>
      <c r="E103" s="103" t="s">
        <v>944</v>
      </c>
      <c r="F103" s="103" t="s">
        <v>945</v>
      </c>
      <c r="G103" s="92" t="e">
        <f t="shared" si="2"/>
        <v>#REF!</v>
      </c>
      <c r="H103" s="94">
        <v>32322</v>
      </c>
      <c r="I103" s="98"/>
      <c r="J103" s="98"/>
      <c r="K103" s="38"/>
      <c r="L103" s="38"/>
      <c r="M103" s="38"/>
    </row>
    <row r="104" spans="1:13" s="1" customFormat="1" ht="15.6" x14ac:dyDescent="0.3">
      <c r="A104" s="38">
        <v>137</v>
      </c>
      <c r="B104" s="38" t="s">
        <v>699</v>
      </c>
      <c r="C104" s="38" t="s">
        <v>946</v>
      </c>
      <c r="D104" s="92">
        <v>81142917320</v>
      </c>
      <c r="E104" s="103">
        <v>1142917320</v>
      </c>
      <c r="F104" s="103" t="s">
        <v>947</v>
      </c>
      <c r="G104" s="92" t="e">
        <f t="shared" si="2"/>
        <v>#REF!</v>
      </c>
      <c r="H104" s="94">
        <v>26543</v>
      </c>
      <c r="I104" s="180" t="s">
        <v>948</v>
      </c>
      <c r="J104" s="98"/>
      <c r="K104" s="38"/>
      <c r="L104" s="38"/>
      <c r="M104" s="38"/>
    </row>
    <row r="105" spans="1:13" s="1" customFormat="1" ht="15.6" x14ac:dyDescent="0.3">
      <c r="A105" s="38">
        <v>138</v>
      </c>
      <c r="B105" s="38" t="s">
        <v>705</v>
      </c>
      <c r="C105" s="38" t="s">
        <v>949</v>
      </c>
      <c r="D105" s="92">
        <v>81144874801</v>
      </c>
      <c r="E105" s="103">
        <v>1144874801</v>
      </c>
      <c r="F105" s="103" t="s">
        <v>950</v>
      </c>
      <c r="G105" s="92" t="e">
        <f t="shared" si="2"/>
        <v>#REF!</v>
      </c>
      <c r="H105" s="94">
        <v>31538</v>
      </c>
      <c r="I105" s="98"/>
      <c r="J105" s="98"/>
      <c r="K105" s="38"/>
      <c r="L105" s="38"/>
      <c r="M105" s="38"/>
    </row>
    <row r="106" spans="1:13" s="1" customFormat="1" ht="15.6" x14ac:dyDescent="0.3">
      <c r="A106" s="38">
        <v>139</v>
      </c>
      <c r="B106" s="38" t="s">
        <v>699</v>
      </c>
      <c r="C106" s="38" t="s">
        <v>951</v>
      </c>
      <c r="D106" s="92">
        <v>81299525941</v>
      </c>
      <c r="E106" s="103">
        <v>1299525941</v>
      </c>
      <c r="F106" s="103" t="s">
        <v>952</v>
      </c>
      <c r="G106" s="92" t="e">
        <f t="shared" si="2"/>
        <v>#REF!</v>
      </c>
      <c r="H106" s="94">
        <v>31944</v>
      </c>
      <c r="I106" s="98" t="s">
        <v>953</v>
      </c>
      <c r="J106" s="98"/>
      <c r="K106" s="38"/>
      <c r="L106" s="38"/>
      <c r="M106" s="38"/>
    </row>
    <row r="107" spans="1:13" s="1" customFormat="1" ht="15.6" x14ac:dyDescent="0.3">
      <c r="A107" s="38">
        <v>140</v>
      </c>
      <c r="B107" s="38" t="s">
        <v>699</v>
      </c>
      <c r="C107" s="38" t="s">
        <v>954</v>
      </c>
      <c r="D107" s="92">
        <v>291004640438</v>
      </c>
      <c r="E107" s="103">
        <v>1004640438</v>
      </c>
      <c r="F107" s="103" t="s">
        <v>955</v>
      </c>
      <c r="G107" s="92" t="e">
        <f t="shared" si="2"/>
        <v>#REF!</v>
      </c>
      <c r="H107" s="94">
        <v>26790</v>
      </c>
      <c r="I107" s="98"/>
      <c r="J107" s="98"/>
      <c r="K107" s="38"/>
      <c r="L107" s="38"/>
      <c r="M107" s="38"/>
    </row>
    <row r="108" spans="1:13" s="1" customFormat="1" ht="15.6" x14ac:dyDescent="0.3">
      <c r="A108" s="38">
        <v>141</v>
      </c>
      <c r="B108" s="38" t="s">
        <v>705</v>
      </c>
      <c r="C108" s="38" t="s">
        <v>956</v>
      </c>
      <c r="D108" s="92">
        <v>80518486951</v>
      </c>
      <c r="E108" s="103" t="s">
        <v>957</v>
      </c>
      <c r="F108" s="103" t="s">
        <v>958</v>
      </c>
      <c r="G108" s="92" t="e">
        <f t="shared" si="2"/>
        <v>#REF!</v>
      </c>
      <c r="H108" s="94">
        <v>26259</v>
      </c>
      <c r="I108" s="98"/>
      <c r="J108" s="98"/>
      <c r="K108" s="38"/>
      <c r="L108" s="38"/>
      <c r="M108" s="38"/>
    </row>
    <row r="109" spans="1:13" s="1" customFormat="1" ht="15.6" x14ac:dyDescent="0.3">
      <c r="A109" s="38">
        <v>142</v>
      </c>
      <c r="B109" s="38" t="s">
        <v>699</v>
      </c>
      <c r="C109" s="38" t="s">
        <v>959</v>
      </c>
      <c r="D109" s="92">
        <v>81057377262</v>
      </c>
      <c r="E109" s="101">
        <v>1057377262</v>
      </c>
      <c r="F109" s="98" t="s">
        <v>960</v>
      </c>
      <c r="G109" s="92" t="e">
        <f t="shared" si="2"/>
        <v>#REF!</v>
      </c>
      <c r="H109" s="94">
        <v>28938</v>
      </c>
      <c r="I109" s="98" t="s">
        <v>793</v>
      </c>
      <c r="J109" s="98"/>
      <c r="K109" s="38"/>
      <c r="L109" s="38"/>
      <c r="M109" s="38"/>
    </row>
    <row r="110" spans="1:13" s="1" customFormat="1" ht="15.6" x14ac:dyDescent="0.3">
      <c r="A110" s="38">
        <v>143</v>
      </c>
      <c r="B110" s="38" t="s">
        <v>705</v>
      </c>
      <c r="C110" s="38" t="s">
        <v>961</v>
      </c>
      <c r="D110" s="92"/>
      <c r="E110" s="103"/>
      <c r="F110" s="103" t="s">
        <v>962</v>
      </c>
      <c r="G110" s="92" t="e">
        <f t="shared" si="2"/>
        <v>#REF!</v>
      </c>
      <c r="H110" s="94">
        <v>31846</v>
      </c>
      <c r="I110" s="98" t="s">
        <v>963</v>
      </c>
      <c r="J110" s="98"/>
      <c r="K110" s="38"/>
      <c r="L110" s="38"/>
      <c r="M110" s="38"/>
    </row>
    <row r="111" spans="1:13" s="1" customFormat="1" ht="15.6" x14ac:dyDescent="0.3">
      <c r="A111" s="38">
        <v>144</v>
      </c>
      <c r="B111" s="38" t="s">
        <v>699</v>
      </c>
      <c r="C111" s="38" t="s">
        <v>964</v>
      </c>
      <c r="D111" s="267">
        <v>281349513042</v>
      </c>
      <c r="E111" s="98">
        <v>1349513042</v>
      </c>
      <c r="F111" s="98" t="s">
        <v>965</v>
      </c>
      <c r="G111" s="101">
        <v>186282967</v>
      </c>
      <c r="H111" s="94">
        <v>31000</v>
      </c>
      <c r="I111" s="219">
        <v>46168</v>
      </c>
      <c r="J111" s="98"/>
      <c r="K111" s="38"/>
      <c r="L111" s="38"/>
      <c r="M111" s="38"/>
    </row>
    <row r="112" spans="1:13" s="1" customFormat="1" ht="15.75" customHeight="1" x14ac:dyDescent="0.3">
      <c r="A112" s="38">
        <v>145</v>
      </c>
      <c r="B112" s="38" t="s">
        <v>699</v>
      </c>
      <c r="C112" s="38" t="s">
        <v>966</v>
      </c>
      <c r="D112" s="38">
        <v>71021985315</v>
      </c>
      <c r="E112" s="98">
        <v>1021985315</v>
      </c>
      <c r="F112" s="98" t="s">
        <v>967</v>
      </c>
      <c r="G112" s="101">
        <v>186282967</v>
      </c>
      <c r="H112" s="94">
        <v>28920</v>
      </c>
      <c r="I112" s="98" t="s">
        <v>789</v>
      </c>
      <c r="J112" s="98"/>
      <c r="K112" s="38"/>
      <c r="L112" s="38"/>
      <c r="M112" s="38"/>
    </row>
    <row r="113" spans="1:10" s="1" customFormat="1" ht="15.75" customHeight="1" x14ac:dyDescent="0.3">
      <c r="A113" s="38">
        <v>146</v>
      </c>
      <c r="B113" s="38" t="s">
        <v>705</v>
      </c>
      <c r="C113" s="38" t="s">
        <v>968</v>
      </c>
      <c r="D113" s="92">
        <v>391018629084</v>
      </c>
      <c r="E113" s="103" t="s">
        <v>969</v>
      </c>
      <c r="F113" s="103" t="s">
        <v>970</v>
      </c>
      <c r="G113" s="101">
        <v>186282967</v>
      </c>
      <c r="H113" s="94">
        <v>31408</v>
      </c>
      <c r="I113" s="98"/>
      <c r="J113" s="98"/>
    </row>
    <row r="114" spans="1:10" s="1" customFormat="1" ht="15.6" x14ac:dyDescent="0.3">
      <c r="A114" s="38">
        <v>147</v>
      </c>
      <c r="B114" s="38" t="s">
        <v>705</v>
      </c>
      <c r="C114" s="38" t="s">
        <v>971</v>
      </c>
      <c r="D114" s="92"/>
      <c r="E114" s="103"/>
      <c r="F114" s="103" t="s">
        <v>972</v>
      </c>
      <c r="G114" s="101">
        <v>186282967</v>
      </c>
      <c r="H114" s="94">
        <v>26156</v>
      </c>
      <c r="I114" s="98" t="s">
        <v>963</v>
      </c>
      <c r="J114" s="98"/>
    </row>
    <row r="115" spans="1:10" s="1" customFormat="1" ht="15.6" x14ac:dyDescent="0.3">
      <c r="A115" s="38">
        <v>148</v>
      </c>
      <c r="B115" s="38" t="s">
        <v>705</v>
      </c>
      <c r="C115" s="38" t="s">
        <v>973</v>
      </c>
      <c r="D115" s="92"/>
      <c r="E115" s="103"/>
      <c r="F115" s="103" t="s">
        <v>974</v>
      </c>
      <c r="G115" s="101">
        <v>186282967</v>
      </c>
      <c r="H115" s="94">
        <v>33143</v>
      </c>
      <c r="I115" s="98" t="s">
        <v>963</v>
      </c>
      <c r="J115" s="98"/>
    </row>
    <row r="116" spans="1:10" s="1" customFormat="1" ht="15.6" x14ac:dyDescent="0.3">
      <c r="A116" s="38">
        <v>149</v>
      </c>
      <c r="B116" s="38" t="s">
        <v>705</v>
      </c>
      <c r="C116" s="38" t="s">
        <v>975</v>
      </c>
      <c r="D116" s="92"/>
      <c r="E116" s="103"/>
      <c r="F116" s="103" t="s">
        <v>976</v>
      </c>
      <c r="G116" s="101">
        <v>186282967</v>
      </c>
      <c r="H116" s="94">
        <v>33320</v>
      </c>
      <c r="I116" s="98" t="s">
        <v>963</v>
      </c>
      <c r="J116" s="98"/>
    </row>
    <row r="117" spans="1:10" s="1" customFormat="1" ht="15.6" x14ac:dyDescent="0.3">
      <c r="A117" s="38">
        <v>150</v>
      </c>
      <c r="B117" s="38" t="s">
        <v>705</v>
      </c>
      <c r="C117" s="38" t="s">
        <v>977</v>
      </c>
      <c r="D117" s="92"/>
      <c r="E117" s="103"/>
      <c r="F117" s="103" t="s">
        <v>978</v>
      </c>
      <c r="G117" s="101">
        <v>186282967</v>
      </c>
      <c r="H117" s="94">
        <v>34449</v>
      </c>
      <c r="I117" s="98" t="s">
        <v>963</v>
      </c>
      <c r="J117" s="98"/>
    </row>
    <row r="118" spans="1:10" s="1" customFormat="1" ht="15.6" x14ac:dyDescent="0.3">
      <c r="A118" s="38">
        <v>151</v>
      </c>
      <c r="B118" s="38"/>
      <c r="C118" s="38" t="s">
        <v>939</v>
      </c>
      <c r="D118" s="92" t="s">
        <v>979</v>
      </c>
      <c r="E118" s="103"/>
      <c r="F118" s="103"/>
      <c r="G118" s="97"/>
      <c r="H118" s="94"/>
      <c r="I118" s="98"/>
      <c r="J118" s="98"/>
    </row>
    <row r="119" spans="1:10" s="1" customFormat="1" ht="15.6" x14ac:dyDescent="0.3">
      <c r="A119" s="38">
        <v>152</v>
      </c>
      <c r="B119" s="38" t="s">
        <v>705</v>
      </c>
      <c r="C119" s="38" t="s">
        <v>980</v>
      </c>
      <c r="D119" s="92">
        <v>151034693391</v>
      </c>
      <c r="E119" s="101">
        <v>1034693391</v>
      </c>
      <c r="F119" s="103" t="s">
        <v>981</v>
      </c>
      <c r="G119" s="92" t="e">
        <f>G108</f>
        <v>#REF!</v>
      </c>
      <c r="H119" s="94">
        <v>30357</v>
      </c>
      <c r="I119" s="220">
        <v>79000375011994</v>
      </c>
      <c r="J119" s="98"/>
    </row>
    <row r="120" spans="1:10" s="1" customFormat="1" ht="15.6" x14ac:dyDescent="0.3">
      <c r="A120" s="38">
        <v>154</v>
      </c>
      <c r="B120" s="38" t="s">
        <v>699</v>
      </c>
      <c r="C120" s="38" t="s">
        <v>982</v>
      </c>
      <c r="D120" s="38">
        <v>81318184091</v>
      </c>
      <c r="E120" s="98">
        <v>1318184091</v>
      </c>
      <c r="F120" s="98" t="s">
        <v>983</v>
      </c>
      <c r="G120" s="101">
        <v>186282967</v>
      </c>
      <c r="H120" s="94">
        <v>32320</v>
      </c>
      <c r="I120" s="180"/>
      <c r="J120" s="98"/>
    </row>
    <row r="121" spans="1:10" s="1" customFormat="1" ht="15.6" x14ac:dyDescent="0.3">
      <c r="A121" s="38">
        <v>155</v>
      </c>
      <c r="B121" s="38" t="s">
        <v>699</v>
      </c>
      <c r="C121" s="38" t="s">
        <v>984</v>
      </c>
      <c r="D121" s="268" t="s">
        <v>985</v>
      </c>
      <c r="E121" s="101">
        <v>1155912892</v>
      </c>
      <c r="F121" s="103" t="s">
        <v>986</v>
      </c>
      <c r="G121" s="101">
        <v>186282967</v>
      </c>
      <c r="H121" s="94">
        <v>28748</v>
      </c>
      <c r="I121" s="98"/>
      <c r="J121" s="98"/>
    </row>
    <row r="122" spans="1:10" s="1" customFormat="1" ht="15.6" x14ac:dyDescent="0.3">
      <c r="A122" s="38">
        <v>157</v>
      </c>
      <c r="B122" s="38" t="s">
        <v>699</v>
      </c>
      <c r="C122" s="38" t="s">
        <v>987</v>
      </c>
      <c r="D122" s="92" t="s">
        <v>988</v>
      </c>
      <c r="E122" s="103" t="s">
        <v>989</v>
      </c>
      <c r="F122" s="103" t="s">
        <v>990</v>
      </c>
      <c r="G122" s="101">
        <v>186282967</v>
      </c>
      <c r="H122" s="94">
        <v>30943</v>
      </c>
      <c r="I122" s="180" t="s">
        <v>963</v>
      </c>
      <c r="J122" s="98" t="s">
        <v>712</v>
      </c>
    </row>
    <row r="123" spans="1:10" s="1" customFormat="1" ht="15.6" x14ac:dyDescent="0.3">
      <c r="A123" s="38">
        <v>160</v>
      </c>
      <c r="B123" s="38" t="s">
        <v>699</v>
      </c>
      <c r="C123" s="38" t="s">
        <v>991</v>
      </c>
      <c r="D123" s="92">
        <v>281266347767</v>
      </c>
      <c r="E123" s="98">
        <v>1266347767</v>
      </c>
      <c r="F123" s="98" t="s">
        <v>992</v>
      </c>
      <c r="G123" s="101">
        <v>186282967</v>
      </c>
      <c r="H123" s="94">
        <v>32131</v>
      </c>
      <c r="I123" s="98"/>
      <c r="J123" s="98"/>
    </row>
    <row r="124" spans="1:10" s="1" customFormat="1" ht="15.6" x14ac:dyDescent="0.3">
      <c r="A124" s="38">
        <v>161</v>
      </c>
      <c r="B124" s="38" t="s">
        <v>699</v>
      </c>
      <c r="C124" s="38" t="s">
        <v>993</v>
      </c>
      <c r="D124" s="92">
        <v>281028157500</v>
      </c>
      <c r="E124" s="98">
        <v>1028157500</v>
      </c>
      <c r="F124" s="98" t="s">
        <v>994</v>
      </c>
      <c r="G124" s="101">
        <v>186282967</v>
      </c>
      <c r="H124" s="94">
        <v>27695</v>
      </c>
      <c r="I124" s="98"/>
      <c r="J124" s="98"/>
    </row>
    <row r="125" spans="1:10" s="1" customFormat="1" ht="15.6" x14ac:dyDescent="0.3">
      <c r="A125" s="38">
        <v>163</v>
      </c>
      <c r="B125" s="38" t="s">
        <v>705</v>
      </c>
      <c r="C125" s="38" t="s">
        <v>995</v>
      </c>
      <c r="D125" s="92">
        <v>281124169716</v>
      </c>
      <c r="E125" s="98">
        <v>1124169716</v>
      </c>
      <c r="F125" s="98" t="s">
        <v>996</v>
      </c>
      <c r="G125" s="101">
        <v>186282967</v>
      </c>
      <c r="H125" s="94">
        <v>28777</v>
      </c>
      <c r="I125" s="180"/>
      <c r="J125" s="98" t="s">
        <v>712</v>
      </c>
    </row>
    <row r="126" spans="1:10" s="1" customFormat="1" ht="15.6" x14ac:dyDescent="0.3">
      <c r="A126" s="38">
        <v>164</v>
      </c>
      <c r="B126" s="38" t="s">
        <v>699</v>
      </c>
      <c r="C126" s="38" t="s">
        <v>997</v>
      </c>
      <c r="D126" s="38">
        <v>81185547002</v>
      </c>
      <c r="E126" s="98">
        <v>1185547002</v>
      </c>
      <c r="F126" s="98" t="s">
        <v>998</v>
      </c>
      <c r="G126" s="101">
        <v>186282967</v>
      </c>
      <c r="H126" s="94">
        <v>33188</v>
      </c>
      <c r="I126" s="98"/>
      <c r="J126" s="98"/>
    </row>
    <row r="127" spans="1:10" s="1" customFormat="1" ht="15.6" x14ac:dyDescent="0.3">
      <c r="A127" s="38">
        <v>165</v>
      </c>
      <c r="B127" s="38" t="s">
        <v>705</v>
      </c>
      <c r="C127" s="38" t="s">
        <v>999</v>
      </c>
      <c r="D127" s="38">
        <v>81114192081</v>
      </c>
      <c r="E127" s="98">
        <v>1114192081</v>
      </c>
      <c r="F127" s="98" t="s">
        <v>1000</v>
      </c>
      <c r="G127" s="98">
        <v>182521791</v>
      </c>
      <c r="H127" s="94">
        <v>31081</v>
      </c>
      <c r="I127" s="98"/>
      <c r="J127" s="98"/>
    </row>
    <row r="128" spans="1:10" s="1" customFormat="1" ht="15.6" x14ac:dyDescent="0.3">
      <c r="A128" s="38">
        <v>166</v>
      </c>
      <c r="B128" s="38" t="s">
        <v>699</v>
      </c>
      <c r="C128" s="38" t="s">
        <v>1001</v>
      </c>
      <c r="D128" s="38">
        <v>81055564271</v>
      </c>
      <c r="E128" s="98">
        <v>1055564271</v>
      </c>
      <c r="F128" s="98" t="s">
        <v>1002</v>
      </c>
      <c r="G128" s="98">
        <v>182521791</v>
      </c>
      <c r="H128" s="94">
        <v>28254</v>
      </c>
      <c r="I128" s="98"/>
      <c r="J128" s="98"/>
    </row>
    <row r="129" spans="1:11" s="1" customFormat="1" ht="15.6" x14ac:dyDescent="0.3">
      <c r="A129" s="38">
        <v>167</v>
      </c>
      <c r="B129" s="38" t="s">
        <v>705</v>
      </c>
      <c r="C129" s="38" t="s">
        <v>1003</v>
      </c>
      <c r="D129" s="38">
        <v>81141182333</v>
      </c>
      <c r="E129" s="98">
        <v>1141182333</v>
      </c>
      <c r="F129" s="98" t="s">
        <v>1004</v>
      </c>
      <c r="G129" s="101">
        <v>186282967</v>
      </c>
      <c r="H129" s="94">
        <v>24079</v>
      </c>
      <c r="I129" s="98"/>
      <c r="J129" s="98"/>
      <c r="K129" s="38"/>
    </row>
    <row r="130" spans="1:11" s="1" customFormat="1" ht="15.6" x14ac:dyDescent="0.3">
      <c r="A130" s="38">
        <v>168</v>
      </c>
      <c r="B130" s="38" t="s">
        <v>705</v>
      </c>
      <c r="C130" s="38" t="s">
        <v>1005</v>
      </c>
      <c r="D130" s="38">
        <v>81057852259</v>
      </c>
      <c r="E130" s="98">
        <v>1057852259</v>
      </c>
      <c r="F130" s="98" t="s">
        <v>1006</v>
      </c>
      <c r="G130" s="101">
        <v>186282967</v>
      </c>
      <c r="H130" s="94">
        <v>28111</v>
      </c>
      <c r="I130" s="98"/>
      <c r="J130" s="98"/>
      <c r="K130" s="38"/>
    </row>
    <row r="131" spans="1:11" s="1" customFormat="1" ht="15.6" x14ac:dyDescent="0.3">
      <c r="A131" s="38">
        <v>170</v>
      </c>
      <c r="B131" s="38" t="s">
        <v>699</v>
      </c>
      <c r="C131" s="38" t="s">
        <v>1007</v>
      </c>
      <c r="D131" s="38">
        <v>81156309582</v>
      </c>
      <c r="E131" s="98">
        <v>1156309582</v>
      </c>
      <c r="F131" s="98" t="s">
        <v>1008</v>
      </c>
      <c r="G131" s="101">
        <v>186282967</v>
      </c>
      <c r="H131" s="94">
        <v>32547</v>
      </c>
      <c r="I131" s="98"/>
      <c r="J131" s="98"/>
      <c r="K131" s="38"/>
    </row>
    <row r="132" spans="1:11" s="1" customFormat="1" ht="15.6" x14ac:dyDescent="0.3">
      <c r="A132" s="38">
        <v>172</v>
      </c>
      <c r="B132" s="38" t="s">
        <v>699</v>
      </c>
      <c r="C132" s="38" t="s">
        <v>1009</v>
      </c>
      <c r="D132" s="38">
        <v>81238428065</v>
      </c>
      <c r="E132" s="98">
        <v>1238428065</v>
      </c>
      <c r="F132" s="98" t="s">
        <v>1010</v>
      </c>
      <c r="G132" s="101">
        <v>186282967</v>
      </c>
      <c r="H132" s="94">
        <v>32199</v>
      </c>
      <c r="I132" s="180"/>
      <c r="J132" s="98"/>
      <c r="K132" s="38"/>
    </row>
    <row r="133" spans="1:11" s="1" customFormat="1" ht="15.6" x14ac:dyDescent="0.3">
      <c r="A133" s="38">
        <v>173</v>
      </c>
      <c r="B133" s="38" t="s">
        <v>705</v>
      </c>
      <c r="C133" s="38" t="s">
        <v>1011</v>
      </c>
      <c r="D133" s="38">
        <v>81199427904</v>
      </c>
      <c r="E133" s="98">
        <v>1199427904</v>
      </c>
      <c r="F133" s="98" t="s">
        <v>1012</v>
      </c>
      <c r="G133" s="101">
        <v>186282967</v>
      </c>
      <c r="H133" s="94">
        <v>32532</v>
      </c>
      <c r="I133" s="98"/>
      <c r="J133" s="98"/>
      <c r="K133" s="38"/>
    </row>
    <row r="134" spans="1:11" s="3" customFormat="1" ht="15.6" x14ac:dyDescent="0.3">
      <c r="A134" s="39">
        <v>174</v>
      </c>
      <c r="B134" s="39" t="s">
        <v>705</v>
      </c>
      <c r="C134" s="39" t="s">
        <v>1013</v>
      </c>
      <c r="D134" s="39">
        <v>81198161345</v>
      </c>
      <c r="E134" s="127">
        <v>1198161345</v>
      </c>
      <c r="F134" s="127" t="s">
        <v>1014</v>
      </c>
      <c r="G134" s="104">
        <v>182521791</v>
      </c>
      <c r="H134" s="96">
        <v>31574</v>
      </c>
      <c r="I134" s="127" t="s">
        <v>815</v>
      </c>
      <c r="J134" s="127"/>
      <c r="K134" s="39"/>
    </row>
    <row r="135" spans="1:11" s="1" customFormat="1" ht="15.6" x14ac:dyDescent="0.3">
      <c r="A135" s="38">
        <v>175</v>
      </c>
      <c r="B135" s="38" t="s">
        <v>699</v>
      </c>
      <c r="C135" s="38" t="s">
        <v>1015</v>
      </c>
      <c r="D135" s="38">
        <v>81001958940</v>
      </c>
      <c r="E135" s="98">
        <v>1001958940</v>
      </c>
      <c r="F135" s="98" t="s">
        <v>1016</v>
      </c>
      <c r="G135" s="101">
        <v>186282967</v>
      </c>
      <c r="H135" s="94">
        <v>26540</v>
      </c>
      <c r="I135" s="98"/>
      <c r="J135" s="98"/>
      <c r="K135" s="38"/>
    </row>
    <row r="136" spans="1:11" s="1" customFormat="1" ht="15.6" x14ac:dyDescent="0.3">
      <c r="A136" s="38">
        <v>176</v>
      </c>
      <c r="B136" s="38" t="s">
        <v>705</v>
      </c>
      <c r="C136" s="38" t="s">
        <v>1017</v>
      </c>
      <c r="D136" s="38">
        <v>81148787234</v>
      </c>
      <c r="E136" s="98">
        <v>1148787234</v>
      </c>
      <c r="F136" s="98" t="s">
        <v>1018</v>
      </c>
      <c r="G136" s="101">
        <v>186282967</v>
      </c>
      <c r="H136" s="94">
        <v>26208</v>
      </c>
      <c r="I136" s="98" t="s">
        <v>1019</v>
      </c>
      <c r="J136" s="98" t="s">
        <v>1020</v>
      </c>
      <c r="K136" s="38"/>
    </row>
    <row r="137" spans="1:11" s="1" customFormat="1" ht="15.6" x14ac:dyDescent="0.3">
      <c r="A137" s="38">
        <v>177</v>
      </c>
      <c r="B137" s="38" t="s">
        <v>699</v>
      </c>
      <c r="C137" s="38" t="s">
        <v>1021</v>
      </c>
      <c r="D137" s="38">
        <v>81311860402</v>
      </c>
      <c r="E137" s="98">
        <v>1311860402</v>
      </c>
      <c r="F137" s="98" t="s">
        <v>1022</v>
      </c>
      <c r="G137" s="101">
        <v>186282967</v>
      </c>
      <c r="H137" s="94">
        <v>29844</v>
      </c>
      <c r="I137" s="180"/>
      <c r="J137" s="98" t="s">
        <v>712</v>
      </c>
      <c r="K137" s="38"/>
    </row>
    <row r="138" spans="1:11" s="1" customFormat="1" ht="15.6" x14ac:dyDescent="0.3">
      <c r="A138" s="38">
        <v>178</v>
      </c>
      <c r="B138" s="38" t="s">
        <v>705</v>
      </c>
      <c r="C138" s="38" t="s">
        <v>1023</v>
      </c>
      <c r="D138" s="38">
        <v>80468530032</v>
      </c>
      <c r="E138" s="98">
        <v>468530032</v>
      </c>
      <c r="F138" s="98" t="s">
        <v>1024</v>
      </c>
      <c r="G138" s="101">
        <v>186282967</v>
      </c>
      <c r="H138" s="105">
        <v>22667</v>
      </c>
      <c r="I138" s="98"/>
      <c r="J138" s="98"/>
      <c r="K138" s="38"/>
    </row>
    <row r="139" spans="1:11" s="1" customFormat="1" ht="15.6" x14ac:dyDescent="0.3">
      <c r="A139" s="38">
        <v>179</v>
      </c>
      <c r="B139" s="38" t="s">
        <v>705</v>
      </c>
      <c r="C139" s="38" t="s">
        <v>1025</v>
      </c>
      <c r="D139" s="38">
        <v>81227131508</v>
      </c>
      <c r="E139" s="98">
        <v>1227131508</v>
      </c>
      <c r="F139" s="98" t="s">
        <v>1026</v>
      </c>
      <c r="G139" s="101">
        <v>186282967</v>
      </c>
      <c r="H139" s="94">
        <v>29060</v>
      </c>
      <c r="I139" s="220">
        <v>5</v>
      </c>
      <c r="J139" s="220">
        <v>6100523</v>
      </c>
      <c r="K139" s="29" t="s">
        <v>223</v>
      </c>
    </row>
    <row r="140" spans="1:11" s="1" customFormat="1" ht="15.6" x14ac:dyDescent="0.3">
      <c r="A140" s="38">
        <v>180</v>
      </c>
      <c r="B140" s="38" t="s">
        <v>699</v>
      </c>
      <c r="C140" s="38" t="s">
        <v>1027</v>
      </c>
      <c r="D140" s="38">
        <v>80544344929</v>
      </c>
      <c r="E140" s="98">
        <v>544344929</v>
      </c>
      <c r="F140" s="98" t="s">
        <v>1028</v>
      </c>
      <c r="G140" s="101">
        <v>186282967</v>
      </c>
      <c r="H140" s="94">
        <v>26710</v>
      </c>
      <c r="I140" s="220"/>
      <c r="J140" s="220"/>
      <c r="K140" s="29"/>
    </row>
    <row r="141" spans="1:11" s="1" customFormat="1" ht="15.6" x14ac:dyDescent="0.3">
      <c r="A141" s="38">
        <v>181</v>
      </c>
      <c r="B141" s="38" t="s">
        <v>705</v>
      </c>
      <c r="C141" s="38" t="s">
        <v>1029</v>
      </c>
      <c r="D141" s="267">
        <v>471012416710</v>
      </c>
      <c r="E141" s="98">
        <v>1012416710</v>
      </c>
      <c r="F141" s="98" t="s">
        <v>1030</v>
      </c>
      <c r="G141" s="101">
        <v>186282967</v>
      </c>
      <c r="H141" s="94">
        <v>31043</v>
      </c>
      <c r="I141" s="98"/>
      <c r="J141" s="98"/>
      <c r="K141" s="38"/>
    </row>
    <row r="142" spans="1:11" s="1" customFormat="1" ht="15.6" x14ac:dyDescent="0.3">
      <c r="A142" s="38">
        <v>182</v>
      </c>
      <c r="B142" s="38" t="s">
        <v>705</v>
      </c>
      <c r="C142" s="38" t="s">
        <v>1031</v>
      </c>
      <c r="D142" s="267">
        <v>471019270364</v>
      </c>
      <c r="E142" s="98">
        <v>1019270364</v>
      </c>
      <c r="F142" s="98" t="s">
        <v>1032</v>
      </c>
      <c r="G142" s="101">
        <v>186282967</v>
      </c>
      <c r="H142" s="94">
        <v>32855</v>
      </c>
      <c r="I142" s="98"/>
      <c r="J142" s="98"/>
      <c r="K142" s="38"/>
    </row>
    <row r="143" spans="1:11" s="1" customFormat="1" ht="15.6" x14ac:dyDescent="0.3">
      <c r="A143" s="38">
        <v>183</v>
      </c>
      <c r="B143" s="38" t="s">
        <v>705</v>
      </c>
      <c r="C143" s="38" t="s">
        <v>1033</v>
      </c>
      <c r="D143" s="267">
        <v>331040276150</v>
      </c>
      <c r="E143" s="98">
        <v>1040276150</v>
      </c>
      <c r="F143" s="98" t="s">
        <v>1034</v>
      </c>
      <c r="G143" s="101">
        <v>186282967</v>
      </c>
      <c r="H143" s="94">
        <v>32769</v>
      </c>
      <c r="I143" s="98"/>
      <c r="J143" s="98"/>
      <c r="K143" s="38"/>
    </row>
    <row r="144" spans="1:11" s="1" customFormat="1" ht="15.6" x14ac:dyDescent="0.3">
      <c r="A144" s="38">
        <v>184</v>
      </c>
      <c r="B144" s="38" t="s">
        <v>705</v>
      </c>
      <c r="C144" s="38" t="s">
        <v>1035</v>
      </c>
      <c r="D144" s="267">
        <v>331035762721</v>
      </c>
      <c r="E144" s="98">
        <v>1035762721</v>
      </c>
      <c r="F144" s="98" t="s">
        <v>1036</v>
      </c>
      <c r="G144" s="101">
        <v>186282967</v>
      </c>
      <c r="H144" s="94">
        <v>31786</v>
      </c>
      <c r="I144" s="98"/>
      <c r="J144" s="98"/>
      <c r="K144" s="38"/>
    </row>
    <row r="145" spans="1:13" s="1" customFormat="1" ht="15.6" x14ac:dyDescent="0.3">
      <c r="A145" s="38">
        <v>185</v>
      </c>
      <c r="B145" s="38" t="s">
        <v>699</v>
      </c>
      <c r="C145" s="38" t="s">
        <v>1037</v>
      </c>
      <c r="D145" s="267">
        <v>81096037523</v>
      </c>
      <c r="E145" s="98">
        <v>1096037523</v>
      </c>
      <c r="F145" s="98" t="s">
        <v>1038</v>
      </c>
      <c r="G145" s="101">
        <v>186282967</v>
      </c>
      <c r="H145" s="94">
        <v>29906</v>
      </c>
      <c r="I145" s="221"/>
      <c r="J145" s="98"/>
      <c r="K145" s="38"/>
      <c r="L145" s="38"/>
      <c r="M145" s="38"/>
    </row>
    <row r="146" spans="1:13" s="1" customFormat="1" ht="15.6" x14ac:dyDescent="0.3">
      <c r="A146" s="38">
        <v>186</v>
      </c>
      <c r="B146" s="38" t="s">
        <v>705</v>
      </c>
      <c r="C146" s="38" t="s">
        <v>1039</v>
      </c>
      <c r="D146" s="267">
        <v>81144874595</v>
      </c>
      <c r="E146" s="98">
        <v>1144874595</v>
      </c>
      <c r="F146" s="98" t="s">
        <v>1040</v>
      </c>
      <c r="G146" s="101">
        <v>186282967</v>
      </c>
      <c r="H146" s="94">
        <v>31538</v>
      </c>
      <c r="I146" s="98"/>
      <c r="J146" s="98"/>
      <c r="K146" s="38"/>
      <c r="L146" s="38"/>
      <c r="M146" s="38"/>
    </row>
    <row r="147" spans="1:13" s="1" customFormat="1" ht="15.6" x14ac:dyDescent="0.3">
      <c r="A147" s="38">
        <v>187</v>
      </c>
      <c r="B147" s="38" t="s">
        <v>699</v>
      </c>
      <c r="C147" s="38" t="s">
        <v>1041</v>
      </c>
      <c r="D147" s="267">
        <v>81109982685</v>
      </c>
      <c r="E147" s="98">
        <v>1109982685</v>
      </c>
      <c r="F147" s="98" t="s">
        <v>1042</v>
      </c>
      <c r="G147" s="101">
        <v>186282967</v>
      </c>
      <c r="H147" s="94">
        <v>31201</v>
      </c>
      <c r="I147" s="98"/>
      <c r="J147" s="98"/>
      <c r="K147" s="38"/>
      <c r="L147" s="38"/>
      <c r="M147" s="38"/>
    </row>
    <row r="148" spans="1:13" s="1" customFormat="1" ht="15.6" x14ac:dyDescent="0.3">
      <c r="A148" s="38">
        <v>188</v>
      </c>
      <c r="B148" s="38" t="s">
        <v>699</v>
      </c>
      <c r="C148" s="38" t="s">
        <v>1043</v>
      </c>
      <c r="D148" s="267">
        <v>430057042333</v>
      </c>
      <c r="E148" s="103" t="s">
        <v>1044</v>
      </c>
      <c r="F148" s="98" t="s">
        <v>1045</v>
      </c>
      <c r="G148" s="101">
        <v>186282967</v>
      </c>
      <c r="H148" s="94">
        <v>26594</v>
      </c>
      <c r="I148" s="98"/>
      <c r="J148" s="98"/>
      <c r="K148" s="38"/>
      <c r="L148" s="38"/>
      <c r="M148" s="38"/>
    </row>
    <row r="149" spans="1:13" s="1" customFormat="1" ht="15.6" x14ac:dyDescent="0.3">
      <c r="A149" s="38">
        <v>189</v>
      </c>
      <c r="B149" s="38" t="s">
        <v>699</v>
      </c>
      <c r="C149" s="38" t="s">
        <v>1046</v>
      </c>
      <c r="D149" s="267">
        <v>81182405818</v>
      </c>
      <c r="E149" s="98">
        <v>1182405818</v>
      </c>
      <c r="F149" s="98" t="s">
        <v>1047</v>
      </c>
      <c r="G149" s="101">
        <v>186282967</v>
      </c>
      <c r="H149" s="94">
        <v>33430</v>
      </c>
      <c r="I149" s="98"/>
      <c r="J149" s="98"/>
      <c r="K149" s="38"/>
      <c r="L149" s="38"/>
      <c r="M149" s="38"/>
    </row>
    <row r="150" spans="1:13" s="1" customFormat="1" ht="15.6" x14ac:dyDescent="0.3">
      <c r="A150" s="38">
        <v>190</v>
      </c>
      <c r="B150" s="38" t="s">
        <v>699</v>
      </c>
      <c r="C150" s="38" t="s">
        <v>1048</v>
      </c>
      <c r="D150" s="267">
        <v>171012253118</v>
      </c>
      <c r="E150" s="98">
        <v>1012253118</v>
      </c>
      <c r="F150" s="98" t="s">
        <v>1049</v>
      </c>
      <c r="G150" s="101">
        <v>186282967</v>
      </c>
      <c r="H150" s="94">
        <v>28598</v>
      </c>
      <c r="I150" s="98"/>
      <c r="J150" s="98"/>
      <c r="K150" s="38"/>
      <c r="L150" s="38"/>
      <c r="M150" s="38"/>
    </row>
    <row r="151" spans="1:13" s="1" customFormat="1" ht="15.6" x14ac:dyDescent="0.3">
      <c r="A151" s="38">
        <v>191</v>
      </c>
      <c r="B151" s="38" t="s">
        <v>705</v>
      </c>
      <c r="C151" s="38" t="s">
        <v>1050</v>
      </c>
      <c r="D151" s="267">
        <v>81171953258</v>
      </c>
      <c r="E151" s="98">
        <v>1171953258</v>
      </c>
      <c r="F151" s="98" t="s">
        <v>1051</v>
      </c>
      <c r="G151" s="101">
        <v>186282967</v>
      </c>
      <c r="H151" s="94">
        <v>28388</v>
      </c>
      <c r="I151" s="180"/>
      <c r="J151" s="98"/>
      <c r="K151" s="38"/>
      <c r="L151" s="38"/>
      <c r="M151" s="38"/>
    </row>
    <row r="152" spans="1:13" s="1" customFormat="1" ht="15.6" x14ac:dyDescent="0.3">
      <c r="A152" s="38">
        <v>192</v>
      </c>
      <c r="B152" s="38" t="s">
        <v>705</v>
      </c>
      <c r="C152" s="38" t="s">
        <v>1052</v>
      </c>
      <c r="D152" s="267">
        <v>80506300620</v>
      </c>
      <c r="E152" s="98">
        <v>506300620</v>
      </c>
      <c r="F152" s="98" t="s">
        <v>1053</v>
      </c>
      <c r="G152" s="101">
        <v>186282967</v>
      </c>
      <c r="H152" s="94">
        <v>26563</v>
      </c>
      <c r="I152" s="98"/>
      <c r="J152" s="98"/>
      <c r="K152" s="38"/>
      <c r="L152" s="38"/>
      <c r="M152" s="38"/>
    </row>
    <row r="153" spans="1:13" s="1" customFormat="1" ht="15.6" x14ac:dyDescent="0.3">
      <c r="A153" s="38">
        <v>193</v>
      </c>
      <c r="B153" s="38" t="s">
        <v>705</v>
      </c>
      <c r="C153" s="38" t="s">
        <v>1054</v>
      </c>
      <c r="D153" s="267">
        <v>81070245526</v>
      </c>
      <c r="E153" s="98">
        <v>1070245526</v>
      </c>
      <c r="F153" s="98" t="s">
        <v>1055</v>
      </c>
      <c r="G153" s="101">
        <v>186282967</v>
      </c>
      <c r="H153" s="94">
        <v>30099</v>
      </c>
      <c r="I153" s="98"/>
      <c r="J153" s="98"/>
      <c r="K153" s="38"/>
      <c r="L153" s="38"/>
      <c r="M153" s="38"/>
    </row>
    <row r="154" spans="1:13" s="1" customFormat="1" ht="15.6" x14ac:dyDescent="0.3">
      <c r="A154" s="38">
        <v>194</v>
      </c>
      <c r="B154" s="38" t="s">
        <v>699</v>
      </c>
      <c r="C154" s="38" t="s">
        <v>1056</v>
      </c>
      <c r="D154" s="267">
        <v>81185708363</v>
      </c>
      <c r="E154" s="98">
        <v>1185708363</v>
      </c>
      <c r="F154" s="98" t="s">
        <v>1057</v>
      </c>
      <c r="G154" s="101">
        <v>186282967</v>
      </c>
      <c r="H154" s="94">
        <v>33582</v>
      </c>
      <c r="I154" s="98"/>
      <c r="J154" s="98"/>
      <c r="K154" s="38"/>
      <c r="L154" s="38"/>
      <c r="M154" s="38"/>
    </row>
    <row r="155" spans="1:13" s="1" customFormat="1" ht="15.6" x14ac:dyDescent="0.3">
      <c r="A155" s="38">
        <v>195</v>
      </c>
      <c r="B155" s="38" t="s">
        <v>699</v>
      </c>
      <c r="C155" s="38" t="s">
        <v>1058</v>
      </c>
      <c r="D155" s="267">
        <v>81259364204</v>
      </c>
      <c r="E155" s="98">
        <v>1259364204</v>
      </c>
      <c r="F155" s="98" t="s">
        <v>1059</v>
      </c>
      <c r="G155" s="101">
        <v>186282967</v>
      </c>
      <c r="H155" s="94">
        <v>34334</v>
      </c>
      <c r="I155" s="98"/>
      <c r="J155" s="98"/>
      <c r="K155" s="38"/>
      <c r="L155" s="38"/>
      <c r="M155" s="38"/>
    </row>
    <row r="156" spans="1:13" s="1" customFormat="1" ht="15.6" x14ac:dyDescent="0.3">
      <c r="A156" s="38">
        <v>196</v>
      </c>
      <c r="B156" s="38" t="s">
        <v>705</v>
      </c>
      <c r="C156" s="38" t="s">
        <v>1060</v>
      </c>
      <c r="D156" s="267">
        <v>431032405040</v>
      </c>
      <c r="E156" s="98">
        <v>1032405040</v>
      </c>
      <c r="F156" s="98" t="s">
        <v>1061</v>
      </c>
      <c r="G156" s="101">
        <v>186282967</v>
      </c>
      <c r="H156" s="94">
        <v>33337</v>
      </c>
      <c r="I156" s="98"/>
      <c r="J156" s="98"/>
      <c r="K156" s="38"/>
      <c r="L156" s="38"/>
      <c r="M156" s="38"/>
    </row>
    <row r="157" spans="1:13" s="1" customFormat="1" ht="15.6" x14ac:dyDescent="0.3">
      <c r="A157" s="38">
        <v>197</v>
      </c>
      <c r="B157" s="38" t="s">
        <v>699</v>
      </c>
      <c r="C157" s="38" t="s">
        <v>1062</v>
      </c>
      <c r="D157" s="267">
        <v>81150983676</v>
      </c>
      <c r="E157" s="98">
        <v>1150983676</v>
      </c>
      <c r="F157" s="98" t="s">
        <v>1063</v>
      </c>
      <c r="G157" s="101">
        <v>186282967</v>
      </c>
      <c r="H157" s="94">
        <v>32424</v>
      </c>
      <c r="I157" s="98"/>
      <c r="J157" s="98"/>
      <c r="K157" s="38"/>
      <c r="L157" s="38"/>
      <c r="M157" s="38"/>
    </row>
    <row r="158" spans="1:13" s="1" customFormat="1" ht="15.6" x14ac:dyDescent="0.3">
      <c r="A158" s="38">
        <v>198</v>
      </c>
      <c r="B158" s="38" t="s">
        <v>699</v>
      </c>
      <c r="C158" s="38" t="s">
        <v>1064</v>
      </c>
      <c r="D158" s="267">
        <v>81131858209</v>
      </c>
      <c r="E158" s="98">
        <v>1131858209</v>
      </c>
      <c r="F158" s="98" t="s">
        <v>1065</v>
      </c>
      <c r="G158" s="101">
        <v>186282967</v>
      </c>
      <c r="H158" s="94">
        <v>31611</v>
      </c>
      <c r="I158" s="98"/>
      <c r="J158" s="98"/>
      <c r="K158" s="38"/>
      <c r="L158" s="38"/>
      <c r="M158" s="38"/>
    </row>
    <row r="159" spans="1:13" s="1" customFormat="1" ht="15.6" x14ac:dyDescent="0.3">
      <c r="A159" s="38">
        <v>199</v>
      </c>
      <c r="B159" s="38" t="s">
        <v>699</v>
      </c>
      <c r="C159" s="38" t="s">
        <v>1066</v>
      </c>
      <c r="D159" s="267">
        <v>81065898209</v>
      </c>
      <c r="E159" s="98">
        <v>1065898209</v>
      </c>
      <c r="F159" s="98" t="s">
        <v>480</v>
      </c>
      <c r="G159" s="101">
        <v>186282967</v>
      </c>
      <c r="H159" s="94">
        <v>26678</v>
      </c>
      <c r="I159" s="98"/>
      <c r="J159" s="98"/>
      <c r="K159" s="38"/>
      <c r="L159" s="38"/>
      <c r="M159" s="38"/>
    </row>
    <row r="160" spans="1:13" s="1" customFormat="1" ht="15.6" x14ac:dyDescent="0.3">
      <c r="A160" s="38">
        <v>200</v>
      </c>
      <c r="B160" s="38" t="s">
        <v>699</v>
      </c>
      <c r="C160" s="38" t="s">
        <v>1067</v>
      </c>
      <c r="D160" s="267">
        <v>481038593859</v>
      </c>
      <c r="E160" s="98">
        <v>1038593859</v>
      </c>
      <c r="F160" s="98" t="s">
        <v>1068</v>
      </c>
      <c r="G160" s="101">
        <v>186282967</v>
      </c>
      <c r="H160" s="94">
        <v>33710</v>
      </c>
      <c r="I160" s="98"/>
      <c r="J160" s="98"/>
      <c r="K160" s="38"/>
      <c r="L160" s="38"/>
      <c r="M160" s="38"/>
    </row>
    <row r="161" spans="1:10" s="1" customFormat="1" ht="15.6" x14ac:dyDescent="0.3">
      <c r="A161" s="38">
        <v>201</v>
      </c>
      <c r="B161" s="38" t="s">
        <v>705</v>
      </c>
      <c r="C161" s="38" t="s">
        <v>1069</v>
      </c>
      <c r="D161" s="267">
        <v>81095568990</v>
      </c>
      <c r="E161" s="98">
        <v>1095568990</v>
      </c>
      <c r="F161" s="98" t="s">
        <v>1070</v>
      </c>
      <c r="G161" s="101">
        <v>186282967</v>
      </c>
      <c r="H161" s="94">
        <v>30213</v>
      </c>
      <c r="I161" s="98"/>
      <c r="J161" s="98"/>
    </row>
    <row r="162" spans="1:10" s="1" customFormat="1" ht="15.6" x14ac:dyDescent="0.3">
      <c r="A162" s="38">
        <v>202</v>
      </c>
      <c r="B162" s="38" t="s">
        <v>699</v>
      </c>
      <c r="C162" s="38" t="s">
        <v>1071</v>
      </c>
      <c r="D162" s="267">
        <v>481038592344</v>
      </c>
      <c r="E162" s="98">
        <v>1038592344</v>
      </c>
      <c r="F162" s="98" t="s">
        <v>1072</v>
      </c>
      <c r="G162" s="101">
        <v>186282967</v>
      </c>
      <c r="H162" s="94">
        <v>33836</v>
      </c>
      <c r="I162" s="98"/>
      <c r="J162" s="98"/>
    </row>
    <row r="163" spans="1:10" s="1" customFormat="1" ht="15.6" x14ac:dyDescent="0.3">
      <c r="A163" s="38">
        <v>203</v>
      </c>
      <c r="B163" s="38" t="s">
        <v>705</v>
      </c>
      <c r="C163" s="38" t="s">
        <v>1073</v>
      </c>
      <c r="D163" s="267">
        <v>481051071800</v>
      </c>
      <c r="E163" s="98">
        <v>1051071800</v>
      </c>
      <c r="F163" s="98" t="s">
        <v>1074</v>
      </c>
      <c r="G163" s="101">
        <v>186282967</v>
      </c>
      <c r="H163" s="94">
        <v>35025</v>
      </c>
      <c r="I163" s="98"/>
      <c r="J163" s="98"/>
    </row>
    <row r="164" spans="1:10" s="1" customFormat="1" ht="15.6" x14ac:dyDescent="0.3">
      <c r="A164" s="38">
        <v>204</v>
      </c>
      <c r="B164" s="38" t="s">
        <v>705</v>
      </c>
      <c r="C164" s="38" t="s">
        <v>1075</v>
      </c>
      <c r="D164" s="267">
        <v>81301091479</v>
      </c>
      <c r="E164" s="98">
        <v>1301091479</v>
      </c>
      <c r="F164" s="98" t="s">
        <v>1076</v>
      </c>
      <c r="G164" s="101">
        <v>186282967</v>
      </c>
      <c r="H164" s="94">
        <v>34072</v>
      </c>
      <c r="I164" s="98"/>
      <c r="J164" s="98"/>
    </row>
    <row r="165" spans="1:10" s="1" customFormat="1" ht="15.6" x14ac:dyDescent="0.3">
      <c r="A165" s="38">
        <v>205</v>
      </c>
      <c r="B165" s="38" t="s">
        <v>705</v>
      </c>
      <c r="C165" s="38" t="s">
        <v>1077</v>
      </c>
      <c r="D165" s="267">
        <v>481053529940</v>
      </c>
      <c r="E165" s="98">
        <v>1053529940</v>
      </c>
      <c r="F165" s="98" t="s">
        <v>1078</v>
      </c>
      <c r="G165" s="101">
        <v>186282967</v>
      </c>
      <c r="H165" s="94">
        <v>35353</v>
      </c>
      <c r="I165" s="98"/>
      <c r="J165" s="98"/>
    </row>
    <row r="166" spans="1:10" s="1" customFormat="1" ht="15.6" x14ac:dyDescent="0.3">
      <c r="A166" s="38">
        <v>206</v>
      </c>
      <c r="B166" s="38" t="s">
        <v>699</v>
      </c>
      <c r="C166" s="38" t="s">
        <v>1079</v>
      </c>
      <c r="D166" s="267">
        <v>481038592849</v>
      </c>
      <c r="E166" s="98">
        <v>1038592849</v>
      </c>
      <c r="F166" s="98" t="s">
        <v>1080</v>
      </c>
      <c r="G166" s="101">
        <v>186282967</v>
      </c>
      <c r="H166" s="94">
        <v>33944</v>
      </c>
      <c r="I166" s="98"/>
      <c r="J166" s="98"/>
    </row>
    <row r="167" spans="1:10" s="1" customFormat="1" ht="15.6" x14ac:dyDescent="0.3">
      <c r="A167" s="38">
        <v>207</v>
      </c>
      <c r="B167" s="38" t="s">
        <v>699</v>
      </c>
      <c r="C167" s="38" t="s">
        <v>1081</v>
      </c>
      <c r="D167" s="267">
        <v>501015286747</v>
      </c>
      <c r="E167" s="98">
        <v>1015286747</v>
      </c>
      <c r="F167" s="98" t="s">
        <v>1082</v>
      </c>
      <c r="G167" s="101">
        <v>186282967</v>
      </c>
      <c r="H167" s="94">
        <v>30275</v>
      </c>
      <c r="I167" s="98"/>
      <c r="J167" s="98"/>
    </row>
    <row r="168" spans="1:10" s="1" customFormat="1" ht="15.6" x14ac:dyDescent="0.3">
      <c r="A168" s="38">
        <v>208</v>
      </c>
      <c r="B168" s="38" t="s">
        <v>699</v>
      </c>
      <c r="C168" s="38" t="s">
        <v>1083</v>
      </c>
      <c r="D168" s="267">
        <v>281132099565</v>
      </c>
      <c r="E168" s="98">
        <v>1132099565</v>
      </c>
      <c r="F168" s="98" t="s">
        <v>1084</v>
      </c>
      <c r="G168" s="101">
        <v>186282967</v>
      </c>
      <c r="H168" s="94">
        <v>33986</v>
      </c>
      <c r="I168" s="98"/>
      <c r="J168" s="98"/>
    </row>
    <row r="169" spans="1:10" s="1" customFormat="1" ht="15.6" x14ac:dyDescent="0.3">
      <c r="A169" s="38">
        <v>209</v>
      </c>
      <c r="B169" s="38" t="s">
        <v>699</v>
      </c>
      <c r="C169" s="38" t="s">
        <v>1085</v>
      </c>
      <c r="D169" s="267">
        <v>280465093166</v>
      </c>
      <c r="E169" s="98">
        <v>465093166</v>
      </c>
      <c r="F169" s="98" t="s">
        <v>1086</v>
      </c>
      <c r="G169" s="101">
        <v>186282967</v>
      </c>
      <c r="H169" s="94">
        <v>26449</v>
      </c>
      <c r="I169" s="98"/>
      <c r="J169" s="98"/>
    </row>
    <row r="170" spans="1:10" s="1" customFormat="1" ht="15.6" x14ac:dyDescent="0.3">
      <c r="A170" s="38">
        <v>210</v>
      </c>
      <c r="B170" s="38" t="s">
        <v>705</v>
      </c>
      <c r="C170" s="38" t="s">
        <v>1087</v>
      </c>
      <c r="D170" s="267">
        <v>81304348861</v>
      </c>
      <c r="E170" s="98">
        <v>1304348861</v>
      </c>
      <c r="F170" s="98" t="s">
        <v>1088</v>
      </c>
      <c r="G170" s="101">
        <v>186282967</v>
      </c>
      <c r="H170" s="94">
        <v>29672</v>
      </c>
      <c r="I170" s="180"/>
      <c r="J170" s="98"/>
    </row>
    <row r="171" spans="1:10" s="1" customFormat="1" ht="15.6" x14ac:dyDescent="0.3">
      <c r="A171" s="38">
        <v>211</v>
      </c>
      <c r="B171" s="38" t="s">
        <v>699</v>
      </c>
      <c r="C171" s="38" t="s">
        <v>1089</v>
      </c>
      <c r="D171" s="267">
        <v>281225001216</v>
      </c>
      <c r="E171" s="98">
        <v>1225001216</v>
      </c>
      <c r="F171" s="98" t="s">
        <v>1090</v>
      </c>
      <c r="G171" s="101">
        <v>186282967</v>
      </c>
      <c r="H171" s="94">
        <v>32325</v>
      </c>
      <c r="I171" s="98"/>
      <c r="J171" s="98"/>
    </row>
    <row r="172" spans="1:10" s="1" customFormat="1" ht="15.6" x14ac:dyDescent="0.3">
      <c r="A172" s="38">
        <v>212</v>
      </c>
      <c r="B172" s="38" t="s">
        <v>699</v>
      </c>
      <c r="C172" s="38" t="s">
        <v>1091</v>
      </c>
      <c r="D172" s="267">
        <v>281020242300</v>
      </c>
      <c r="E172" s="98">
        <v>1020242300</v>
      </c>
      <c r="F172" s="98" t="s">
        <v>1092</v>
      </c>
      <c r="G172" s="101">
        <v>186282967</v>
      </c>
      <c r="H172" s="94">
        <v>26525</v>
      </c>
      <c r="I172" s="98"/>
      <c r="J172" s="98"/>
    </row>
    <row r="173" spans="1:10" s="1" customFormat="1" ht="15.6" x14ac:dyDescent="0.3">
      <c r="A173" s="38">
        <v>213</v>
      </c>
      <c r="B173" s="38" t="s">
        <v>699</v>
      </c>
      <c r="C173" s="38" t="s">
        <v>1093</v>
      </c>
      <c r="D173" s="267">
        <v>281133833643</v>
      </c>
      <c r="E173" s="98">
        <v>1133833643</v>
      </c>
      <c r="F173" s="98" t="s">
        <v>1094</v>
      </c>
      <c r="G173" s="101">
        <v>186282967</v>
      </c>
      <c r="H173" s="94">
        <v>30322</v>
      </c>
      <c r="I173" s="98"/>
      <c r="J173" s="98"/>
    </row>
    <row r="174" spans="1:10" s="1" customFormat="1" ht="15.6" x14ac:dyDescent="0.3">
      <c r="A174" s="38">
        <v>214</v>
      </c>
      <c r="B174" s="38" t="s">
        <v>705</v>
      </c>
      <c r="C174" s="38" t="s">
        <v>1095</v>
      </c>
      <c r="D174" s="267">
        <v>81111948250</v>
      </c>
      <c r="E174" s="98">
        <v>1111948250</v>
      </c>
      <c r="F174" s="98" t="s">
        <v>1096</v>
      </c>
      <c r="G174" s="101">
        <v>186282967</v>
      </c>
      <c r="H174" s="94">
        <v>31003</v>
      </c>
      <c r="I174" s="98"/>
      <c r="J174" s="98"/>
    </row>
    <row r="175" spans="1:10" s="1" customFormat="1" ht="15.6" x14ac:dyDescent="0.3">
      <c r="A175" s="38">
        <v>215</v>
      </c>
      <c r="B175" s="38" t="s">
        <v>699</v>
      </c>
      <c r="C175" s="38" t="s">
        <v>1097</v>
      </c>
      <c r="D175" s="267">
        <v>81203415412</v>
      </c>
      <c r="E175" s="98">
        <v>1203415412</v>
      </c>
      <c r="F175" s="98" t="s">
        <v>1098</v>
      </c>
      <c r="G175" s="101">
        <v>186282967</v>
      </c>
      <c r="H175" s="94">
        <v>34023</v>
      </c>
      <c r="I175" s="98"/>
      <c r="J175" s="98"/>
    </row>
    <row r="176" spans="1:10" s="1" customFormat="1" ht="15.6" x14ac:dyDescent="0.3">
      <c r="A176" s="38">
        <v>216</v>
      </c>
      <c r="B176" s="38" t="s">
        <v>699</v>
      </c>
      <c r="C176" s="38" t="s">
        <v>1099</v>
      </c>
      <c r="D176" s="267">
        <v>81283371401</v>
      </c>
      <c r="E176" s="98">
        <v>1283371401</v>
      </c>
      <c r="F176" s="98" t="s">
        <v>1100</v>
      </c>
      <c r="G176" s="101">
        <v>186282967</v>
      </c>
      <c r="H176" s="94">
        <v>29732</v>
      </c>
      <c r="I176" s="180"/>
      <c r="J176" s="98"/>
    </row>
    <row r="177" spans="1:13" s="1" customFormat="1" ht="15.6" x14ac:dyDescent="0.3">
      <c r="A177" s="38">
        <v>217</v>
      </c>
      <c r="B177" s="38" t="s">
        <v>699</v>
      </c>
      <c r="C177" s="38" t="s">
        <v>1101</v>
      </c>
      <c r="D177" s="267">
        <v>351031178225</v>
      </c>
      <c r="E177" s="98">
        <v>1031178225</v>
      </c>
      <c r="F177" s="98" t="s">
        <v>1102</v>
      </c>
      <c r="G177" s="101">
        <v>186282967</v>
      </c>
      <c r="H177" s="94">
        <v>30968</v>
      </c>
      <c r="I177" s="180"/>
      <c r="J177" s="98"/>
      <c r="K177" s="38"/>
      <c r="L177" s="38"/>
      <c r="M177" s="38"/>
    </row>
    <row r="178" spans="1:13" s="1" customFormat="1" ht="15.6" x14ac:dyDescent="0.3">
      <c r="A178" s="38">
        <v>218</v>
      </c>
      <c r="B178" s="38" t="s">
        <v>699</v>
      </c>
      <c r="C178" s="38" t="s">
        <v>1103</v>
      </c>
      <c r="D178" s="267">
        <v>431017474114</v>
      </c>
      <c r="E178" s="98">
        <v>1017474114</v>
      </c>
      <c r="F178" s="98" t="s">
        <v>1104</v>
      </c>
      <c r="G178" s="101">
        <v>186282967</v>
      </c>
      <c r="H178" s="94">
        <v>28037</v>
      </c>
      <c r="I178" s="98"/>
      <c r="J178" s="98"/>
      <c r="K178" s="38"/>
      <c r="L178" s="38"/>
      <c r="M178" s="38"/>
    </row>
    <row r="179" spans="1:13" s="1" customFormat="1" ht="15.6" x14ac:dyDescent="0.3">
      <c r="A179" s="38">
        <v>219</v>
      </c>
      <c r="B179" s="38" t="s">
        <v>705</v>
      </c>
      <c r="C179" s="38" t="s">
        <v>1105</v>
      </c>
      <c r="D179" s="267">
        <v>351019875200</v>
      </c>
      <c r="E179" s="98">
        <v>1019875200</v>
      </c>
      <c r="F179" s="98" t="s">
        <v>1106</v>
      </c>
      <c r="G179" s="101">
        <v>186282967</v>
      </c>
      <c r="H179" s="94">
        <v>28582</v>
      </c>
      <c r="I179" s="180"/>
      <c r="J179" s="98"/>
      <c r="K179" s="38"/>
      <c r="L179" s="38"/>
      <c r="M179" s="38"/>
    </row>
    <row r="180" spans="1:13" s="1" customFormat="1" ht="15.6" x14ac:dyDescent="0.3">
      <c r="A180" s="38">
        <v>220</v>
      </c>
      <c r="B180" s="38" t="s">
        <v>705</v>
      </c>
      <c r="C180" s="38" t="s">
        <v>1107</v>
      </c>
      <c r="D180" s="267">
        <v>81140474839</v>
      </c>
      <c r="E180" s="98">
        <v>1140474839</v>
      </c>
      <c r="F180" s="98" t="s">
        <v>1108</v>
      </c>
      <c r="G180" s="101">
        <v>186282967</v>
      </c>
      <c r="H180" s="94">
        <v>32065</v>
      </c>
      <c r="I180" s="98"/>
      <c r="J180" s="98"/>
      <c r="K180" s="38"/>
      <c r="L180" s="38"/>
      <c r="M180" s="38"/>
    </row>
    <row r="181" spans="1:13" s="1" customFormat="1" ht="15.6" x14ac:dyDescent="0.3">
      <c r="A181" s="38">
        <v>222</v>
      </c>
      <c r="B181" s="38" t="s">
        <v>705</v>
      </c>
      <c r="C181" s="38" t="s">
        <v>1109</v>
      </c>
      <c r="D181" s="267">
        <v>81160084195</v>
      </c>
      <c r="E181" s="98">
        <v>1160084195</v>
      </c>
      <c r="F181" s="98" t="s">
        <v>1110</v>
      </c>
      <c r="G181" s="101">
        <v>186282967</v>
      </c>
      <c r="H181" s="94">
        <v>28650</v>
      </c>
      <c r="I181" s="98"/>
      <c r="J181" s="98"/>
      <c r="K181" s="38"/>
      <c r="L181" s="38"/>
      <c r="M181" s="38"/>
    </row>
    <row r="182" spans="1:13" s="1" customFormat="1" ht="15.6" x14ac:dyDescent="0.3">
      <c r="A182" s="38">
        <v>223</v>
      </c>
      <c r="B182" s="38" t="s">
        <v>705</v>
      </c>
      <c r="C182" s="38" t="s">
        <v>1111</v>
      </c>
      <c r="D182" s="267">
        <v>81171271531</v>
      </c>
      <c r="E182" s="98">
        <v>1171271531</v>
      </c>
      <c r="F182" s="98" t="s">
        <v>1112</v>
      </c>
      <c r="G182" s="101">
        <v>186282967</v>
      </c>
      <c r="H182" s="94">
        <v>32374</v>
      </c>
      <c r="I182" s="98"/>
      <c r="J182" s="98"/>
      <c r="K182" s="38"/>
      <c r="L182" s="38"/>
      <c r="M182" s="38"/>
    </row>
    <row r="183" spans="1:13" s="1" customFormat="1" ht="15.6" x14ac:dyDescent="0.3">
      <c r="A183" s="38">
        <v>224</v>
      </c>
      <c r="B183" s="38" t="s">
        <v>699</v>
      </c>
      <c r="C183" s="38" t="s">
        <v>1113</v>
      </c>
      <c r="D183" s="267">
        <v>81211665563</v>
      </c>
      <c r="E183" s="98">
        <v>1211665563</v>
      </c>
      <c r="F183" s="98" t="s">
        <v>1114</v>
      </c>
      <c r="G183" s="101">
        <v>186282967</v>
      </c>
      <c r="H183" s="94">
        <v>31656</v>
      </c>
      <c r="I183" s="98"/>
      <c r="J183" s="98"/>
      <c r="K183" s="38"/>
      <c r="L183" s="38"/>
      <c r="M183" s="38"/>
    </row>
    <row r="184" spans="1:13" s="1" customFormat="1" ht="15.6" x14ac:dyDescent="0.3">
      <c r="A184" s="38">
        <v>225</v>
      </c>
      <c r="B184" s="38" t="s">
        <v>699</v>
      </c>
      <c r="C184" s="38" t="s">
        <v>1115</v>
      </c>
      <c r="D184" s="267">
        <v>81118594164</v>
      </c>
      <c r="E184" s="98">
        <v>1118594164</v>
      </c>
      <c r="F184" s="98" t="s">
        <v>1116</v>
      </c>
      <c r="G184" s="101">
        <v>186282967</v>
      </c>
      <c r="H184" s="94">
        <v>31312</v>
      </c>
      <c r="I184" s="98"/>
      <c r="J184" s="98"/>
      <c r="K184" s="38"/>
      <c r="L184" s="38"/>
      <c r="M184" s="38"/>
    </row>
    <row r="185" spans="1:13" s="1" customFormat="1" ht="15.6" x14ac:dyDescent="0.3">
      <c r="A185" s="38">
        <v>226</v>
      </c>
      <c r="B185" s="38" t="s">
        <v>705</v>
      </c>
      <c r="C185" s="38" t="s">
        <v>1117</v>
      </c>
      <c r="D185" s="267">
        <v>81224824827</v>
      </c>
      <c r="E185" s="98">
        <v>1224824827</v>
      </c>
      <c r="F185" s="98" t="s">
        <v>1118</v>
      </c>
      <c r="G185" s="101">
        <v>186282967</v>
      </c>
      <c r="H185" s="94">
        <v>34502</v>
      </c>
      <c r="I185" s="98"/>
      <c r="J185" s="98"/>
      <c r="K185" s="38"/>
      <c r="L185" s="38"/>
      <c r="M185" s="38"/>
    </row>
    <row r="186" spans="1:13" s="1" customFormat="1" ht="15.6" x14ac:dyDescent="0.3">
      <c r="A186" s="38">
        <v>227</v>
      </c>
      <c r="B186" s="38" t="s">
        <v>699</v>
      </c>
      <c r="C186" s="38" t="s">
        <v>1119</v>
      </c>
      <c r="D186" s="267">
        <v>81201997794</v>
      </c>
      <c r="E186" s="98">
        <v>1201997794</v>
      </c>
      <c r="F186" s="98" t="s">
        <v>1120</v>
      </c>
      <c r="G186" s="101">
        <v>186282967</v>
      </c>
      <c r="H186" s="94">
        <v>32703</v>
      </c>
      <c r="I186" s="98"/>
      <c r="J186" s="98"/>
      <c r="K186" s="38"/>
      <c r="L186" s="38"/>
      <c r="M186" s="38"/>
    </row>
    <row r="187" spans="1:13" s="1" customFormat="1" ht="15.6" x14ac:dyDescent="0.3">
      <c r="A187" s="38">
        <v>228</v>
      </c>
      <c r="B187" s="38" t="s">
        <v>699</v>
      </c>
      <c r="C187" s="38" t="s">
        <v>1121</v>
      </c>
      <c r="D187" s="267">
        <v>81194051979</v>
      </c>
      <c r="E187" s="98">
        <v>1194051979</v>
      </c>
      <c r="F187" s="98" t="s">
        <v>1122</v>
      </c>
      <c r="G187" s="101">
        <v>186282967</v>
      </c>
      <c r="H187" s="94">
        <v>26204</v>
      </c>
      <c r="I187" s="180"/>
      <c r="J187" s="98"/>
      <c r="K187" s="38"/>
      <c r="L187" s="38"/>
      <c r="M187" s="38"/>
    </row>
    <row r="188" spans="1:13" s="3" customFormat="1" ht="15.6" x14ac:dyDescent="0.3">
      <c r="A188" s="39">
        <v>230</v>
      </c>
      <c r="B188" s="39" t="s">
        <v>705</v>
      </c>
      <c r="C188" s="39" t="s">
        <v>1123</v>
      </c>
      <c r="D188" s="269">
        <v>81229469814</v>
      </c>
      <c r="E188" s="127">
        <v>1229469814</v>
      </c>
      <c r="F188" s="127" t="s">
        <v>1124</v>
      </c>
      <c r="G188" s="104">
        <v>182521791</v>
      </c>
      <c r="H188" s="96">
        <v>25320</v>
      </c>
      <c r="I188" s="127" t="s">
        <v>1125</v>
      </c>
      <c r="J188" s="129">
        <v>43878</v>
      </c>
      <c r="K188" s="39"/>
      <c r="L188" s="39"/>
      <c r="M188" s="39"/>
    </row>
    <row r="189" spans="1:13" s="1" customFormat="1" ht="15.6" x14ac:dyDescent="0.3">
      <c r="A189" s="71">
        <v>231</v>
      </c>
      <c r="B189" s="38" t="s">
        <v>705</v>
      </c>
      <c r="C189" s="38" t="s">
        <v>1126</v>
      </c>
      <c r="D189" s="267">
        <v>80340076972</v>
      </c>
      <c r="E189" s="98">
        <v>340076972</v>
      </c>
      <c r="F189" s="98" t="s">
        <v>1127</v>
      </c>
      <c r="G189" s="101">
        <v>182521791</v>
      </c>
      <c r="H189" s="94">
        <v>20919</v>
      </c>
      <c r="I189" s="105"/>
      <c r="J189" s="98"/>
      <c r="K189" s="38"/>
      <c r="L189" s="38"/>
      <c r="M189" s="38"/>
    </row>
    <row r="190" spans="1:13" s="1" customFormat="1" ht="15.6" x14ac:dyDescent="0.3">
      <c r="A190" s="71">
        <v>233</v>
      </c>
      <c r="B190" s="38" t="s">
        <v>699</v>
      </c>
      <c r="C190" s="38" t="s">
        <v>1128</v>
      </c>
      <c r="D190" s="267">
        <v>81032435633</v>
      </c>
      <c r="E190" s="98">
        <v>1032435633</v>
      </c>
      <c r="F190" s="98" t="s">
        <v>1129</v>
      </c>
      <c r="G190" s="101">
        <v>186282967</v>
      </c>
      <c r="H190" s="94">
        <v>28439</v>
      </c>
      <c r="I190" s="105"/>
      <c r="J190" s="98"/>
      <c r="K190" s="38"/>
      <c r="L190" s="38"/>
      <c r="M190" s="38"/>
    </row>
    <row r="191" spans="1:13" s="3" customFormat="1" ht="15.6" x14ac:dyDescent="0.3">
      <c r="A191" s="39">
        <v>234</v>
      </c>
      <c r="B191" s="39" t="s">
        <v>705</v>
      </c>
      <c r="C191" s="39" t="s">
        <v>1130</v>
      </c>
      <c r="D191" s="269">
        <v>381033261148</v>
      </c>
      <c r="E191" s="127">
        <v>1033261148</v>
      </c>
      <c r="F191" s="127" t="s">
        <v>1131</v>
      </c>
      <c r="G191" s="104">
        <v>182521791</v>
      </c>
      <c r="H191" s="96">
        <v>31264</v>
      </c>
      <c r="I191" s="129" t="s">
        <v>1132</v>
      </c>
      <c r="J191" s="127"/>
      <c r="K191" s="39"/>
      <c r="L191" s="39"/>
      <c r="M191" s="39"/>
    </row>
    <row r="192" spans="1:13" s="1" customFormat="1" ht="15.6" x14ac:dyDescent="0.3">
      <c r="A192" s="71">
        <v>235</v>
      </c>
      <c r="B192" s="38" t="s">
        <v>699</v>
      </c>
      <c r="C192" s="38" t="s">
        <v>1133</v>
      </c>
      <c r="D192" s="267">
        <v>81004580667</v>
      </c>
      <c r="E192" s="98">
        <v>1004580667</v>
      </c>
      <c r="F192" s="98" t="s">
        <v>1134</v>
      </c>
      <c r="G192" s="101">
        <v>186282967</v>
      </c>
      <c r="H192" s="94">
        <v>27422</v>
      </c>
      <c r="I192" s="105"/>
      <c r="J192" s="98"/>
      <c r="K192" s="38"/>
      <c r="L192" s="38"/>
      <c r="M192" s="38"/>
    </row>
    <row r="193" spans="1:11" s="1" customFormat="1" ht="15.6" x14ac:dyDescent="0.3">
      <c r="A193" s="71">
        <v>238</v>
      </c>
      <c r="B193" s="38" t="s">
        <v>705</v>
      </c>
      <c r="C193" s="38" t="s">
        <v>1135</v>
      </c>
      <c r="D193" s="267">
        <v>81161656104</v>
      </c>
      <c r="E193" s="98">
        <v>1161656104</v>
      </c>
      <c r="F193" s="98" t="s">
        <v>1136</v>
      </c>
      <c r="G193" s="101">
        <v>186282967</v>
      </c>
      <c r="H193" s="94">
        <v>29748</v>
      </c>
      <c r="I193" s="105"/>
      <c r="J193" s="98"/>
      <c r="K193" s="33"/>
    </row>
    <row r="194" spans="1:11" s="1" customFormat="1" ht="15.6" x14ac:dyDescent="0.3">
      <c r="A194" s="71">
        <v>240</v>
      </c>
      <c r="B194" s="38" t="s">
        <v>705</v>
      </c>
      <c r="C194" s="38" t="s">
        <v>1137</v>
      </c>
      <c r="D194" s="267">
        <v>81087286103</v>
      </c>
      <c r="E194" s="98">
        <v>1087286103</v>
      </c>
      <c r="F194" s="98" t="s">
        <v>1138</v>
      </c>
      <c r="G194" s="101">
        <v>186282967</v>
      </c>
      <c r="H194" s="94">
        <v>28610</v>
      </c>
      <c r="I194" s="105"/>
      <c r="J194" s="98"/>
      <c r="K194" s="38"/>
    </row>
    <row r="195" spans="1:11" s="1" customFormat="1" ht="15.6" x14ac:dyDescent="0.3">
      <c r="A195" s="71">
        <v>242</v>
      </c>
      <c r="B195" s="38" t="s">
        <v>699</v>
      </c>
      <c r="C195" s="38" t="s">
        <v>1139</v>
      </c>
      <c r="D195" s="267">
        <v>201014146384</v>
      </c>
      <c r="E195" s="98">
        <v>1014146384</v>
      </c>
      <c r="F195" s="98" t="s">
        <v>568</v>
      </c>
      <c r="G195" s="101">
        <v>186282967</v>
      </c>
      <c r="H195" s="94">
        <v>30324</v>
      </c>
      <c r="I195" s="105"/>
      <c r="J195" s="98"/>
      <c r="K195" s="38"/>
    </row>
    <row r="196" spans="1:11" s="1" customFormat="1" ht="15.6" x14ac:dyDescent="0.3">
      <c r="A196" s="71">
        <v>243</v>
      </c>
      <c r="B196" s="38" t="s">
        <v>699</v>
      </c>
      <c r="C196" s="38" t="s">
        <v>1140</v>
      </c>
      <c r="D196" s="267">
        <v>71008194036</v>
      </c>
      <c r="E196" s="98">
        <v>1008194036</v>
      </c>
      <c r="F196" s="98" t="s">
        <v>1141</v>
      </c>
      <c r="G196" s="101">
        <v>186282967</v>
      </c>
      <c r="H196" s="94">
        <v>28662</v>
      </c>
      <c r="I196" s="105"/>
      <c r="J196" s="98"/>
      <c r="K196" s="38"/>
    </row>
    <row r="197" spans="1:11" s="1" customFormat="1" ht="15.6" x14ac:dyDescent="0.3">
      <c r="A197" s="71">
        <v>244</v>
      </c>
      <c r="B197" s="38" t="s">
        <v>705</v>
      </c>
      <c r="C197" s="38" t="s">
        <v>1142</v>
      </c>
      <c r="D197" s="267">
        <v>461052973739</v>
      </c>
      <c r="E197" s="98">
        <v>1052973739</v>
      </c>
      <c r="F197" s="98" t="s">
        <v>1143</v>
      </c>
      <c r="G197" s="101">
        <v>186282967</v>
      </c>
      <c r="H197" s="94">
        <v>31464</v>
      </c>
      <c r="I197" s="105"/>
      <c r="J197" s="98"/>
      <c r="K197" s="38"/>
    </row>
    <row r="198" spans="1:11" s="1" customFormat="1" ht="15.6" x14ac:dyDescent="0.3">
      <c r="A198" s="71">
        <v>245</v>
      </c>
      <c r="B198" s="38" t="s">
        <v>699</v>
      </c>
      <c r="C198" s="38" t="s">
        <v>1144</v>
      </c>
      <c r="D198" s="267">
        <v>81165099604</v>
      </c>
      <c r="E198" s="98">
        <v>1165099604</v>
      </c>
      <c r="F198" s="98" t="s">
        <v>1145</v>
      </c>
      <c r="G198" s="101">
        <v>186282967</v>
      </c>
      <c r="H198" s="94">
        <v>32669</v>
      </c>
      <c r="I198" s="105"/>
      <c r="J198" s="98"/>
      <c r="K198" s="38"/>
    </row>
    <row r="199" spans="1:11" s="1" customFormat="1" ht="15.6" x14ac:dyDescent="0.3">
      <c r="A199" s="71">
        <v>246</v>
      </c>
      <c r="B199" s="38" t="s">
        <v>705</v>
      </c>
      <c r="C199" s="38" t="s">
        <v>1146</v>
      </c>
      <c r="D199" s="267">
        <v>81282258527</v>
      </c>
      <c r="E199" s="98">
        <v>1282258527</v>
      </c>
      <c r="F199" s="98" t="s">
        <v>1147</v>
      </c>
      <c r="G199" s="101">
        <v>186282967</v>
      </c>
      <c r="H199" s="94">
        <v>29933</v>
      </c>
      <c r="I199" s="105"/>
      <c r="J199" s="98"/>
      <c r="K199" s="38"/>
    </row>
    <row r="200" spans="1:11" s="1" customFormat="1" ht="15.6" x14ac:dyDescent="0.3">
      <c r="A200" s="71">
        <v>247</v>
      </c>
      <c r="B200" s="38" t="s">
        <v>699</v>
      </c>
      <c r="C200" s="38" t="s">
        <v>1148</v>
      </c>
      <c r="D200" s="267">
        <v>81120766358</v>
      </c>
      <c r="E200" s="98">
        <v>1120766358</v>
      </c>
      <c r="F200" s="98" t="s">
        <v>1149</v>
      </c>
      <c r="G200" s="101">
        <v>186282967</v>
      </c>
      <c r="H200" s="94">
        <v>30678</v>
      </c>
      <c r="I200" s="105"/>
      <c r="J200" s="98"/>
      <c r="K200" s="38"/>
    </row>
    <row r="201" spans="1:11" s="1" customFormat="1" ht="15.6" x14ac:dyDescent="0.3">
      <c r="A201" s="71">
        <v>248</v>
      </c>
      <c r="B201" s="38" t="s">
        <v>705</v>
      </c>
      <c r="C201" s="38" t="s">
        <v>1150</v>
      </c>
      <c r="D201" s="267">
        <v>81157619486</v>
      </c>
      <c r="E201" s="98">
        <v>1157619486</v>
      </c>
      <c r="F201" s="98" t="s">
        <v>1151</v>
      </c>
      <c r="G201" s="101">
        <v>186282967</v>
      </c>
      <c r="H201" s="94">
        <v>27473</v>
      </c>
      <c r="I201" s="105"/>
      <c r="J201" s="98"/>
      <c r="K201" s="38"/>
    </row>
    <row r="202" spans="1:11" s="1" customFormat="1" ht="15.6" x14ac:dyDescent="0.3">
      <c r="A202" s="71">
        <v>250</v>
      </c>
      <c r="B202" s="38" t="s">
        <v>705</v>
      </c>
      <c r="C202" s="38" t="s">
        <v>1152</v>
      </c>
      <c r="D202" s="267">
        <v>81332968309</v>
      </c>
      <c r="E202" s="98">
        <v>1332968309</v>
      </c>
      <c r="F202" s="98" t="s">
        <v>1153</v>
      </c>
      <c r="G202" s="101">
        <v>186282967</v>
      </c>
      <c r="H202" s="94">
        <v>30986</v>
      </c>
      <c r="I202" s="105">
        <v>44220</v>
      </c>
      <c r="J202" s="98"/>
      <c r="K202" s="38"/>
    </row>
    <row r="203" spans="1:11" s="1" customFormat="1" ht="15.6" x14ac:dyDescent="0.3">
      <c r="A203" s="71">
        <v>251</v>
      </c>
      <c r="B203" s="38" t="s">
        <v>699</v>
      </c>
      <c r="C203" s="38" t="s">
        <v>1154</v>
      </c>
      <c r="D203" s="267">
        <v>361057863313</v>
      </c>
      <c r="E203" s="98">
        <v>1057863313</v>
      </c>
      <c r="F203" s="98" t="s">
        <v>1155</v>
      </c>
      <c r="G203" s="101">
        <v>186282967</v>
      </c>
      <c r="H203" s="94">
        <v>31193</v>
      </c>
      <c r="I203" s="105"/>
      <c r="J203" s="98"/>
      <c r="K203" s="38"/>
    </row>
    <row r="204" spans="1:11" s="1" customFormat="1" ht="15.6" x14ac:dyDescent="0.3">
      <c r="A204" s="71">
        <v>252</v>
      </c>
      <c r="B204" s="38" t="s">
        <v>699</v>
      </c>
      <c r="C204" s="38" t="s">
        <v>1156</v>
      </c>
      <c r="D204" s="267">
        <v>81207128993</v>
      </c>
      <c r="E204" s="98">
        <v>1207128993</v>
      </c>
      <c r="F204" s="98" t="s">
        <v>1157</v>
      </c>
      <c r="G204" s="101">
        <v>186282967</v>
      </c>
      <c r="H204" s="94">
        <v>28089</v>
      </c>
      <c r="I204" s="105"/>
      <c r="J204" s="98"/>
      <c r="K204" s="38"/>
    </row>
    <row r="205" spans="1:11" s="1" customFormat="1" ht="15.6" x14ac:dyDescent="0.3">
      <c r="A205" s="71">
        <v>253</v>
      </c>
      <c r="B205" s="38" t="s">
        <v>705</v>
      </c>
      <c r="C205" s="38" t="s">
        <v>1158</v>
      </c>
      <c r="D205" s="267">
        <v>281345251914</v>
      </c>
      <c r="E205" s="98">
        <v>1345251914</v>
      </c>
      <c r="F205" s="98" t="s">
        <v>1159</v>
      </c>
      <c r="G205" s="101">
        <v>186282967</v>
      </c>
      <c r="H205" s="94">
        <v>33651</v>
      </c>
      <c r="I205" s="105"/>
      <c r="J205" s="98"/>
      <c r="K205" s="38"/>
    </row>
    <row r="206" spans="1:11" s="1" customFormat="1" ht="15.6" x14ac:dyDescent="0.3">
      <c r="A206" s="71">
        <v>255</v>
      </c>
      <c r="B206" s="38" t="s">
        <v>705</v>
      </c>
      <c r="C206" s="38" t="s">
        <v>1160</v>
      </c>
      <c r="D206" s="267">
        <v>441002969463</v>
      </c>
      <c r="E206" s="98">
        <v>1002969463</v>
      </c>
      <c r="F206" s="98" t="s">
        <v>1161</v>
      </c>
      <c r="G206" s="101">
        <v>186282967</v>
      </c>
      <c r="H206" s="94">
        <v>31297</v>
      </c>
      <c r="I206" s="105"/>
      <c r="J206" s="98"/>
      <c r="K206" s="38"/>
    </row>
    <row r="207" spans="1:11" s="1" customFormat="1" ht="15.6" x14ac:dyDescent="0.3">
      <c r="A207" s="71">
        <v>256</v>
      </c>
      <c r="B207" s="38" t="s">
        <v>705</v>
      </c>
      <c r="C207" s="38" t="s">
        <v>1162</v>
      </c>
      <c r="D207" s="267">
        <v>461045288915</v>
      </c>
      <c r="E207" s="98">
        <v>1045288915</v>
      </c>
      <c r="F207" s="98" t="s">
        <v>1163</v>
      </c>
      <c r="G207" s="101">
        <v>186282967</v>
      </c>
      <c r="H207" s="94">
        <v>31386</v>
      </c>
      <c r="I207" s="105"/>
      <c r="J207" s="98"/>
      <c r="K207" s="38"/>
    </row>
    <row r="208" spans="1:11" s="1" customFormat="1" ht="15.6" x14ac:dyDescent="0.3">
      <c r="A208" s="71">
        <v>257</v>
      </c>
      <c r="B208" s="38" t="s">
        <v>705</v>
      </c>
      <c r="C208" s="38" t="s">
        <v>1164</v>
      </c>
      <c r="D208" s="267">
        <v>81241727479</v>
      </c>
      <c r="E208" s="98">
        <v>1241727479</v>
      </c>
      <c r="F208" s="98" t="s">
        <v>1165</v>
      </c>
      <c r="G208" s="101">
        <v>186282967</v>
      </c>
      <c r="H208" s="94">
        <v>36039</v>
      </c>
      <c r="I208" s="105"/>
      <c r="J208" s="98"/>
      <c r="K208" s="38"/>
    </row>
    <row r="209" spans="1:11" s="1" customFormat="1" ht="15.6" x14ac:dyDescent="0.3">
      <c r="A209" s="71">
        <v>258</v>
      </c>
      <c r="B209" s="38" t="s">
        <v>699</v>
      </c>
      <c r="C209" s="38" t="s">
        <v>1166</v>
      </c>
      <c r="D209" s="267">
        <v>81108121602</v>
      </c>
      <c r="E209" s="98">
        <v>1108121602</v>
      </c>
      <c r="F209" s="98" t="s">
        <v>1167</v>
      </c>
      <c r="G209" s="101">
        <v>186282967</v>
      </c>
      <c r="H209" s="94">
        <v>28276</v>
      </c>
      <c r="I209" s="105"/>
      <c r="J209" s="98"/>
      <c r="K209" s="38"/>
    </row>
    <row r="210" spans="1:11" s="1" customFormat="1" ht="15.6" x14ac:dyDescent="0.3">
      <c r="A210" s="71">
        <v>260</v>
      </c>
      <c r="B210" s="38" t="s">
        <v>699</v>
      </c>
      <c r="C210" s="38" t="s">
        <v>1168</v>
      </c>
      <c r="D210" s="267">
        <v>81163733520</v>
      </c>
      <c r="E210" s="98">
        <v>1163733520</v>
      </c>
      <c r="F210" s="98" t="s">
        <v>1169</v>
      </c>
      <c r="G210" s="101">
        <v>186282967</v>
      </c>
      <c r="H210" s="94">
        <v>31290</v>
      </c>
      <c r="I210" s="105"/>
      <c r="J210" s="98"/>
      <c r="K210" s="38"/>
    </row>
    <row r="211" spans="1:11" s="1" customFormat="1" ht="15.6" x14ac:dyDescent="0.3">
      <c r="A211" s="71">
        <v>262</v>
      </c>
      <c r="B211" s="38" t="s">
        <v>699</v>
      </c>
      <c r="C211" s="38" t="s">
        <v>1170</v>
      </c>
      <c r="D211" s="267">
        <v>281048938738</v>
      </c>
      <c r="E211" s="98">
        <v>1048938738</v>
      </c>
      <c r="F211" s="98" t="s">
        <v>1171</v>
      </c>
      <c r="G211" s="101">
        <v>186282967</v>
      </c>
      <c r="H211" s="94">
        <v>27784</v>
      </c>
      <c r="I211" s="105"/>
      <c r="J211" s="98"/>
      <c r="K211" s="38"/>
    </row>
    <row r="212" spans="1:11" s="1" customFormat="1" ht="15.6" x14ac:dyDescent="0.3">
      <c r="A212" s="71">
        <v>264</v>
      </c>
      <c r="B212" s="38" t="s">
        <v>699</v>
      </c>
      <c r="C212" s="38" t="s">
        <v>1172</v>
      </c>
      <c r="D212" s="267">
        <v>81092249671</v>
      </c>
      <c r="E212" s="98">
        <v>1092249671</v>
      </c>
      <c r="F212" s="98" t="s">
        <v>1173</v>
      </c>
      <c r="G212" s="101">
        <v>186282967</v>
      </c>
      <c r="H212" s="94">
        <v>28449</v>
      </c>
      <c r="I212" s="105"/>
      <c r="J212" s="98"/>
      <c r="K212" s="38"/>
    </row>
    <row r="213" spans="1:11" s="1" customFormat="1" ht="15.6" x14ac:dyDescent="0.3">
      <c r="A213" s="71">
        <v>266</v>
      </c>
      <c r="B213" s="38" t="s">
        <v>705</v>
      </c>
      <c r="C213" s="38" t="s">
        <v>1174</v>
      </c>
      <c r="D213" s="267">
        <v>81162368042</v>
      </c>
      <c r="E213" s="103" t="s">
        <v>1175</v>
      </c>
      <c r="F213" s="98" t="s">
        <v>1176</v>
      </c>
      <c r="G213" s="101">
        <v>186282967</v>
      </c>
      <c r="H213" s="94">
        <v>32078</v>
      </c>
      <c r="I213" s="105"/>
      <c r="J213" s="98"/>
      <c r="K213" s="38"/>
    </row>
    <row r="214" spans="1:11" s="3" customFormat="1" ht="15.6" x14ac:dyDescent="0.3">
      <c r="A214" s="39">
        <v>268</v>
      </c>
      <c r="B214" s="39" t="s">
        <v>705</v>
      </c>
      <c r="C214" s="39" t="s">
        <v>1177</v>
      </c>
      <c r="D214" s="269">
        <v>81111721211</v>
      </c>
      <c r="E214" s="128" t="s">
        <v>1178</v>
      </c>
      <c r="F214" s="127" t="s">
        <v>1179</v>
      </c>
      <c r="G214" s="104">
        <v>182521791</v>
      </c>
      <c r="H214" s="96">
        <v>30888</v>
      </c>
      <c r="I214" s="129" t="s">
        <v>1180</v>
      </c>
      <c r="J214" s="127"/>
      <c r="K214" s="39"/>
    </row>
    <row r="215" spans="1:11" s="1" customFormat="1" ht="15.6" x14ac:dyDescent="0.3">
      <c r="A215" s="71">
        <v>269</v>
      </c>
      <c r="B215" s="38" t="s">
        <v>705</v>
      </c>
      <c r="C215" s="38" t="s">
        <v>1181</v>
      </c>
      <c r="D215" s="267">
        <v>431032349264</v>
      </c>
      <c r="E215" s="103" t="s">
        <v>1182</v>
      </c>
      <c r="F215" s="98" t="s">
        <v>1183</v>
      </c>
      <c r="G215" s="101">
        <v>186282967</v>
      </c>
      <c r="H215" s="94">
        <v>29175</v>
      </c>
      <c r="I215" s="105"/>
      <c r="J215" s="98"/>
      <c r="K215" s="38"/>
    </row>
    <row r="216" spans="1:11" s="1" customFormat="1" ht="15.6" x14ac:dyDescent="0.3">
      <c r="A216" s="71">
        <v>270</v>
      </c>
      <c r="B216" s="38" t="s">
        <v>705</v>
      </c>
      <c r="C216" s="38" t="s">
        <v>1184</v>
      </c>
      <c r="D216" s="267">
        <v>81153292377</v>
      </c>
      <c r="E216" s="103" t="s">
        <v>1185</v>
      </c>
      <c r="F216" s="98" t="s">
        <v>1186</v>
      </c>
      <c r="G216" s="101">
        <v>186282967</v>
      </c>
      <c r="H216" s="94">
        <v>31121</v>
      </c>
      <c r="I216" s="105"/>
      <c r="J216" s="98"/>
      <c r="K216" s="93"/>
    </row>
    <row r="217" spans="1:11" s="1" customFormat="1" ht="15.6" x14ac:dyDescent="0.3">
      <c r="A217" s="71">
        <v>271</v>
      </c>
      <c r="B217" s="38" t="s">
        <v>699</v>
      </c>
      <c r="C217" s="38" t="s">
        <v>1187</v>
      </c>
      <c r="D217" s="267">
        <v>81145309681</v>
      </c>
      <c r="E217" s="103" t="s">
        <v>1188</v>
      </c>
      <c r="F217" s="98" t="s">
        <v>1189</v>
      </c>
      <c r="G217" s="101">
        <v>186282967</v>
      </c>
      <c r="H217" s="94">
        <v>26679</v>
      </c>
      <c r="I217" s="105"/>
      <c r="J217" s="98"/>
      <c r="K217" s="38"/>
    </row>
    <row r="218" spans="1:11" s="1" customFormat="1" ht="15.6" x14ac:dyDescent="0.3">
      <c r="A218" s="71">
        <v>272</v>
      </c>
      <c r="B218" s="38" t="s">
        <v>705</v>
      </c>
      <c r="C218" s="38" t="s">
        <v>1190</v>
      </c>
      <c r="D218" s="267">
        <v>80518595570</v>
      </c>
      <c r="E218" s="103" t="s">
        <v>1191</v>
      </c>
      <c r="F218" s="98" t="s">
        <v>1192</v>
      </c>
      <c r="G218" s="101">
        <v>186282967</v>
      </c>
      <c r="H218" s="94">
        <v>26213</v>
      </c>
      <c r="I218" s="105"/>
      <c r="J218" s="98"/>
      <c r="K218" s="38"/>
    </row>
    <row r="219" spans="1:11" s="1" customFormat="1" ht="15.6" x14ac:dyDescent="0.3">
      <c r="A219" s="71">
        <v>273</v>
      </c>
      <c r="B219" s="38" t="s">
        <v>699</v>
      </c>
      <c r="C219" s="38" t="s">
        <v>1193</v>
      </c>
      <c r="D219" s="267" t="s">
        <v>1194</v>
      </c>
      <c r="E219" s="103" t="s">
        <v>1195</v>
      </c>
      <c r="F219" s="98" t="s">
        <v>1196</v>
      </c>
      <c r="G219" s="101">
        <v>186282967</v>
      </c>
      <c r="H219" s="94">
        <v>30182</v>
      </c>
      <c r="I219" s="105"/>
      <c r="J219" s="98"/>
      <c r="K219" s="38"/>
    </row>
    <row r="220" spans="1:11" s="1" customFormat="1" ht="15.6" x14ac:dyDescent="0.3">
      <c r="A220" s="71">
        <v>274</v>
      </c>
      <c r="B220" s="38" t="s">
        <v>699</v>
      </c>
      <c r="C220" s="38" t="s">
        <v>1197</v>
      </c>
      <c r="D220" s="267">
        <v>81325684215</v>
      </c>
      <c r="E220" s="103" t="s">
        <v>1198</v>
      </c>
      <c r="F220" s="98" t="s">
        <v>1199</v>
      </c>
      <c r="G220" s="101">
        <v>186282967</v>
      </c>
      <c r="H220" s="94">
        <v>33242</v>
      </c>
      <c r="I220" s="105">
        <v>43649</v>
      </c>
      <c r="J220" s="98"/>
      <c r="K220" s="38"/>
    </row>
    <row r="221" spans="1:11" s="1" customFormat="1" ht="15.6" x14ac:dyDescent="0.3">
      <c r="A221" s="71">
        <v>275</v>
      </c>
      <c r="B221" s="38" t="s">
        <v>705</v>
      </c>
      <c r="C221" s="38" t="s">
        <v>1200</v>
      </c>
      <c r="D221" s="267">
        <v>461035495551</v>
      </c>
      <c r="E221" s="103" t="s">
        <v>1201</v>
      </c>
      <c r="F221" s="98" t="s">
        <v>1202</v>
      </c>
      <c r="G221" s="101">
        <v>186282967</v>
      </c>
      <c r="H221" s="94">
        <v>29539</v>
      </c>
      <c r="I221" s="105"/>
      <c r="J221" s="98"/>
      <c r="K221" s="38"/>
    </row>
    <row r="222" spans="1:11" s="1" customFormat="1" ht="15.6" x14ac:dyDescent="0.3">
      <c r="A222" s="71">
        <v>276</v>
      </c>
      <c r="B222" s="38" t="s">
        <v>705</v>
      </c>
      <c r="C222" s="38" t="s">
        <v>1203</v>
      </c>
      <c r="D222" s="267">
        <v>281437064535</v>
      </c>
      <c r="E222" s="103" t="s">
        <v>1204</v>
      </c>
      <c r="F222" s="98" t="s">
        <v>1205</v>
      </c>
      <c r="G222" s="101">
        <v>186282967</v>
      </c>
      <c r="H222" s="94">
        <v>34521</v>
      </c>
      <c r="I222" s="105"/>
      <c r="J222" s="98"/>
      <c r="K222" s="38"/>
    </row>
    <row r="223" spans="1:11" s="1" customFormat="1" ht="15.6" x14ac:dyDescent="0.3">
      <c r="A223" s="71">
        <v>278</v>
      </c>
      <c r="B223" s="38" t="s">
        <v>705</v>
      </c>
      <c r="C223" s="38" t="s">
        <v>1206</v>
      </c>
      <c r="D223" s="267" t="s">
        <v>1207</v>
      </c>
      <c r="E223" s="103" t="s">
        <v>1208</v>
      </c>
      <c r="F223" s="98" t="s">
        <v>1209</v>
      </c>
      <c r="G223" s="101">
        <v>186282967</v>
      </c>
      <c r="H223" s="94">
        <v>32763</v>
      </c>
      <c r="I223" s="105"/>
      <c r="J223" s="98"/>
      <c r="K223" s="38"/>
    </row>
    <row r="224" spans="1:11" s="1" customFormat="1" ht="15.6" x14ac:dyDescent="0.3">
      <c r="A224" s="71">
        <v>281</v>
      </c>
      <c r="B224" s="38" t="s">
        <v>705</v>
      </c>
      <c r="C224" s="38" t="s">
        <v>1210</v>
      </c>
      <c r="D224" s="267">
        <v>81102398501</v>
      </c>
      <c r="E224" s="103" t="s">
        <v>1211</v>
      </c>
      <c r="F224" s="98" t="s">
        <v>1212</v>
      </c>
      <c r="G224" s="101">
        <v>186282967</v>
      </c>
      <c r="H224" s="94">
        <v>29364</v>
      </c>
      <c r="I224" s="105"/>
      <c r="J224" s="98"/>
      <c r="K224" s="38"/>
    </row>
    <row r="225" spans="1:10" s="1" customFormat="1" ht="15.6" x14ac:dyDescent="0.3">
      <c r="A225" s="71">
        <v>282</v>
      </c>
      <c r="B225" s="38" t="s">
        <v>705</v>
      </c>
      <c r="C225" s="38" t="s">
        <v>1213</v>
      </c>
      <c r="D225" s="267">
        <v>71020488481</v>
      </c>
      <c r="E225" s="103" t="s">
        <v>1214</v>
      </c>
      <c r="F225" s="98" t="s">
        <v>1215</v>
      </c>
      <c r="G225" s="101">
        <v>186282967</v>
      </c>
      <c r="H225" s="94">
        <v>30233</v>
      </c>
      <c r="I225" s="105"/>
      <c r="J225" s="98"/>
    </row>
    <row r="226" spans="1:10" s="1" customFormat="1" ht="15.6" x14ac:dyDescent="0.3">
      <c r="A226" s="71">
        <v>283</v>
      </c>
      <c r="B226" s="38" t="s">
        <v>705</v>
      </c>
      <c r="C226" s="38" t="s">
        <v>1216</v>
      </c>
      <c r="D226" s="267">
        <v>461047098064</v>
      </c>
      <c r="E226" s="103" t="s">
        <v>1217</v>
      </c>
      <c r="F226" s="98" t="s">
        <v>1218</v>
      </c>
      <c r="G226" s="101">
        <v>186282967</v>
      </c>
      <c r="H226" s="94">
        <v>24543</v>
      </c>
      <c r="I226" s="105"/>
      <c r="J226" s="98"/>
    </row>
    <row r="227" spans="1:10" s="1" customFormat="1" ht="15.6" x14ac:dyDescent="0.3">
      <c r="A227" s="71">
        <v>284</v>
      </c>
      <c r="B227" s="38" t="s">
        <v>705</v>
      </c>
      <c r="C227" s="38" t="s">
        <v>1219</v>
      </c>
      <c r="D227" s="267">
        <v>81078249945</v>
      </c>
      <c r="E227" s="103" t="s">
        <v>1220</v>
      </c>
      <c r="F227" s="98" t="s">
        <v>1221</v>
      </c>
      <c r="G227" s="101">
        <v>186282967</v>
      </c>
      <c r="H227" s="94">
        <v>30541</v>
      </c>
      <c r="I227" s="105"/>
      <c r="J227" s="98"/>
    </row>
    <row r="228" spans="1:10" s="1" customFormat="1" ht="15.6" x14ac:dyDescent="0.3">
      <c r="A228" s="71">
        <v>285</v>
      </c>
      <c r="B228" s="38" t="s">
        <v>705</v>
      </c>
      <c r="C228" s="38" t="s">
        <v>1222</v>
      </c>
      <c r="D228" s="267">
        <v>81073289104</v>
      </c>
      <c r="E228" s="103" t="s">
        <v>1223</v>
      </c>
      <c r="F228" s="98" t="s">
        <v>1224</v>
      </c>
      <c r="G228" s="101">
        <v>186282967</v>
      </c>
      <c r="H228" s="94">
        <v>30172</v>
      </c>
      <c r="I228" s="105"/>
      <c r="J228" s="98"/>
    </row>
    <row r="229" spans="1:10" s="1" customFormat="1" ht="15.6" x14ac:dyDescent="0.3">
      <c r="A229" s="71">
        <v>286</v>
      </c>
      <c r="B229" s="38" t="s">
        <v>705</v>
      </c>
      <c r="C229" s="38" t="s">
        <v>1225</v>
      </c>
      <c r="D229" s="267">
        <v>81136665567</v>
      </c>
      <c r="E229" s="103" t="s">
        <v>1226</v>
      </c>
      <c r="F229" s="98" t="s">
        <v>1227</v>
      </c>
      <c r="G229" s="101">
        <v>186282967</v>
      </c>
      <c r="H229" s="94">
        <v>31839</v>
      </c>
      <c r="I229" s="105"/>
      <c r="J229" s="98"/>
    </row>
    <row r="230" spans="1:10" s="1" customFormat="1" ht="15.6" x14ac:dyDescent="0.3">
      <c r="A230" s="71">
        <v>287</v>
      </c>
      <c r="B230" s="38" t="s">
        <v>705</v>
      </c>
      <c r="C230" s="38" t="s">
        <v>1228</v>
      </c>
      <c r="D230" s="267">
        <v>81069710107</v>
      </c>
      <c r="E230" s="103" t="s">
        <v>1229</v>
      </c>
      <c r="F230" s="98" t="s">
        <v>1230</v>
      </c>
      <c r="G230" s="101">
        <v>186282967</v>
      </c>
      <c r="H230" s="94">
        <v>30509</v>
      </c>
      <c r="I230" s="105"/>
      <c r="J230" s="98"/>
    </row>
    <row r="231" spans="1:10" s="1" customFormat="1" ht="15.6" x14ac:dyDescent="0.3">
      <c r="A231" s="71">
        <v>288</v>
      </c>
      <c r="B231" s="38" t="s">
        <v>705</v>
      </c>
      <c r="C231" s="38" t="s">
        <v>1231</v>
      </c>
      <c r="D231" s="267">
        <v>81118895470</v>
      </c>
      <c r="E231" s="103" t="s">
        <v>1232</v>
      </c>
      <c r="F231" s="98" t="s">
        <v>1233</v>
      </c>
      <c r="G231" s="101">
        <v>186282967</v>
      </c>
      <c r="H231" s="94">
        <v>30762</v>
      </c>
      <c r="I231" s="105"/>
      <c r="J231" s="98"/>
    </row>
    <row r="232" spans="1:10" s="1" customFormat="1" ht="15.6" x14ac:dyDescent="0.3">
      <c r="A232" s="71">
        <v>289</v>
      </c>
      <c r="B232" s="38" t="s">
        <v>705</v>
      </c>
      <c r="C232" s="38" t="s">
        <v>1234</v>
      </c>
      <c r="D232" s="267">
        <v>81014830133</v>
      </c>
      <c r="E232" s="103" t="s">
        <v>1235</v>
      </c>
      <c r="F232" s="98" t="s">
        <v>1236</v>
      </c>
      <c r="G232" s="101">
        <v>186282967</v>
      </c>
      <c r="H232" s="94">
        <v>26984</v>
      </c>
      <c r="I232" s="105"/>
      <c r="J232" s="98"/>
    </row>
    <row r="233" spans="1:10" s="1" customFormat="1" ht="15.6" x14ac:dyDescent="0.3">
      <c r="A233" s="71">
        <v>291</v>
      </c>
      <c r="B233" s="38" t="s">
        <v>699</v>
      </c>
      <c r="C233" s="38" t="s">
        <v>1237</v>
      </c>
      <c r="D233" s="267">
        <v>81065021771</v>
      </c>
      <c r="E233" s="103" t="s">
        <v>1238</v>
      </c>
      <c r="F233" s="98" t="s">
        <v>1239</v>
      </c>
      <c r="G233" s="101">
        <v>186282967</v>
      </c>
      <c r="H233" s="94">
        <v>29301</v>
      </c>
      <c r="I233" s="105"/>
      <c r="J233" s="98"/>
    </row>
    <row r="234" spans="1:10" s="1" customFormat="1" ht="15.6" x14ac:dyDescent="0.3">
      <c r="A234" s="71">
        <v>294</v>
      </c>
      <c r="B234" s="38" t="s">
        <v>705</v>
      </c>
      <c r="C234" s="38" t="s">
        <v>1240</v>
      </c>
      <c r="D234" s="267">
        <v>81282206084</v>
      </c>
      <c r="E234" s="103" t="s">
        <v>1241</v>
      </c>
      <c r="F234" s="98" t="s">
        <v>1242</v>
      </c>
      <c r="G234" s="101">
        <v>186282967</v>
      </c>
      <c r="H234" s="94">
        <v>34107</v>
      </c>
      <c r="I234" s="105"/>
      <c r="J234" s="98"/>
    </row>
    <row r="235" spans="1:10" s="1" customFormat="1" ht="15.6" x14ac:dyDescent="0.3">
      <c r="A235" s="71">
        <v>296</v>
      </c>
      <c r="B235" s="38" t="s">
        <v>705</v>
      </c>
      <c r="C235" s="38" t="s">
        <v>1243</v>
      </c>
      <c r="D235" s="267">
        <v>81247130480</v>
      </c>
      <c r="E235" s="103" t="s">
        <v>1244</v>
      </c>
      <c r="F235" s="98" t="s">
        <v>1245</v>
      </c>
      <c r="G235" s="101">
        <v>186282967</v>
      </c>
      <c r="H235" s="94">
        <v>35163</v>
      </c>
      <c r="I235" s="105"/>
      <c r="J235" s="98"/>
    </row>
    <row r="236" spans="1:10" s="1" customFormat="1" ht="15.6" x14ac:dyDescent="0.3">
      <c r="A236" s="71">
        <v>297</v>
      </c>
      <c r="B236" s="38" t="s">
        <v>699</v>
      </c>
      <c r="C236" s="38" t="s">
        <v>1246</v>
      </c>
      <c r="D236" s="267">
        <v>81215379754</v>
      </c>
      <c r="E236" s="103" t="s">
        <v>1247</v>
      </c>
      <c r="F236" s="98" t="s">
        <v>1248</v>
      </c>
      <c r="G236" s="101">
        <v>186282967</v>
      </c>
      <c r="H236" s="94">
        <v>34585</v>
      </c>
      <c r="I236" s="105"/>
      <c r="J236" s="98"/>
    </row>
    <row r="237" spans="1:10" s="1" customFormat="1" ht="15.6" x14ac:dyDescent="0.3">
      <c r="A237" s="71">
        <v>299</v>
      </c>
      <c r="B237" s="38" t="s">
        <v>699</v>
      </c>
      <c r="C237" s="38" t="s">
        <v>1249</v>
      </c>
      <c r="D237" s="267">
        <v>81268085009</v>
      </c>
      <c r="E237" s="103" t="s">
        <v>1250</v>
      </c>
      <c r="F237" s="98" t="s">
        <v>1251</v>
      </c>
      <c r="G237" s="101">
        <v>186282967</v>
      </c>
      <c r="H237" s="94">
        <v>34440</v>
      </c>
      <c r="I237" s="105"/>
      <c r="J237" s="98"/>
    </row>
    <row r="238" spans="1:10" s="1" customFormat="1" ht="15.6" x14ac:dyDescent="0.3">
      <c r="A238" s="71">
        <v>300</v>
      </c>
      <c r="B238" s="38" t="s">
        <v>699</v>
      </c>
      <c r="C238" s="38" t="s">
        <v>1252</v>
      </c>
      <c r="D238" s="267">
        <v>81234997093</v>
      </c>
      <c r="E238" s="103" t="s">
        <v>1253</v>
      </c>
      <c r="F238" s="98" t="s">
        <v>1254</v>
      </c>
      <c r="G238" s="101">
        <v>186282967</v>
      </c>
      <c r="H238" s="94">
        <v>34793</v>
      </c>
      <c r="I238" s="105"/>
      <c r="J238" s="98"/>
    </row>
    <row r="239" spans="1:10" s="3" customFormat="1" ht="15.6" x14ac:dyDescent="0.3">
      <c r="A239" s="39">
        <v>303</v>
      </c>
      <c r="B239" s="39" t="s">
        <v>705</v>
      </c>
      <c r="C239" s="39" t="s">
        <v>1255</v>
      </c>
      <c r="D239" s="269">
        <v>81075601138</v>
      </c>
      <c r="E239" s="128" t="s">
        <v>1256</v>
      </c>
      <c r="F239" s="127" t="s">
        <v>1257</v>
      </c>
      <c r="G239" s="104">
        <v>182521791</v>
      </c>
      <c r="H239" s="96">
        <v>27774</v>
      </c>
      <c r="I239" s="129" t="s">
        <v>643</v>
      </c>
      <c r="J239" s="127"/>
    </row>
    <row r="240" spans="1:10" s="1" customFormat="1" ht="15.6" x14ac:dyDescent="0.3">
      <c r="A240" s="71">
        <v>304</v>
      </c>
      <c r="B240" s="38" t="s">
        <v>705</v>
      </c>
      <c r="C240" s="38" t="s">
        <v>1258</v>
      </c>
      <c r="D240" s="267">
        <v>71040368835</v>
      </c>
      <c r="E240" s="103" t="s">
        <v>1259</v>
      </c>
      <c r="F240" s="98" t="s">
        <v>1260</v>
      </c>
      <c r="G240" s="101">
        <v>186282967</v>
      </c>
      <c r="H240" s="94">
        <v>32328</v>
      </c>
      <c r="I240" s="105"/>
      <c r="J240" s="98"/>
    </row>
    <row r="241" spans="1:10" s="1" customFormat="1" ht="15.6" x14ac:dyDescent="0.3">
      <c r="A241" s="71">
        <v>305</v>
      </c>
      <c r="B241" s="38" t="s">
        <v>705</v>
      </c>
      <c r="C241" s="38" t="s">
        <v>1261</v>
      </c>
      <c r="D241" s="267">
        <v>81165296533</v>
      </c>
      <c r="E241" s="103" t="s">
        <v>1262</v>
      </c>
      <c r="F241" s="98" t="s">
        <v>1263</v>
      </c>
      <c r="G241" s="101">
        <v>186282967</v>
      </c>
      <c r="H241" s="94">
        <v>33117</v>
      </c>
      <c r="I241" s="105"/>
      <c r="J241" s="98"/>
    </row>
    <row r="242" spans="1:10" s="1" customFormat="1" ht="15.6" x14ac:dyDescent="0.3">
      <c r="A242" s="71">
        <v>306</v>
      </c>
      <c r="B242" s="38" t="s">
        <v>705</v>
      </c>
      <c r="C242" s="38" t="s">
        <v>1264</v>
      </c>
      <c r="D242" s="267">
        <v>81226028132</v>
      </c>
      <c r="E242" s="103" t="s">
        <v>1265</v>
      </c>
      <c r="F242" s="98" t="s">
        <v>1266</v>
      </c>
      <c r="G242" s="101">
        <v>186282967</v>
      </c>
      <c r="H242" s="94">
        <v>34042</v>
      </c>
      <c r="I242" s="105"/>
      <c r="J242" s="98"/>
    </row>
    <row r="243" spans="1:10" s="1" customFormat="1" ht="15.6" x14ac:dyDescent="0.3">
      <c r="A243" s="71">
        <v>307</v>
      </c>
      <c r="B243" s="38" t="s">
        <v>705</v>
      </c>
      <c r="C243" s="38" t="s">
        <v>1267</v>
      </c>
      <c r="D243" s="267" t="s">
        <v>1268</v>
      </c>
      <c r="E243" s="103" t="s">
        <v>1269</v>
      </c>
      <c r="F243" s="98" t="s">
        <v>1270</v>
      </c>
      <c r="G243" s="101">
        <v>186282967</v>
      </c>
      <c r="H243" s="94">
        <v>27840</v>
      </c>
      <c r="I243" s="105"/>
      <c r="J243" s="98"/>
    </row>
    <row r="244" spans="1:10" s="1" customFormat="1" ht="15.6" x14ac:dyDescent="0.3">
      <c r="A244" s="71">
        <v>308</v>
      </c>
      <c r="B244" s="38" t="s">
        <v>705</v>
      </c>
      <c r="C244" s="38" t="s">
        <v>1271</v>
      </c>
      <c r="D244" s="267">
        <v>141023735542</v>
      </c>
      <c r="E244" s="103" t="s">
        <v>1272</v>
      </c>
      <c r="F244" s="98" t="s">
        <v>1273</v>
      </c>
      <c r="G244" s="101">
        <v>186282967</v>
      </c>
      <c r="H244" s="94">
        <v>28539</v>
      </c>
      <c r="I244" s="105"/>
      <c r="J244" s="98"/>
    </row>
    <row r="245" spans="1:10" s="1" customFormat="1" ht="15.6" x14ac:dyDescent="0.3">
      <c r="A245" s="71">
        <v>309</v>
      </c>
      <c r="B245" s="38" t="s">
        <v>699</v>
      </c>
      <c r="C245" s="38" t="s">
        <v>1274</v>
      </c>
      <c r="D245" s="267">
        <v>81064813324</v>
      </c>
      <c r="E245" s="103" t="s">
        <v>1275</v>
      </c>
      <c r="F245" s="98" t="s">
        <v>1276</v>
      </c>
      <c r="G245" s="101">
        <v>186282967</v>
      </c>
      <c r="H245" s="94">
        <v>30519</v>
      </c>
      <c r="I245" s="105"/>
      <c r="J245" s="98"/>
    </row>
    <row r="246" spans="1:10" s="1" customFormat="1" ht="15.6" x14ac:dyDescent="0.3">
      <c r="A246" s="71">
        <v>312</v>
      </c>
      <c r="B246" s="38" t="s">
        <v>699</v>
      </c>
      <c r="C246" s="38" t="s">
        <v>1277</v>
      </c>
      <c r="D246" s="267">
        <v>391025657645</v>
      </c>
      <c r="E246" s="103" t="s">
        <v>1278</v>
      </c>
      <c r="F246" s="98" t="s">
        <v>1279</v>
      </c>
      <c r="G246" s="101">
        <v>186282967</v>
      </c>
      <c r="H246" s="94">
        <v>30174</v>
      </c>
      <c r="I246" s="105"/>
      <c r="J246" s="98"/>
    </row>
    <row r="247" spans="1:10" s="1" customFormat="1" ht="15.6" x14ac:dyDescent="0.3">
      <c r="A247" s="71">
        <v>314</v>
      </c>
      <c r="B247" s="38" t="s">
        <v>699</v>
      </c>
      <c r="C247" s="38" t="s">
        <v>1280</v>
      </c>
      <c r="D247" s="267">
        <v>81006059212</v>
      </c>
      <c r="E247" s="103" t="s">
        <v>1281</v>
      </c>
      <c r="F247" s="98" t="s">
        <v>1282</v>
      </c>
      <c r="G247" s="101">
        <v>182521791</v>
      </c>
      <c r="H247" s="94">
        <v>27079</v>
      </c>
      <c r="I247" s="105"/>
      <c r="J247" s="98"/>
    </row>
    <row r="248" spans="1:10" s="1" customFormat="1" ht="15.6" x14ac:dyDescent="0.3">
      <c r="A248" s="71">
        <v>315</v>
      </c>
      <c r="B248" s="38" t="s">
        <v>699</v>
      </c>
      <c r="C248" s="38" t="s">
        <v>1283</v>
      </c>
      <c r="D248" s="267">
        <v>81147891400</v>
      </c>
      <c r="E248" s="103" t="s">
        <v>1284</v>
      </c>
      <c r="F248" s="98" t="s">
        <v>1285</v>
      </c>
      <c r="G248" s="101">
        <v>186282967</v>
      </c>
      <c r="H248" s="94">
        <v>32469</v>
      </c>
      <c r="I248" s="105"/>
      <c r="J248" s="98"/>
    </row>
    <row r="249" spans="1:10" s="1" customFormat="1" ht="15.6" x14ac:dyDescent="0.3">
      <c r="A249" s="71">
        <v>316</v>
      </c>
      <c r="B249" s="38" t="s">
        <v>705</v>
      </c>
      <c r="C249" s="38" t="s">
        <v>1286</v>
      </c>
      <c r="D249" s="267">
        <v>81312280128</v>
      </c>
      <c r="E249" s="103" t="s">
        <v>1287</v>
      </c>
      <c r="F249" s="98" t="s">
        <v>1288</v>
      </c>
      <c r="G249" s="101">
        <v>186282967</v>
      </c>
      <c r="H249" s="94">
        <v>31028</v>
      </c>
      <c r="I249" s="105"/>
      <c r="J249" s="98"/>
    </row>
    <row r="250" spans="1:10" s="1" customFormat="1" ht="15.6" x14ac:dyDescent="0.3">
      <c r="A250" s="71">
        <v>318</v>
      </c>
      <c r="B250" s="38" t="s">
        <v>699</v>
      </c>
      <c r="C250" s="38" t="s">
        <v>1289</v>
      </c>
      <c r="D250" s="267">
        <v>81263119720</v>
      </c>
      <c r="E250" s="103" t="s">
        <v>1290</v>
      </c>
      <c r="F250" s="98" t="s">
        <v>1291</v>
      </c>
      <c r="G250" s="101">
        <v>186282967</v>
      </c>
      <c r="H250" s="94">
        <v>35768</v>
      </c>
      <c r="I250" s="105"/>
      <c r="J250" s="98"/>
    </row>
    <row r="251" spans="1:10" s="1" customFormat="1" ht="15.6" x14ac:dyDescent="0.3">
      <c r="A251" s="71">
        <v>320</v>
      </c>
      <c r="B251" s="38" t="s">
        <v>699</v>
      </c>
      <c r="C251" s="38" t="s">
        <v>1292</v>
      </c>
      <c r="D251" s="267">
        <v>81211072045</v>
      </c>
      <c r="E251" s="103" t="s">
        <v>1293</v>
      </c>
      <c r="F251" s="98" t="s">
        <v>1294</v>
      </c>
      <c r="G251" s="101">
        <v>186282967</v>
      </c>
      <c r="H251" s="94">
        <v>33457</v>
      </c>
      <c r="I251" s="105"/>
      <c r="J251" s="98"/>
    </row>
    <row r="252" spans="1:10" s="1" customFormat="1" ht="15.6" x14ac:dyDescent="0.3">
      <c r="A252" s="71">
        <v>321</v>
      </c>
      <c r="B252" s="38" t="s">
        <v>705</v>
      </c>
      <c r="C252" s="38" t="s">
        <v>1295</v>
      </c>
      <c r="D252" s="267">
        <v>81180346485</v>
      </c>
      <c r="E252" s="103" t="s">
        <v>1296</v>
      </c>
      <c r="F252" s="98" t="s">
        <v>1297</v>
      </c>
      <c r="G252" s="101">
        <v>186282967</v>
      </c>
      <c r="H252" s="94"/>
      <c r="I252" s="105"/>
      <c r="J252" s="98"/>
    </row>
    <row r="253" spans="1:10" s="1" customFormat="1" ht="15.6" x14ac:dyDescent="0.3">
      <c r="A253" s="71">
        <v>322</v>
      </c>
      <c r="B253" s="38" t="s">
        <v>699</v>
      </c>
      <c r="C253" s="38" t="s">
        <v>1298</v>
      </c>
      <c r="D253" s="267">
        <v>81312483020</v>
      </c>
      <c r="E253" s="103" t="s">
        <v>1299</v>
      </c>
      <c r="F253" s="98" t="s">
        <v>1300</v>
      </c>
      <c r="G253" s="101">
        <v>186282967</v>
      </c>
      <c r="H253" s="94">
        <v>33040</v>
      </c>
      <c r="I253" s="105"/>
      <c r="J253" s="98"/>
    </row>
    <row r="254" spans="1:10" s="3" customFormat="1" ht="15.6" x14ac:dyDescent="0.3">
      <c r="A254" s="39">
        <v>323</v>
      </c>
      <c r="B254" s="39" t="s">
        <v>705</v>
      </c>
      <c r="C254" s="39" t="s">
        <v>1301</v>
      </c>
      <c r="D254" s="269">
        <v>81188716575</v>
      </c>
      <c r="E254" s="128" t="s">
        <v>1302</v>
      </c>
      <c r="F254" s="127" t="s">
        <v>1303</v>
      </c>
      <c r="G254" s="104">
        <v>182521791</v>
      </c>
      <c r="H254" s="96">
        <v>31833</v>
      </c>
      <c r="I254" s="129" t="s">
        <v>643</v>
      </c>
      <c r="J254" s="127"/>
    </row>
    <row r="255" spans="1:10" s="1" customFormat="1" ht="15.6" x14ac:dyDescent="0.3">
      <c r="A255" s="71">
        <v>325</v>
      </c>
      <c r="B255" s="38" t="s">
        <v>705</v>
      </c>
      <c r="C255" s="38" t="s">
        <v>1304</v>
      </c>
      <c r="D255" s="267">
        <v>281090908517</v>
      </c>
      <c r="E255" s="103" t="s">
        <v>1305</v>
      </c>
      <c r="F255" s="98" t="s">
        <v>1306</v>
      </c>
      <c r="G255" s="101">
        <v>186282967</v>
      </c>
      <c r="H255" s="94">
        <v>27739</v>
      </c>
      <c r="I255" s="105"/>
      <c r="J255" s="98"/>
    </row>
    <row r="256" spans="1:10" s="1" customFormat="1" ht="15.6" x14ac:dyDescent="0.3">
      <c r="A256" s="71">
        <v>326</v>
      </c>
      <c r="B256" s="38" t="s">
        <v>705</v>
      </c>
      <c r="C256" s="38" t="s">
        <v>1307</v>
      </c>
      <c r="D256" s="267">
        <v>81196928940</v>
      </c>
      <c r="E256" s="103" t="s">
        <v>1308</v>
      </c>
      <c r="F256" s="98" t="s">
        <v>1309</v>
      </c>
      <c r="G256" s="101">
        <v>186282967</v>
      </c>
      <c r="H256" s="94">
        <v>29394</v>
      </c>
      <c r="I256" s="105"/>
      <c r="J256" s="98"/>
    </row>
    <row r="257" spans="1:10" s="1" customFormat="1" ht="15.6" x14ac:dyDescent="0.3">
      <c r="A257" s="71">
        <v>327</v>
      </c>
      <c r="B257" s="38" t="s">
        <v>705</v>
      </c>
      <c r="C257" s="38" t="s">
        <v>1310</v>
      </c>
      <c r="D257" s="267">
        <v>81182178573</v>
      </c>
      <c r="E257" s="103" t="s">
        <v>1311</v>
      </c>
      <c r="F257" s="98" t="s">
        <v>1312</v>
      </c>
      <c r="G257" s="101">
        <v>186282967</v>
      </c>
      <c r="H257" s="94">
        <v>32595</v>
      </c>
      <c r="I257" s="105"/>
      <c r="J257" s="98"/>
    </row>
    <row r="258" spans="1:10" s="1" customFormat="1" ht="15.6" x14ac:dyDescent="0.3">
      <c r="A258" s="71">
        <v>328</v>
      </c>
      <c r="B258" s="38" t="s">
        <v>699</v>
      </c>
      <c r="C258" s="38" t="s">
        <v>1313</v>
      </c>
      <c r="D258" s="267">
        <v>81197636232</v>
      </c>
      <c r="E258" s="103" t="s">
        <v>1314</v>
      </c>
      <c r="F258" s="98" t="s">
        <v>1315</v>
      </c>
      <c r="G258" s="101">
        <v>186282967</v>
      </c>
      <c r="H258" s="94">
        <v>29461</v>
      </c>
      <c r="I258" s="222" t="s">
        <v>1316</v>
      </c>
      <c r="J258" s="98"/>
    </row>
    <row r="259" spans="1:10" s="1" customFormat="1" ht="15.6" x14ac:dyDescent="0.3">
      <c r="A259" s="71">
        <v>329</v>
      </c>
      <c r="B259" s="38" t="s">
        <v>705</v>
      </c>
      <c r="C259" s="38" t="s">
        <v>1317</v>
      </c>
      <c r="D259" s="267">
        <v>81164892264</v>
      </c>
      <c r="E259" s="103" t="s">
        <v>1318</v>
      </c>
      <c r="F259" s="98" t="s">
        <v>1319</v>
      </c>
      <c r="G259" s="101">
        <v>186282967</v>
      </c>
      <c r="H259" s="94">
        <v>32338</v>
      </c>
      <c r="I259" s="105"/>
      <c r="J259" s="98"/>
    </row>
    <row r="260" spans="1:10" s="1" customFormat="1" ht="15.6" x14ac:dyDescent="0.3">
      <c r="A260" s="71">
        <v>330</v>
      </c>
      <c r="B260" s="38" t="s">
        <v>705</v>
      </c>
      <c r="C260" s="38" t="s">
        <v>1320</v>
      </c>
      <c r="D260" s="267">
        <v>81076592255</v>
      </c>
      <c r="E260" s="103" t="s">
        <v>1321</v>
      </c>
      <c r="F260" s="98" t="s">
        <v>1322</v>
      </c>
      <c r="G260" s="101">
        <v>186282967</v>
      </c>
      <c r="H260" s="94">
        <v>29581</v>
      </c>
      <c r="I260" s="105" t="s">
        <v>789</v>
      </c>
      <c r="J260" s="98"/>
    </row>
    <row r="261" spans="1:10" s="1" customFormat="1" ht="15.6" x14ac:dyDescent="0.3">
      <c r="A261" s="71">
        <v>331</v>
      </c>
      <c r="B261" s="38" t="s">
        <v>699</v>
      </c>
      <c r="C261" s="38" t="s">
        <v>1323</v>
      </c>
      <c r="D261" s="267" t="s">
        <v>1324</v>
      </c>
      <c r="E261" s="103" t="s">
        <v>1325</v>
      </c>
      <c r="F261" s="98" t="s">
        <v>1326</v>
      </c>
      <c r="G261" s="101">
        <v>186282967</v>
      </c>
      <c r="H261" s="94">
        <v>31203</v>
      </c>
      <c r="I261" s="105"/>
      <c r="J261" s="98"/>
    </row>
    <row r="262" spans="1:10" s="1" customFormat="1" ht="15.6" x14ac:dyDescent="0.3">
      <c r="A262" s="71">
        <v>333</v>
      </c>
      <c r="B262" s="38" t="s">
        <v>705</v>
      </c>
      <c r="C262" s="38" t="s">
        <v>1327</v>
      </c>
      <c r="D262" s="267">
        <v>81137539678</v>
      </c>
      <c r="E262" s="103" t="s">
        <v>1328</v>
      </c>
      <c r="F262" s="98" t="s">
        <v>1329</v>
      </c>
      <c r="G262" s="101">
        <v>186282967</v>
      </c>
      <c r="H262" s="94">
        <v>23933</v>
      </c>
      <c r="I262" s="222" t="s">
        <v>1330</v>
      </c>
      <c r="J262" s="98"/>
    </row>
    <row r="263" spans="1:10" s="1" customFormat="1" ht="15.6" x14ac:dyDescent="0.3">
      <c r="A263" s="71">
        <v>334</v>
      </c>
      <c r="B263" s="38" t="s">
        <v>699</v>
      </c>
      <c r="C263" s="38" t="s">
        <v>1331</v>
      </c>
      <c r="D263" s="267">
        <v>151034548905</v>
      </c>
      <c r="E263" s="103" t="s">
        <v>1332</v>
      </c>
      <c r="F263" s="98" t="s">
        <v>1333</v>
      </c>
      <c r="G263" s="101">
        <v>186282967</v>
      </c>
      <c r="H263" s="94">
        <v>30414</v>
      </c>
      <c r="I263" s="105"/>
      <c r="J263" s="98"/>
    </row>
    <row r="264" spans="1:10" s="1" customFormat="1" ht="15.6" x14ac:dyDescent="0.3">
      <c r="A264" s="71">
        <v>335</v>
      </c>
      <c r="B264" s="38" t="s">
        <v>705</v>
      </c>
      <c r="C264" s="38" t="s">
        <v>1334</v>
      </c>
      <c r="D264" s="267">
        <v>80530682477</v>
      </c>
      <c r="E264" s="103" t="s">
        <v>1335</v>
      </c>
      <c r="F264" s="98" t="s">
        <v>1336</v>
      </c>
      <c r="G264" s="101">
        <v>186282967</v>
      </c>
      <c r="H264" s="94">
        <v>24644</v>
      </c>
      <c r="I264" s="105"/>
      <c r="J264" s="98"/>
    </row>
    <row r="265" spans="1:10" s="1" customFormat="1" ht="15.6" x14ac:dyDescent="0.3">
      <c r="A265" s="71">
        <v>336</v>
      </c>
      <c r="B265" s="38" t="s">
        <v>699</v>
      </c>
      <c r="C265" s="38" t="s">
        <v>1337</v>
      </c>
      <c r="D265" s="267">
        <v>331033320745</v>
      </c>
      <c r="E265" s="103" t="s">
        <v>1338</v>
      </c>
      <c r="F265" s="98" t="s">
        <v>1339</v>
      </c>
      <c r="G265" s="101">
        <v>186282967</v>
      </c>
      <c r="H265" s="94">
        <v>31243</v>
      </c>
      <c r="I265" s="105"/>
      <c r="J265" s="98"/>
    </row>
    <row r="266" spans="1:10" s="1" customFormat="1" ht="15.6" x14ac:dyDescent="0.3">
      <c r="A266" s="71">
        <v>337</v>
      </c>
      <c r="B266" s="38" t="s">
        <v>699</v>
      </c>
      <c r="C266" s="38" t="s">
        <v>1340</v>
      </c>
      <c r="D266" s="267"/>
      <c r="E266" s="103"/>
      <c r="F266" s="98" t="s">
        <v>1341</v>
      </c>
      <c r="G266" s="101">
        <v>186282967</v>
      </c>
      <c r="H266" s="94">
        <v>29262</v>
      </c>
      <c r="I266" s="105"/>
      <c r="J266" s="98"/>
    </row>
    <row r="267" spans="1:10" s="1" customFormat="1" ht="15.6" x14ac:dyDescent="0.3">
      <c r="A267" s="71">
        <v>338</v>
      </c>
      <c r="B267" s="38" t="s">
        <v>705</v>
      </c>
      <c r="C267" s="38" t="s">
        <v>1342</v>
      </c>
      <c r="D267" s="267">
        <v>81294001587</v>
      </c>
      <c r="E267" s="103" t="s">
        <v>1343</v>
      </c>
      <c r="F267" s="98" t="s">
        <v>1344</v>
      </c>
      <c r="G267" s="101">
        <v>186282967</v>
      </c>
      <c r="H267" s="94">
        <v>32870</v>
      </c>
      <c r="I267" s="105"/>
      <c r="J267" s="98"/>
    </row>
    <row r="268" spans="1:10" s="1" customFormat="1" ht="15.6" x14ac:dyDescent="0.3">
      <c r="A268" s="71">
        <v>339</v>
      </c>
      <c r="B268" s="38" t="s">
        <v>699</v>
      </c>
      <c r="C268" s="38" t="s">
        <v>1345</v>
      </c>
      <c r="D268" s="267">
        <v>81203759962</v>
      </c>
      <c r="E268" s="103" t="s">
        <v>1346</v>
      </c>
      <c r="F268" s="98" t="s">
        <v>1347</v>
      </c>
      <c r="G268" s="101">
        <v>186282967</v>
      </c>
      <c r="H268" s="94">
        <v>32694</v>
      </c>
      <c r="I268" s="105"/>
      <c r="J268" s="98"/>
    </row>
    <row r="269" spans="1:10" s="1" customFormat="1" ht="15.6" x14ac:dyDescent="0.3">
      <c r="A269" s="71">
        <v>343</v>
      </c>
      <c r="B269" s="38" t="s">
        <v>705</v>
      </c>
      <c r="C269" s="38" t="s">
        <v>1348</v>
      </c>
      <c r="D269" s="267">
        <v>181025932526</v>
      </c>
      <c r="E269" s="103" t="s">
        <v>1349</v>
      </c>
      <c r="F269" s="98" t="s">
        <v>1350</v>
      </c>
      <c r="G269" s="101">
        <v>186282967</v>
      </c>
      <c r="H269" s="94">
        <v>35074</v>
      </c>
      <c r="I269" s="105"/>
      <c r="J269" s="98"/>
    </row>
    <row r="270" spans="1:10" s="1" customFormat="1" ht="15.6" x14ac:dyDescent="0.3">
      <c r="A270" s="71">
        <v>344</v>
      </c>
      <c r="B270" s="38" t="s">
        <v>705</v>
      </c>
      <c r="C270" s="38" t="s">
        <v>1351</v>
      </c>
      <c r="D270" s="267">
        <v>81043702181</v>
      </c>
      <c r="E270" s="103" t="s">
        <v>1352</v>
      </c>
      <c r="F270" s="98" t="s">
        <v>1353</v>
      </c>
      <c r="G270" s="101">
        <v>186282967</v>
      </c>
      <c r="H270" s="94">
        <v>33598</v>
      </c>
      <c r="I270" s="105"/>
      <c r="J270" s="98"/>
    </row>
    <row r="271" spans="1:10" s="1" customFormat="1" ht="15.6" x14ac:dyDescent="0.3">
      <c r="A271" s="71">
        <v>345</v>
      </c>
      <c r="B271" s="38" t="s">
        <v>705</v>
      </c>
      <c r="C271" s="38" t="s">
        <v>1354</v>
      </c>
      <c r="D271" s="267">
        <v>151044850406</v>
      </c>
      <c r="E271" s="103" t="s">
        <v>1355</v>
      </c>
      <c r="F271" s="98" t="s">
        <v>1356</v>
      </c>
      <c r="G271" s="101">
        <v>186282967</v>
      </c>
      <c r="H271" s="94">
        <v>27242</v>
      </c>
      <c r="I271" s="223" t="s">
        <v>1357</v>
      </c>
      <c r="J271" s="98"/>
    </row>
    <row r="272" spans="1:10" s="1" customFormat="1" ht="15.6" x14ac:dyDescent="0.3">
      <c r="A272" s="71">
        <v>346</v>
      </c>
      <c r="B272" s="38" t="s">
        <v>699</v>
      </c>
      <c r="C272" s="38" t="s">
        <v>1280</v>
      </c>
      <c r="D272" s="267" t="s">
        <v>1358</v>
      </c>
      <c r="E272" s="103" t="s">
        <v>1281</v>
      </c>
      <c r="F272" s="98" t="s">
        <v>1282</v>
      </c>
      <c r="G272" s="101">
        <v>186282967</v>
      </c>
      <c r="H272" s="94">
        <v>27079</v>
      </c>
      <c r="I272" s="105"/>
      <c r="J272" s="98"/>
    </row>
    <row r="273" spans="1:10" s="1" customFormat="1" ht="15.6" x14ac:dyDescent="0.3">
      <c r="A273" s="71">
        <v>347</v>
      </c>
      <c r="B273" s="38" t="s">
        <v>699</v>
      </c>
      <c r="C273" s="38" t="s">
        <v>1359</v>
      </c>
      <c r="D273" s="267">
        <v>81345306608</v>
      </c>
      <c r="E273" s="103" t="s">
        <v>1360</v>
      </c>
      <c r="F273" s="98" t="s">
        <v>1361</v>
      </c>
      <c r="G273" s="101">
        <v>186282967</v>
      </c>
      <c r="H273" s="94">
        <v>31155</v>
      </c>
      <c r="I273" s="105"/>
      <c r="J273" s="98"/>
    </row>
    <row r="274" spans="1:10" s="1" customFormat="1" ht="15.6" x14ac:dyDescent="0.3">
      <c r="A274" s="71">
        <v>348</v>
      </c>
      <c r="B274" s="38" t="s">
        <v>699</v>
      </c>
      <c r="C274" s="38" t="s">
        <v>1362</v>
      </c>
      <c r="D274" s="267">
        <v>281342425574</v>
      </c>
      <c r="E274" s="103" t="s">
        <v>1363</v>
      </c>
      <c r="F274" s="98" t="s">
        <v>1364</v>
      </c>
      <c r="G274" s="101">
        <v>186282967</v>
      </c>
      <c r="H274" s="94">
        <v>23634</v>
      </c>
      <c r="I274" s="222" t="s">
        <v>1365</v>
      </c>
      <c r="J274" s="98"/>
    </row>
    <row r="275" spans="1:10" s="1" customFormat="1" ht="15.6" x14ac:dyDescent="0.3">
      <c r="A275" s="108">
        <v>349</v>
      </c>
      <c r="B275" s="38" t="s">
        <v>705</v>
      </c>
      <c r="C275" s="38" t="s">
        <v>1366</v>
      </c>
      <c r="D275" s="267">
        <v>21016101842</v>
      </c>
      <c r="E275" s="103" t="s">
        <v>1367</v>
      </c>
      <c r="F275" s="98" t="s">
        <v>1368</v>
      </c>
      <c r="G275" s="101">
        <v>186282967</v>
      </c>
      <c r="H275" s="94">
        <v>27021</v>
      </c>
      <c r="I275" s="105"/>
      <c r="J275" s="98"/>
    </row>
    <row r="276" spans="1:10" s="1" customFormat="1" ht="15.6" x14ac:dyDescent="0.3">
      <c r="A276" s="71">
        <v>350</v>
      </c>
      <c r="B276" s="38" t="s">
        <v>699</v>
      </c>
      <c r="C276" s="38" t="s">
        <v>1369</v>
      </c>
      <c r="D276" s="267">
        <v>21013872963</v>
      </c>
      <c r="E276" s="103" t="s">
        <v>1370</v>
      </c>
      <c r="F276" s="98" t="s">
        <v>1371</v>
      </c>
      <c r="G276" s="101">
        <v>186282967</v>
      </c>
      <c r="H276" s="94">
        <v>33412</v>
      </c>
      <c r="I276" s="105"/>
      <c r="J276" s="98"/>
    </row>
    <row r="277" spans="1:10" s="1" customFormat="1" ht="15.6" x14ac:dyDescent="0.3">
      <c r="A277" s="71">
        <v>351</v>
      </c>
      <c r="B277" s="38" t="s">
        <v>699</v>
      </c>
      <c r="C277" s="38" t="s">
        <v>1372</v>
      </c>
      <c r="D277" s="267">
        <v>21013153042</v>
      </c>
      <c r="E277" s="103" t="s">
        <v>1373</v>
      </c>
      <c r="F277" s="98" t="s">
        <v>1374</v>
      </c>
      <c r="G277" s="101">
        <v>186282967</v>
      </c>
      <c r="H277" s="94">
        <v>32844</v>
      </c>
      <c r="I277" s="105"/>
      <c r="J277" s="98"/>
    </row>
    <row r="278" spans="1:10" s="1" customFormat="1" ht="15.6" x14ac:dyDescent="0.3">
      <c r="A278" s="71">
        <v>352</v>
      </c>
      <c r="B278" s="38" t="s">
        <v>705</v>
      </c>
      <c r="C278" s="38" t="s">
        <v>1375</v>
      </c>
      <c r="D278" s="267">
        <v>21001726240</v>
      </c>
      <c r="E278" s="103" t="s">
        <v>1376</v>
      </c>
      <c r="F278" s="98" t="s">
        <v>1377</v>
      </c>
      <c r="G278" s="101">
        <v>186282967</v>
      </c>
      <c r="H278" s="94">
        <v>28629</v>
      </c>
      <c r="I278" s="105"/>
      <c r="J278" s="98"/>
    </row>
    <row r="279" spans="1:10" s="1" customFormat="1" ht="15.6" x14ac:dyDescent="0.3">
      <c r="A279" s="71">
        <v>353</v>
      </c>
      <c r="B279" s="38" t="s">
        <v>705</v>
      </c>
      <c r="C279" s="38" t="s">
        <v>1378</v>
      </c>
      <c r="D279" s="267">
        <v>21023476468</v>
      </c>
      <c r="E279" s="103" t="s">
        <v>1379</v>
      </c>
      <c r="F279" s="98" t="s">
        <v>1380</v>
      </c>
      <c r="G279" s="101">
        <v>186282967</v>
      </c>
      <c r="H279" s="94">
        <v>35426</v>
      </c>
      <c r="I279" s="105"/>
      <c r="J279" s="98"/>
    </row>
    <row r="280" spans="1:10" s="1" customFormat="1" ht="15.6" x14ac:dyDescent="0.3">
      <c r="A280" s="71">
        <v>354</v>
      </c>
      <c r="B280" s="38" t="s">
        <v>705</v>
      </c>
      <c r="C280" s="38" t="s">
        <v>1381</v>
      </c>
      <c r="D280" s="267">
        <v>21006067901</v>
      </c>
      <c r="E280" s="103" t="s">
        <v>1382</v>
      </c>
      <c r="F280" s="98" t="s">
        <v>1383</v>
      </c>
      <c r="G280" s="101">
        <v>186282967</v>
      </c>
      <c r="H280" s="94">
        <v>29324</v>
      </c>
      <c r="I280" s="105"/>
      <c r="J280" s="98"/>
    </row>
    <row r="281" spans="1:10" s="1" customFormat="1" ht="15.6" x14ac:dyDescent="0.3">
      <c r="A281" s="71">
        <v>355</v>
      </c>
      <c r="B281" s="38" t="s">
        <v>699</v>
      </c>
      <c r="C281" s="38" t="s">
        <v>1384</v>
      </c>
      <c r="D281" s="267">
        <v>21014052920</v>
      </c>
      <c r="E281" s="103" t="s">
        <v>1385</v>
      </c>
      <c r="F281" s="98" t="s">
        <v>1386</v>
      </c>
      <c r="G281" s="101">
        <v>186282967</v>
      </c>
      <c r="H281" s="94">
        <v>33513</v>
      </c>
      <c r="I281" s="105"/>
      <c r="J281" s="98"/>
    </row>
    <row r="282" spans="1:10" s="1" customFormat="1" ht="15.6" x14ac:dyDescent="0.3">
      <c r="A282" s="71">
        <v>356</v>
      </c>
      <c r="B282" s="38" t="s">
        <v>699</v>
      </c>
      <c r="C282" s="38" t="s">
        <v>1387</v>
      </c>
      <c r="D282" s="267">
        <v>21010937200</v>
      </c>
      <c r="E282" s="103" t="s">
        <v>1388</v>
      </c>
      <c r="F282" s="98" t="s">
        <v>1389</v>
      </c>
      <c r="G282" s="101">
        <v>186282967</v>
      </c>
      <c r="H282" s="94">
        <v>32485</v>
      </c>
      <c r="I282" s="105"/>
      <c r="J282" s="98"/>
    </row>
    <row r="283" spans="1:10" s="1" customFormat="1" ht="15.6" x14ac:dyDescent="0.3">
      <c r="A283" s="71">
        <v>357</v>
      </c>
      <c r="B283" s="38" t="s">
        <v>705</v>
      </c>
      <c r="C283" s="38" t="s">
        <v>1390</v>
      </c>
      <c r="D283" s="267">
        <v>21000939025</v>
      </c>
      <c r="E283" s="103" t="s">
        <v>1391</v>
      </c>
      <c r="F283" s="98" t="s">
        <v>1392</v>
      </c>
      <c r="G283" s="101">
        <v>186282967</v>
      </c>
      <c r="H283" s="94">
        <v>27455</v>
      </c>
      <c r="I283" s="105"/>
      <c r="J283" s="98"/>
    </row>
    <row r="284" spans="1:10" s="1" customFormat="1" ht="15.6" x14ac:dyDescent="0.3">
      <c r="A284" s="71">
        <v>358</v>
      </c>
      <c r="B284" s="38" t="s">
        <v>699</v>
      </c>
      <c r="C284" s="38" t="s">
        <v>1393</v>
      </c>
      <c r="D284" s="267">
        <v>21023110292</v>
      </c>
      <c r="E284" s="103" t="s">
        <v>1394</v>
      </c>
      <c r="F284" s="98" t="s">
        <v>1395</v>
      </c>
      <c r="G284" s="101">
        <v>186282967</v>
      </c>
      <c r="H284" s="94">
        <v>36018</v>
      </c>
      <c r="I284" s="105"/>
      <c r="J284" s="98"/>
    </row>
    <row r="285" spans="1:10" s="1" customFormat="1" ht="15.6" x14ac:dyDescent="0.3">
      <c r="A285" s="71">
        <v>359</v>
      </c>
      <c r="B285" s="38" t="s">
        <v>705</v>
      </c>
      <c r="C285" s="38" t="s">
        <v>1396</v>
      </c>
      <c r="D285" s="267">
        <v>81221035662</v>
      </c>
      <c r="E285" s="103" t="s">
        <v>1397</v>
      </c>
      <c r="F285" s="98" t="s">
        <v>1398</v>
      </c>
      <c r="G285" s="101">
        <v>186282967</v>
      </c>
      <c r="H285" s="94">
        <v>36286</v>
      </c>
      <c r="I285" s="105"/>
      <c r="J285" s="98"/>
    </row>
    <row r="286" spans="1:10" s="1" customFormat="1" ht="15.6" x14ac:dyDescent="0.3">
      <c r="A286" s="71">
        <v>360</v>
      </c>
      <c r="B286" s="38" t="s">
        <v>705</v>
      </c>
      <c r="C286" s="38" t="s">
        <v>1399</v>
      </c>
      <c r="D286" s="267">
        <v>440018655267</v>
      </c>
      <c r="E286" s="103" t="s">
        <v>1400</v>
      </c>
      <c r="F286" s="98" t="s">
        <v>1401</v>
      </c>
      <c r="G286" s="101">
        <v>186282967</v>
      </c>
      <c r="H286" s="94">
        <v>22666</v>
      </c>
      <c r="I286" s="105"/>
      <c r="J286" s="98"/>
    </row>
    <row r="287" spans="1:10" s="1" customFormat="1" ht="15.6" x14ac:dyDescent="0.3">
      <c r="A287" s="71">
        <v>361</v>
      </c>
      <c r="B287" s="38" t="s">
        <v>705</v>
      </c>
      <c r="C287" s="38" t="s">
        <v>1402</v>
      </c>
      <c r="D287" s="267">
        <v>81193978827</v>
      </c>
      <c r="E287" s="103" t="s">
        <v>1403</v>
      </c>
      <c r="F287" s="98" t="s">
        <v>1404</v>
      </c>
      <c r="G287" s="101">
        <v>186282967</v>
      </c>
      <c r="H287" s="94">
        <v>32776</v>
      </c>
      <c r="I287" s="105"/>
      <c r="J287" s="98"/>
    </row>
    <row r="288" spans="1:10" s="1" customFormat="1" ht="15.6" x14ac:dyDescent="0.3">
      <c r="A288" s="71">
        <v>362</v>
      </c>
      <c r="B288" s="38" t="s">
        <v>699</v>
      </c>
      <c r="C288" s="38" t="s">
        <v>1405</v>
      </c>
      <c r="D288" s="267">
        <v>81196987746</v>
      </c>
      <c r="E288" s="103" t="s">
        <v>1406</v>
      </c>
      <c r="F288" s="98" t="s">
        <v>1407</v>
      </c>
      <c r="G288" s="101">
        <v>186282967</v>
      </c>
      <c r="H288" s="94">
        <v>20041</v>
      </c>
      <c r="I288" s="105"/>
      <c r="J288" s="98"/>
    </row>
    <row r="289" spans="1:10" s="1" customFormat="1" ht="15.6" x14ac:dyDescent="0.3">
      <c r="A289" s="71">
        <v>363</v>
      </c>
      <c r="B289" s="38" t="s">
        <v>699</v>
      </c>
      <c r="C289" s="38" t="s">
        <v>1408</v>
      </c>
      <c r="D289" s="267">
        <v>81098599737</v>
      </c>
      <c r="E289" s="103" t="s">
        <v>1409</v>
      </c>
      <c r="F289" s="98" t="s">
        <v>1410</v>
      </c>
      <c r="G289" s="101">
        <v>186282967</v>
      </c>
      <c r="H289" s="94">
        <v>30269</v>
      </c>
      <c r="I289" s="105"/>
      <c r="J289" s="98"/>
    </row>
    <row r="290" spans="1:10" s="1" customFormat="1" ht="15.6" x14ac:dyDescent="0.3">
      <c r="A290" s="71">
        <v>364</v>
      </c>
      <c r="B290" s="38" t="s">
        <v>699</v>
      </c>
      <c r="C290" s="38" t="s">
        <v>1411</v>
      </c>
      <c r="D290" s="267">
        <v>81172824440</v>
      </c>
      <c r="E290" s="103" t="s">
        <v>1412</v>
      </c>
      <c r="F290" s="98" t="s">
        <v>1413</v>
      </c>
      <c r="G290" s="101">
        <v>186282967</v>
      </c>
      <c r="H290" s="94">
        <v>27998</v>
      </c>
      <c r="I290" s="105"/>
      <c r="J290" s="98"/>
    </row>
    <row r="291" spans="1:10" s="1" customFormat="1" ht="15.6" x14ac:dyDescent="0.3">
      <c r="A291" s="71">
        <v>365</v>
      </c>
      <c r="B291" s="38" t="s">
        <v>705</v>
      </c>
      <c r="C291" s="38" t="s">
        <v>1414</v>
      </c>
      <c r="D291" s="267">
        <v>81148227765</v>
      </c>
      <c r="E291" s="103" t="s">
        <v>1415</v>
      </c>
      <c r="F291" s="98" t="s">
        <v>1416</v>
      </c>
      <c r="G291" s="101">
        <v>186282967</v>
      </c>
      <c r="H291" s="94">
        <v>32362</v>
      </c>
      <c r="I291" s="105"/>
      <c r="J291" s="98"/>
    </row>
    <row r="292" spans="1:10" s="1" customFormat="1" ht="15.6" x14ac:dyDescent="0.3">
      <c r="A292" s="71">
        <v>366</v>
      </c>
      <c r="B292" s="38" t="s">
        <v>705</v>
      </c>
      <c r="C292" s="38" t="s">
        <v>1417</v>
      </c>
      <c r="D292" s="267">
        <v>81035462538</v>
      </c>
      <c r="E292" s="103" t="s">
        <v>1418</v>
      </c>
      <c r="F292" s="98" t="s">
        <v>1419</v>
      </c>
      <c r="G292" s="101">
        <v>186282967</v>
      </c>
      <c r="H292" s="94">
        <v>23597</v>
      </c>
      <c r="I292" s="105"/>
      <c r="J292" s="98"/>
    </row>
    <row r="293" spans="1:10" s="1" customFormat="1" ht="15.6" x14ac:dyDescent="0.3">
      <c r="A293" s="71">
        <v>367</v>
      </c>
      <c r="B293" s="38" t="s">
        <v>705</v>
      </c>
      <c r="C293" s="38" t="s">
        <v>1420</v>
      </c>
      <c r="D293" s="267">
        <v>481027476750</v>
      </c>
      <c r="E293" s="103" t="s">
        <v>1421</v>
      </c>
      <c r="F293" s="98" t="s">
        <v>1422</v>
      </c>
      <c r="G293" s="101">
        <v>186282967</v>
      </c>
      <c r="H293" s="94">
        <v>29452</v>
      </c>
      <c r="I293" s="223" t="s">
        <v>1423</v>
      </c>
      <c r="J293" s="98"/>
    </row>
    <row r="294" spans="1:10" s="1" customFormat="1" ht="15.6" x14ac:dyDescent="0.3">
      <c r="A294" s="71">
        <v>368</v>
      </c>
      <c r="B294" s="38" t="s">
        <v>705</v>
      </c>
      <c r="C294" s="38" t="s">
        <v>1424</v>
      </c>
      <c r="D294" s="267">
        <v>81233191883</v>
      </c>
      <c r="E294" s="103" t="s">
        <v>1425</v>
      </c>
      <c r="F294" s="98" t="s">
        <v>1426</v>
      </c>
      <c r="G294" s="101">
        <v>186282967</v>
      </c>
      <c r="H294" s="94">
        <v>34985</v>
      </c>
      <c r="I294" s="105"/>
      <c r="J294" s="98"/>
    </row>
    <row r="295" spans="1:10" s="1" customFormat="1" ht="15.6" x14ac:dyDescent="0.3">
      <c r="A295" s="71">
        <v>369</v>
      </c>
      <c r="B295" s="38" t="s">
        <v>699</v>
      </c>
      <c r="C295" s="38" t="s">
        <v>1427</v>
      </c>
      <c r="D295" s="267">
        <v>81253543089</v>
      </c>
      <c r="E295" s="103" t="s">
        <v>1428</v>
      </c>
      <c r="F295" s="98" t="s">
        <v>1429</v>
      </c>
      <c r="G295" s="101">
        <v>186282967</v>
      </c>
      <c r="H295" s="94">
        <v>32796</v>
      </c>
      <c r="I295" s="105"/>
      <c r="J295" s="98"/>
    </row>
    <row r="296" spans="1:10" s="1" customFormat="1" ht="15.6" x14ac:dyDescent="0.3">
      <c r="A296" s="71">
        <v>370</v>
      </c>
      <c r="B296" s="38" t="s">
        <v>705</v>
      </c>
      <c r="C296" s="38" t="s">
        <v>1430</v>
      </c>
      <c r="D296" s="267">
        <v>81185316424</v>
      </c>
      <c r="E296" s="103" t="s">
        <v>1431</v>
      </c>
      <c r="F296" s="98" t="s">
        <v>1432</v>
      </c>
      <c r="G296" s="101">
        <v>186282967</v>
      </c>
      <c r="H296" s="94">
        <v>31896</v>
      </c>
      <c r="I296" s="105"/>
      <c r="J296" s="98"/>
    </row>
    <row r="297" spans="1:10" s="1" customFormat="1" ht="15.6" x14ac:dyDescent="0.3">
      <c r="A297" s="71">
        <v>371</v>
      </c>
      <c r="B297" s="38" t="s">
        <v>699</v>
      </c>
      <c r="C297" s="38" t="s">
        <v>1433</v>
      </c>
      <c r="D297" s="267">
        <v>81147251503</v>
      </c>
      <c r="E297" s="103" t="s">
        <v>1434</v>
      </c>
      <c r="F297" s="98" t="s">
        <v>1435</v>
      </c>
      <c r="G297" s="101">
        <v>186282967</v>
      </c>
      <c r="H297" s="94">
        <v>32343</v>
      </c>
      <c r="I297" s="105"/>
      <c r="J297" s="98"/>
    </row>
    <row r="298" spans="1:10" s="1" customFormat="1" ht="15.6" x14ac:dyDescent="0.3">
      <c r="A298" s="71">
        <v>372</v>
      </c>
      <c r="B298" s="38" t="s">
        <v>705</v>
      </c>
      <c r="C298" s="38" t="s">
        <v>1436</v>
      </c>
      <c r="D298" s="267">
        <v>281142268296</v>
      </c>
      <c r="E298" s="103" t="s">
        <v>1437</v>
      </c>
      <c r="F298" s="98" t="s">
        <v>1438</v>
      </c>
      <c r="G298" s="101">
        <v>186282967</v>
      </c>
      <c r="H298" s="94">
        <v>31318</v>
      </c>
      <c r="I298" s="105"/>
      <c r="J298" s="98"/>
    </row>
    <row r="299" spans="1:10" s="1" customFormat="1" ht="15.6" x14ac:dyDescent="0.3">
      <c r="A299" s="71">
        <v>373</v>
      </c>
      <c r="B299" s="38" t="s">
        <v>699</v>
      </c>
      <c r="C299" s="38" t="s">
        <v>1439</v>
      </c>
      <c r="D299" s="267">
        <v>281352770727</v>
      </c>
      <c r="E299" s="103" t="s">
        <v>1440</v>
      </c>
      <c r="F299" s="98" t="s">
        <v>1441</v>
      </c>
      <c r="G299" s="101">
        <v>186282967</v>
      </c>
      <c r="H299" s="94">
        <v>33504</v>
      </c>
      <c r="I299" s="105"/>
      <c r="J299" s="98"/>
    </row>
    <row r="300" spans="1:10" s="1" customFormat="1" ht="15.6" x14ac:dyDescent="0.3">
      <c r="A300" s="71">
        <v>374</v>
      </c>
      <c r="B300" s="38" t="s">
        <v>699</v>
      </c>
      <c r="C300" s="38" t="s">
        <v>1442</v>
      </c>
      <c r="D300" s="267">
        <v>281212859341</v>
      </c>
      <c r="E300" s="103" t="s">
        <v>1443</v>
      </c>
      <c r="F300" s="98" t="s">
        <v>1444</v>
      </c>
      <c r="G300" s="101">
        <v>186282967</v>
      </c>
      <c r="H300" s="94">
        <v>31318</v>
      </c>
      <c r="I300" s="105"/>
      <c r="J300" s="98"/>
    </row>
    <row r="301" spans="1:10" s="1" customFormat="1" ht="15.6" x14ac:dyDescent="0.3">
      <c r="A301" s="71">
        <v>375</v>
      </c>
      <c r="B301" s="38" t="s">
        <v>705</v>
      </c>
      <c r="C301" s="38" t="s">
        <v>1445</v>
      </c>
      <c r="D301" s="267">
        <v>281285134748</v>
      </c>
      <c r="E301" s="103" t="s">
        <v>1446</v>
      </c>
      <c r="F301" s="98" t="s">
        <v>1447</v>
      </c>
      <c r="G301" s="101">
        <v>186282967</v>
      </c>
      <c r="H301" s="94">
        <v>33191</v>
      </c>
      <c r="I301" s="105"/>
      <c r="J301" s="98"/>
    </row>
    <row r="302" spans="1:10" s="1" customFormat="1" ht="15.6" x14ac:dyDescent="0.3">
      <c r="A302" s="71">
        <v>376</v>
      </c>
      <c r="B302" s="38" t="s">
        <v>705</v>
      </c>
      <c r="C302" s="38" t="s">
        <v>1448</v>
      </c>
      <c r="D302" s="267">
        <v>201025077375</v>
      </c>
      <c r="E302" s="103" t="s">
        <v>1449</v>
      </c>
      <c r="F302" s="98" t="s">
        <v>1450</v>
      </c>
      <c r="G302" s="101">
        <v>186282967</v>
      </c>
      <c r="H302" s="94">
        <v>30892</v>
      </c>
      <c r="I302" s="105"/>
      <c r="J302" s="98"/>
    </row>
    <row r="303" spans="1:10" s="1" customFormat="1" ht="15.6" x14ac:dyDescent="0.3">
      <c r="A303" s="71">
        <v>377</v>
      </c>
      <c r="B303" s="38" t="s">
        <v>699</v>
      </c>
      <c r="C303" s="38" t="s">
        <v>1451</v>
      </c>
      <c r="D303" s="267">
        <v>81323263053</v>
      </c>
      <c r="E303" s="103" t="s">
        <v>1452</v>
      </c>
      <c r="F303" s="98" t="s">
        <v>1453</v>
      </c>
      <c r="G303" s="101">
        <v>186282967</v>
      </c>
      <c r="H303" s="94">
        <v>33094</v>
      </c>
      <c r="I303" s="105"/>
      <c r="J303" s="98"/>
    </row>
    <row r="304" spans="1:10" s="1" customFormat="1" ht="15.6" x14ac:dyDescent="0.3">
      <c r="A304" s="71">
        <v>378</v>
      </c>
      <c r="B304" s="38" t="s">
        <v>705</v>
      </c>
      <c r="C304" s="38" t="s">
        <v>1454</v>
      </c>
      <c r="D304" s="267">
        <v>431001939663</v>
      </c>
      <c r="E304" s="103" t="s">
        <v>1455</v>
      </c>
      <c r="F304" s="98" t="s">
        <v>1456</v>
      </c>
      <c r="G304" s="101">
        <v>186282967</v>
      </c>
      <c r="H304" s="94">
        <v>28327</v>
      </c>
      <c r="I304" s="105"/>
      <c r="J304" s="98"/>
    </row>
    <row r="305" spans="1:10" s="1" customFormat="1" ht="15.6" x14ac:dyDescent="0.3">
      <c r="A305" s="71">
        <v>379</v>
      </c>
      <c r="B305" s="38" t="s">
        <v>699</v>
      </c>
      <c r="C305" s="38" t="s">
        <v>1457</v>
      </c>
      <c r="D305" s="267">
        <v>41019797813</v>
      </c>
      <c r="E305" s="103" t="s">
        <v>1458</v>
      </c>
      <c r="F305" s="98" t="s">
        <v>1459</v>
      </c>
      <c r="G305" s="101">
        <v>186282967</v>
      </c>
      <c r="H305" s="94">
        <v>36509</v>
      </c>
      <c r="I305" s="105"/>
      <c r="J305" s="98"/>
    </row>
    <row r="306" spans="1:10" s="1" customFormat="1" ht="15.6" x14ac:dyDescent="0.3">
      <c r="A306" s="71">
        <v>380</v>
      </c>
      <c r="B306" s="38" t="s">
        <v>699</v>
      </c>
      <c r="C306" s="38" t="s">
        <v>1460</v>
      </c>
      <c r="D306" s="267">
        <v>461035305793</v>
      </c>
      <c r="E306" s="103" t="s">
        <v>1461</v>
      </c>
      <c r="F306" s="98" t="s">
        <v>1462</v>
      </c>
      <c r="G306" s="101">
        <v>186282967</v>
      </c>
      <c r="H306" s="94">
        <v>27161</v>
      </c>
      <c r="I306" s="105"/>
      <c r="J306" s="98"/>
    </row>
    <row r="307" spans="1:10" s="1" customFormat="1" ht="15.6" x14ac:dyDescent="0.3">
      <c r="A307" s="71">
        <v>381</v>
      </c>
      <c r="B307" s="38" t="s">
        <v>705</v>
      </c>
      <c r="C307" s="38" t="s">
        <v>1463</v>
      </c>
      <c r="D307" s="267">
        <v>40038121922</v>
      </c>
      <c r="E307" s="103" t="s">
        <v>1464</v>
      </c>
      <c r="F307" s="98" t="s">
        <v>1465</v>
      </c>
      <c r="G307" s="101">
        <v>186282967</v>
      </c>
      <c r="H307" s="94">
        <v>25468</v>
      </c>
      <c r="I307" s="105"/>
      <c r="J307" s="98"/>
    </row>
    <row r="308" spans="1:10" s="1" customFormat="1" ht="15.6" x14ac:dyDescent="0.3">
      <c r="A308" s="71">
        <v>382</v>
      </c>
      <c r="B308" s="38" t="s">
        <v>705</v>
      </c>
      <c r="C308" s="38" t="s">
        <v>1466</v>
      </c>
      <c r="D308" s="267">
        <v>40038120710</v>
      </c>
      <c r="E308" s="103" t="s">
        <v>1467</v>
      </c>
      <c r="F308" s="98" t="s">
        <v>1468</v>
      </c>
      <c r="G308" s="101">
        <v>186282967</v>
      </c>
      <c r="H308" s="94">
        <v>26554</v>
      </c>
      <c r="I308" s="105"/>
      <c r="J308" s="98"/>
    </row>
    <row r="309" spans="1:10" s="1" customFormat="1" ht="15.6" x14ac:dyDescent="0.3">
      <c r="A309" s="71">
        <v>383</v>
      </c>
      <c r="B309" s="38" t="s">
        <v>699</v>
      </c>
      <c r="C309" s="38" t="s">
        <v>1469</v>
      </c>
      <c r="D309" s="267">
        <v>181053790825</v>
      </c>
      <c r="E309" s="103" t="s">
        <v>1470</v>
      </c>
      <c r="F309" s="98" t="s">
        <v>1471</v>
      </c>
      <c r="G309" s="101">
        <v>186282967</v>
      </c>
      <c r="H309" s="94">
        <v>28987</v>
      </c>
      <c r="I309" s="105"/>
      <c r="J309" s="98"/>
    </row>
    <row r="310" spans="1:10" s="1" customFormat="1" ht="15.6" x14ac:dyDescent="0.3">
      <c r="A310" s="71">
        <v>384</v>
      </c>
      <c r="B310" s="38" t="s">
        <v>699</v>
      </c>
      <c r="C310" s="38" t="s">
        <v>1472</v>
      </c>
      <c r="D310" s="267">
        <v>221005705332</v>
      </c>
      <c r="E310" s="103" t="s">
        <v>1473</v>
      </c>
      <c r="F310" s="98" t="s">
        <v>1474</v>
      </c>
      <c r="G310" s="101">
        <v>186282967</v>
      </c>
      <c r="H310" s="94">
        <v>31432</v>
      </c>
      <c r="I310" s="105"/>
      <c r="J310" s="98"/>
    </row>
    <row r="311" spans="1:10" s="1" customFormat="1" ht="15.6" x14ac:dyDescent="0.3">
      <c r="A311" s="71">
        <v>385</v>
      </c>
      <c r="B311" s="38" t="s">
        <v>699</v>
      </c>
      <c r="C311" s="38" t="s">
        <v>1475</v>
      </c>
      <c r="D311" s="267">
        <v>81318295441</v>
      </c>
      <c r="E311" s="103" t="s">
        <v>1476</v>
      </c>
      <c r="F311" s="98" t="s">
        <v>1477</v>
      </c>
      <c r="G311" s="101">
        <v>186282967</v>
      </c>
      <c r="H311" s="94">
        <v>32703</v>
      </c>
      <c r="I311" s="105"/>
      <c r="J311" s="98"/>
    </row>
    <row r="312" spans="1:10" s="1" customFormat="1" ht="15.6" x14ac:dyDescent="0.3">
      <c r="A312" s="71">
        <v>386</v>
      </c>
      <c r="B312" s="38" t="s">
        <v>699</v>
      </c>
      <c r="C312" s="38" t="s">
        <v>1478</v>
      </c>
      <c r="D312" s="267">
        <v>81224934052</v>
      </c>
      <c r="E312" s="103" t="s">
        <v>1479</v>
      </c>
      <c r="F312" s="98" t="s">
        <v>1480</v>
      </c>
      <c r="G312" s="101">
        <v>186282967</v>
      </c>
      <c r="H312" s="94">
        <v>34464</v>
      </c>
      <c r="I312" s="105"/>
      <c r="J312" s="98"/>
    </row>
    <row r="313" spans="1:10" s="1" customFormat="1" ht="15.6" x14ac:dyDescent="0.3">
      <c r="A313" s="71">
        <v>387</v>
      </c>
      <c r="B313" s="38" t="s">
        <v>699</v>
      </c>
      <c r="C313" s="38" t="s">
        <v>1481</v>
      </c>
      <c r="D313" s="267">
        <v>81184788176</v>
      </c>
      <c r="E313" s="103" t="s">
        <v>1482</v>
      </c>
      <c r="F313" s="98" t="s">
        <v>1483</v>
      </c>
      <c r="G313" s="101">
        <v>186282967</v>
      </c>
      <c r="H313" s="94">
        <v>28667</v>
      </c>
      <c r="I313" s="105"/>
      <c r="J313" s="98"/>
    </row>
    <row r="314" spans="1:10" s="1" customFormat="1" ht="15.6" x14ac:dyDescent="0.3">
      <c r="A314" s="71">
        <v>388</v>
      </c>
      <c r="B314" s="38" t="s">
        <v>699</v>
      </c>
      <c r="C314" s="38" t="s">
        <v>1484</v>
      </c>
      <c r="D314" s="267">
        <v>81194846066</v>
      </c>
      <c r="E314" s="103" t="s">
        <v>1485</v>
      </c>
      <c r="F314" s="98" t="s">
        <v>1486</v>
      </c>
      <c r="G314" s="101">
        <v>186282967</v>
      </c>
      <c r="H314" s="94">
        <v>33414</v>
      </c>
      <c r="I314" s="105"/>
      <c r="J314" s="98"/>
    </row>
    <row r="315" spans="1:10" s="1" customFormat="1" ht="15.6" x14ac:dyDescent="0.3">
      <c r="A315" s="71">
        <v>389</v>
      </c>
      <c r="B315" s="38" t="s">
        <v>699</v>
      </c>
      <c r="C315" s="38" t="s">
        <v>1487</v>
      </c>
      <c r="D315" s="267">
        <v>31019251191</v>
      </c>
      <c r="E315" s="103" t="s">
        <v>1488</v>
      </c>
      <c r="F315" s="98" t="s">
        <v>1489</v>
      </c>
      <c r="G315" s="101">
        <v>186282967</v>
      </c>
      <c r="H315" s="94">
        <v>30125</v>
      </c>
      <c r="I315" s="105"/>
      <c r="J315" s="98"/>
    </row>
    <row r="316" spans="1:10" s="1" customFormat="1" ht="15.6" x14ac:dyDescent="0.3">
      <c r="A316" s="71">
        <v>390</v>
      </c>
      <c r="B316" s="38" t="s">
        <v>705</v>
      </c>
      <c r="C316" s="38" t="s">
        <v>1490</v>
      </c>
      <c r="D316" s="267">
        <v>281212518831</v>
      </c>
      <c r="E316" s="103" t="s">
        <v>1491</v>
      </c>
      <c r="F316" s="98" t="s">
        <v>1492</v>
      </c>
      <c r="G316" s="101">
        <v>186282967</v>
      </c>
      <c r="H316" s="94">
        <v>31644</v>
      </c>
      <c r="I316" s="105"/>
      <c r="J316" s="98"/>
    </row>
    <row r="317" spans="1:10" s="1" customFormat="1" ht="15.6" x14ac:dyDescent="0.3">
      <c r="A317" s="71">
        <v>391</v>
      </c>
      <c r="B317" s="38" t="s">
        <v>699</v>
      </c>
      <c r="C317" s="38" t="s">
        <v>1493</v>
      </c>
      <c r="D317" s="267">
        <v>81211713457</v>
      </c>
      <c r="E317" s="103" t="s">
        <v>1494</v>
      </c>
      <c r="F317" s="98" t="s">
        <v>1495</v>
      </c>
      <c r="G317" s="101">
        <v>186282967</v>
      </c>
      <c r="H317" s="94">
        <v>32564</v>
      </c>
      <c r="I317" s="105"/>
      <c r="J317" s="98"/>
    </row>
    <row r="318" spans="1:10" s="1" customFormat="1" ht="15.6" x14ac:dyDescent="0.3">
      <c r="A318" s="71">
        <v>392</v>
      </c>
      <c r="B318" s="38" t="s">
        <v>705</v>
      </c>
      <c r="C318" s="38" t="s">
        <v>1496</v>
      </c>
      <c r="D318" s="267">
        <v>300088477688</v>
      </c>
      <c r="E318" s="103" t="s">
        <v>1497</v>
      </c>
      <c r="F318" s="98" t="s">
        <v>1498</v>
      </c>
      <c r="G318" s="101">
        <v>186282967</v>
      </c>
      <c r="H318" s="94">
        <v>26118</v>
      </c>
      <c r="I318" s="105"/>
      <c r="J318" s="98"/>
    </row>
    <row r="319" spans="1:10" s="1" customFormat="1" ht="15.6" x14ac:dyDescent="0.3">
      <c r="A319" s="71">
        <v>393</v>
      </c>
      <c r="B319" s="38" t="s">
        <v>705</v>
      </c>
      <c r="C319" s="38" t="s">
        <v>1499</v>
      </c>
      <c r="D319" s="267">
        <v>31053890396</v>
      </c>
      <c r="E319" s="103" t="s">
        <v>1500</v>
      </c>
      <c r="F319" s="98" t="s">
        <v>1501</v>
      </c>
      <c r="G319" s="101">
        <v>186282967</v>
      </c>
      <c r="H319" s="94">
        <v>28339</v>
      </c>
      <c r="I319" s="105"/>
      <c r="J319" s="98"/>
    </row>
    <row r="320" spans="1:10" s="1" customFormat="1" ht="15.6" x14ac:dyDescent="0.3">
      <c r="A320" s="71">
        <v>394</v>
      </c>
      <c r="B320" s="38" t="s">
        <v>699</v>
      </c>
      <c r="C320" s="38" t="s">
        <v>1502</v>
      </c>
      <c r="D320" s="267">
        <v>81285202071</v>
      </c>
      <c r="E320" s="103" t="s">
        <v>1503</v>
      </c>
      <c r="F320" s="98" t="s">
        <v>1504</v>
      </c>
      <c r="G320" s="101">
        <v>186282967</v>
      </c>
      <c r="H320" s="94">
        <v>33718</v>
      </c>
      <c r="I320" s="105"/>
      <c r="J320" s="98"/>
    </row>
    <row r="321" spans="1:10" s="1" customFormat="1" ht="15.6" x14ac:dyDescent="0.3">
      <c r="A321" s="71">
        <v>395</v>
      </c>
      <c r="B321" s="38" t="s">
        <v>699</v>
      </c>
      <c r="C321" s="38" t="s">
        <v>1505</v>
      </c>
      <c r="D321" s="267">
        <v>81210787210</v>
      </c>
      <c r="E321" s="103" t="s">
        <v>1506</v>
      </c>
      <c r="F321" s="98" t="s">
        <v>1507</v>
      </c>
      <c r="G321" s="101">
        <v>186282967</v>
      </c>
      <c r="H321" s="94">
        <v>33030</v>
      </c>
      <c r="I321" s="105"/>
      <c r="J321" s="98"/>
    </row>
    <row r="322" spans="1:10" s="1" customFormat="1" ht="15.6" x14ac:dyDescent="0.3">
      <c r="A322" s="71">
        <v>396</v>
      </c>
      <c r="B322" s="38" t="s">
        <v>699</v>
      </c>
      <c r="C322" s="38" t="s">
        <v>1508</v>
      </c>
      <c r="D322" s="267">
        <v>81260117063</v>
      </c>
      <c r="E322" s="103" t="s">
        <v>1509</v>
      </c>
      <c r="F322" s="98" t="s">
        <v>1510</v>
      </c>
      <c r="G322" s="101">
        <v>186282967</v>
      </c>
      <c r="H322" s="94">
        <v>33520</v>
      </c>
      <c r="I322" s="105"/>
      <c r="J322" s="98"/>
    </row>
    <row r="323" spans="1:10" s="1" customFormat="1" ht="15.6" x14ac:dyDescent="0.3">
      <c r="A323" s="71">
        <v>397</v>
      </c>
      <c r="B323" s="38" t="s">
        <v>705</v>
      </c>
      <c r="C323" s="38" t="s">
        <v>1511</v>
      </c>
      <c r="D323" s="267">
        <v>81230641591</v>
      </c>
      <c r="E323" s="103" t="s">
        <v>1512</v>
      </c>
      <c r="F323" s="98" t="s">
        <v>1513</v>
      </c>
      <c r="G323" s="101">
        <v>186282967</v>
      </c>
      <c r="H323" s="94">
        <v>33000</v>
      </c>
      <c r="I323" s="105"/>
      <c r="J323" s="98"/>
    </row>
    <row r="324" spans="1:10" s="1" customFormat="1" ht="15.6" x14ac:dyDescent="0.3">
      <c r="A324" s="71">
        <v>398</v>
      </c>
      <c r="B324" s="38" t="s">
        <v>705</v>
      </c>
      <c r="C324" s="38" t="s">
        <v>1514</v>
      </c>
      <c r="D324" s="267">
        <v>81199191464</v>
      </c>
      <c r="E324" s="103" t="s">
        <v>1515</v>
      </c>
      <c r="F324" s="98" t="s">
        <v>1516</v>
      </c>
      <c r="G324" s="101">
        <v>186282967</v>
      </c>
      <c r="H324" s="94">
        <v>33723</v>
      </c>
      <c r="I324" s="105"/>
      <c r="J324" s="98"/>
    </row>
    <row r="325" spans="1:10" s="1" customFormat="1" ht="15.6" x14ac:dyDescent="0.3">
      <c r="A325" s="71">
        <v>399</v>
      </c>
      <c r="B325" s="38" t="s">
        <v>699</v>
      </c>
      <c r="C325" s="38" t="s">
        <v>1517</v>
      </c>
      <c r="D325" s="267">
        <v>481036602329</v>
      </c>
      <c r="E325" s="103" t="s">
        <v>1518</v>
      </c>
      <c r="F325" s="98" t="s">
        <v>1519</v>
      </c>
      <c r="G325" s="101">
        <v>186282967</v>
      </c>
      <c r="H325" s="94">
        <v>32739</v>
      </c>
      <c r="I325" s="105"/>
      <c r="J325" s="98"/>
    </row>
    <row r="326" spans="1:10" s="1" customFormat="1" ht="15.6" x14ac:dyDescent="0.3">
      <c r="A326" s="71">
        <v>400</v>
      </c>
      <c r="B326" s="38" t="s">
        <v>699</v>
      </c>
      <c r="C326" s="38" t="s">
        <v>1520</v>
      </c>
      <c r="D326" s="267">
        <v>481055497727</v>
      </c>
      <c r="E326" s="103" t="s">
        <v>1521</v>
      </c>
      <c r="F326" s="98" t="s">
        <v>1522</v>
      </c>
      <c r="G326" s="101">
        <v>186282967</v>
      </c>
      <c r="H326" s="94">
        <v>35458</v>
      </c>
      <c r="I326" s="105"/>
      <c r="J326" s="98"/>
    </row>
    <row r="327" spans="1:10" s="1" customFormat="1" ht="15.6" x14ac:dyDescent="0.3">
      <c r="A327" s="71">
        <v>401</v>
      </c>
      <c r="B327" s="38" t="s">
        <v>699</v>
      </c>
      <c r="C327" s="38" t="s">
        <v>1523</v>
      </c>
      <c r="D327" s="267">
        <v>11010340664</v>
      </c>
      <c r="E327" s="103" t="s">
        <v>1524</v>
      </c>
      <c r="F327" s="98" t="s">
        <v>1525</v>
      </c>
      <c r="G327" s="101">
        <v>186282967</v>
      </c>
      <c r="H327" s="94">
        <v>33178</v>
      </c>
      <c r="I327" s="105"/>
      <c r="J327" s="98"/>
    </row>
    <row r="328" spans="1:10" s="1" customFormat="1" ht="15.6" x14ac:dyDescent="0.3">
      <c r="A328" s="71">
        <v>404</v>
      </c>
      <c r="B328" s="38" t="s">
        <v>705</v>
      </c>
      <c r="C328" s="38" t="s">
        <v>1526</v>
      </c>
      <c r="D328" s="267">
        <v>81139816956</v>
      </c>
      <c r="E328" s="103" t="s">
        <v>1527</v>
      </c>
      <c r="F328" s="98" t="s">
        <v>1528</v>
      </c>
      <c r="G328" s="101">
        <v>186282967</v>
      </c>
      <c r="H328" s="94">
        <v>29052</v>
      </c>
      <c r="I328" s="222" t="s">
        <v>1529</v>
      </c>
      <c r="J328" s="98"/>
    </row>
    <row r="329" spans="1:10" s="1" customFormat="1" ht="15.6" x14ac:dyDescent="0.3">
      <c r="A329" s="71">
        <v>406</v>
      </c>
      <c r="B329" s="38" t="s">
        <v>705</v>
      </c>
      <c r="C329" s="38" t="s">
        <v>1530</v>
      </c>
      <c r="D329" s="267">
        <v>261001188805</v>
      </c>
      <c r="E329" s="103" t="s">
        <v>1531</v>
      </c>
      <c r="F329" s="98" t="s">
        <v>1532</v>
      </c>
      <c r="G329" s="101">
        <v>186282967</v>
      </c>
      <c r="H329" s="94">
        <v>28709</v>
      </c>
      <c r="I329" s="105"/>
      <c r="J329" s="98"/>
    </row>
    <row r="330" spans="1:10" s="1" customFormat="1" ht="15.6" x14ac:dyDescent="0.3">
      <c r="A330" s="71">
        <v>407</v>
      </c>
      <c r="B330" s="38" t="s">
        <v>705</v>
      </c>
      <c r="C330" s="38" t="s">
        <v>1533</v>
      </c>
      <c r="D330" s="267">
        <v>81156916339</v>
      </c>
      <c r="E330" s="103" t="s">
        <v>1534</v>
      </c>
      <c r="F330" s="98" t="s">
        <v>1535</v>
      </c>
      <c r="G330" s="101">
        <v>186282967</v>
      </c>
      <c r="H330" s="94">
        <v>32598</v>
      </c>
      <c r="I330" s="105"/>
      <c r="J330" s="98"/>
    </row>
    <row r="331" spans="1:10" s="2" customFormat="1" ht="15.6" x14ac:dyDescent="0.3">
      <c r="A331" s="109">
        <v>408</v>
      </c>
      <c r="B331" s="110" t="s">
        <v>705</v>
      </c>
      <c r="C331" s="110" t="s">
        <v>1536</v>
      </c>
      <c r="D331" s="270">
        <v>81347398269</v>
      </c>
      <c r="E331" s="260" t="s">
        <v>1537</v>
      </c>
      <c r="F331" s="246" t="s">
        <v>1538</v>
      </c>
      <c r="G331" s="111">
        <v>186282967</v>
      </c>
      <c r="H331" s="112">
        <v>28213</v>
      </c>
      <c r="I331" s="224" t="s">
        <v>1539</v>
      </c>
      <c r="J331" s="246"/>
    </row>
    <row r="332" spans="1:10" s="1" customFormat="1" ht="15.6" x14ac:dyDescent="0.3">
      <c r="A332" s="71">
        <v>412</v>
      </c>
      <c r="B332" s="38" t="s">
        <v>699</v>
      </c>
      <c r="C332" s="38" t="s">
        <v>1540</v>
      </c>
      <c r="D332" s="267">
        <v>181033884607</v>
      </c>
      <c r="E332" s="103" t="s">
        <v>1541</v>
      </c>
      <c r="F332" s="98" t="s">
        <v>1542</v>
      </c>
      <c r="G332" s="101">
        <v>186282967</v>
      </c>
      <c r="H332" s="94">
        <v>30937</v>
      </c>
      <c r="I332" s="105"/>
      <c r="J332" s="98"/>
    </row>
    <row r="333" spans="1:10" s="1" customFormat="1" ht="15.6" x14ac:dyDescent="0.3">
      <c r="A333" s="71">
        <v>413</v>
      </c>
      <c r="B333" s="38" t="s">
        <v>705</v>
      </c>
      <c r="C333" s="38" t="s">
        <v>1543</v>
      </c>
      <c r="D333" s="267">
        <v>81195247911</v>
      </c>
      <c r="E333" s="103" t="s">
        <v>1544</v>
      </c>
      <c r="F333" s="98" t="s">
        <v>1545</v>
      </c>
      <c r="G333" s="101">
        <v>186282967</v>
      </c>
      <c r="H333" s="94">
        <v>33629</v>
      </c>
      <c r="I333" s="105"/>
      <c r="J333" s="98"/>
    </row>
    <row r="334" spans="1:10" s="1" customFormat="1" ht="15.6" x14ac:dyDescent="0.3">
      <c r="A334" s="71">
        <v>414</v>
      </c>
      <c r="B334" s="38" t="s">
        <v>699</v>
      </c>
      <c r="C334" s="38" t="s">
        <v>1546</v>
      </c>
      <c r="D334" s="267">
        <v>81245205335</v>
      </c>
      <c r="E334" s="103" t="s">
        <v>1547</v>
      </c>
      <c r="F334" s="98" t="s">
        <v>1548</v>
      </c>
      <c r="G334" s="101">
        <v>186282967</v>
      </c>
      <c r="H334" s="94">
        <v>35060</v>
      </c>
      <c r="I334" s="105"/>
      <c r="J334" s="98"/>
    </row>
    <row r="335" spans="1:10" s="1" customFormat="1" ht="15.6" x14ac:dyDescent="0.3">
      <c r="A335" s="71">
        <v>415</v>
      </c>
      <c r="B335" s="38" t="s">
        <v>699</v>
      </c>
      <c r="C335" s="38" t="s">
        <v>1549</v>
      </c>
      <c r="D335" s="267">
        <v>81195022181</v>
      </c>
      <c r="E335" s="103" t="s">
        <v>1550</v>
      </c>
      <c r="F335" s="98" t="s">
        <v>1551</v>
      </c>
      <c r="G335" s="101">
        <v>186282967</v>
      </c>
      <c r="H335" s="94">
        <v>33806</v>
      </c>
      <c r="I335" s="105"/>
      <c r="J335" s="98"/>
    </row>
    <row r="336" spans="1:10" s="1" customFormat="1" ht="15.6" x14ac:dyDescent="0.3">
      <c r="A336" s="71">
        <v>416</v>
      </c>
      <c r="B336" s="38" t="s">
        <v>705</v>
      </c>
      <c r="C336" s="38" t="s">
        <v>1552</v>
      </c>
      <c r="D336" s="267">
        <v>81238096851</v>
      </c>
      <c r="E336" s="103" t="s">
        <v>1553</v>
      </c>
      <c r="F336" s="98" t="s">
        <v>1554</v>
      </c>
      <c r="G336" s="101">
        <v>186282967</v>
      </c>
      <c r="H336" s="94">
        <v>35028</v>
      </c>
      <c r="I336" s="105"/>
      <c r="J336" s="98"/>
    </row>
    <row r="337" spans="1:10" s="1" customFormat="1" ht="15.6" x14ac:dyDescent="0.3">
      <c r="A337" s="71">
        <v>417</v>
      </c>
      <c r="B337" s="38" t="s">
        <v>705</v>
      </c>
      <c r="C337" s="38" t="s">
        <v>1555</v>
      </c>
      <c r="D337" s="267">
        <v>81328598255</v>
      </c>
      <c r="E337" s="103" t="s">
        <v>1556</v>
      </c>
      <c r="F337" s="98" t="s">
        <v>1557</v>
      </c>
      <c r="G337" s="101">
        <v>186282967</v>
      </c>
      <c r="H337" s="94">
        <v>34251</v>
      </c>
      <c r="I337" s="105"/>
      <c r="J337" s="98"/>
    </row>
    <row r="338" spans="1:10" s="1" customFormat="1" ht="15.6" x14ac:dyDescent="0.3">
      <c r="A338" s="71">
        <v>418</v>
      </c>
      <c r="B338" s="38" t="s">
        <v>705</v>
      </c>
      <c r="C338" s="38" t="s">
        <v>1558</v>
      </c>
      <c r="D338" s="267" t="s">
        <v>1559</v>
      </c>
      <c r="E338" s="98">
        <v>1074726623</v>
      </c>
      <c r="F338" s="98" t="s">
        <v>1560</v>
      </c>
      <c r="G338" s="101">
        <v>186282967</v>
      </c>
      <c r="H338" s="94">
        <v>29250</v>
      </c>
      <c r="I338" s="105"/>
      <c r="J338" s="98"/>
    </row>
    <row r="339" spans="1:10" s="1" customFormat="1" ht="15.6" x14ac:dyDescent="0.3">
      <c r="A339" s="71">
        <v>420</v>
      </c>
      <c r="B339" s="38" t="s">
        <v>705</v>
      </c>
      <c r="C339" s="38" t="s">
        <v>1561</v>
      </c>
      <c r="D339" s="267">
        <v>81017355870</v>
      </c>
      <c r="E339" s="98">
        <v>1017355870</v>
      </c>
      <c r="F339" s="98" t="s">
        <v>1562</v>
      </c>
      <c r="G339" s="101">
        <v>186282967</v>
      </c>
      <c r="H339" s="94">
        <v>27411</v>
      </c>
      <c r="I339" s="105"/>
      <c r="J339" s="98"/>
    </row>
    <row r="340" spans="1:10" s="1" customFormat="1" ht="15.6" x14ac:dyDescent="0.3">
      <c r="A340" s="71">
        <v>421</v>
      </c>
      <c r="B340" s="38" t="s">
        <v>699</v>
      </c>
      <c r="C340" s="38" t="s">
        <v>1563</v>
      </c>
      <c r="D340" s="267">
        <v>81073457943</v>
      </c>
      <c r="E340" s="98">
        <v>1073457943</v>
      </c>
      <c r="F340" s="98" t="s">
        <v>1564</v>
      </c>
      <c r="G340" s="101">
        <v>186282967</v>
      </c>
      <c r="H340" s="94">
        <v>30350</v>
      </c>
      <c r="I340" s="105"/>
      <c r="J340" s="98"/>
    </row>
    <row r="341" spans="1:10" s="1" customFormat="1" ht="15.6" x14ac:dyDescent="0.3">
      <c r="A341" s="71">
        <v>422</v>
      </c>
      <c r="B341" s="38" t="s">
        <v>705</v>
      </c>
      <c r="C341" s="38" t="s">
        <v>1565</v>
      </c>
      <c r="D341" s="267">
        <v>81143240854</v>
      </c>
      <c r="E341" s="98">
        <v>1143240854</v>
      </c>
      <c r="F341" s="98" t="s">
        <v>1566</v>
      </c>
      <c r="G341" s="101">
        <v>186282967</v>
      </c>
      <c r="H341" s="94">
        <v>30773</v>
      </c>
      <c r="I341" s="105"/>
      <c r="J341" s="98"/>
    </row>
    <row r="342" spans="1:10" s="1" customFormat="1" ht="15.6" x14ac:dyDescent="0.3">
      <c r="A342" s="71">
        <v>423</v>
      </c>
      <c r="B342" s="38" t="s">
        <v>699</v>
      </c>
      <c r="C342" s="38" t="s">
        <v>1567</v>
      </c>
      <c r="D342" s="267">
        <v>81163985316</v>
      </c>
      <c r="E342" s="98">
        <v>1163985316</v>
      </c>
      <c r="F342" s="98" t="s">
        <v>1568</v>
      </c>
      <c r="G342" s="101">
        <v>186282967</v>
      </c>
      <c r="H342" s="94">
        <v>33142</v>
      </c>
      <c r="I342" s="105"/>
      <c r="J342" s="98"/>
    </row>
    <row r="343" spans="1:10" s="1" customFormat="1" ht="15.6" x14ac:dyDescent="0.3">
      <c r="A343" s="71">
        <v>424</v>
      </c>
      <c r="B343" s="38" t="s">
        <v>699</v>
      </c>
      <c r="C343" s="38" t="s">
        <v>1569</v>
      </c>
      <c r="D343" s="267">
        <v>81312192323</v>
      </c>
      <c r="E343" s="98">
        <v>1312192323</v>
      </c>
      <c r="F343" s="98" t="s">
        <v>1570</v>
      </c>
      <c r="G343" s="101">
        <v>186282967</v>
      </c>
      <c r="H343" s="94">
        <v>34300</v>
      </c>
      <c r="I343" s="105"/>
      <c r="J343" s="98"/>
    </row>
    <row r="344" spans="1:10" s="4" customFormat="1" ht="15.6" x14ac:dyDescent="0.3">
      <c r="A344" s="113">
        <v>425</v>
      </c>
      <c r="B344" s="113" t="s">
        <v>705</v>
      </c>
      <c r="C344" s="113" t="s">
        <v>1571</v>
      </c>
      <c r="D344" s="271">
        <v>81080284420</v>
      </c>
      <c r="E344" s="247">
        <v>1080284420</v>
      </c>
      <c r="F344" s="247" t="s">
        <v>1572</v>
      </c>
      <c r="G344" s="114">
        <v>186282967</v>
      </c>
      <c r="H344" s="115">
        <v>29673</v>
      </c>
      <c r="I344" s="225" t="s">
        <v>785</v>
      </c>
      <c r="J344" s="247"/>
    </row>
    <row r="345" spans="1:10" s="1" customFormat="1" ht="15.6" x14ac:dyDescent="0.3">
      <c r="A345" s="71">
        <v>426</v>
      </c>
      <c r="B345" s="38" t="s">
        <v>705</v>
      </c>
      <c r="C345" s="38" t="s">
        <v>1573</v>
      </c>
      <c r="D345" s="267">
        <v>81232677985</v>
      </c>
      <c r="E345" s="98">
        <v>1232677985</v>
      </c>
      <c r="F345" s="98" t="s">
        <v>1574</v>
      </c>
      <c r="G345" s="101">
        <v>186282967</v>
      </c>
      <c r="H345" s="94">
        <v>30068</v>
      </c>
      <c r="I345" s="222" t="s">
        <v>1575</v>
      </c>
      <c r="J345" s="98"/>
    </row>
    <row r="346" spans="1:10" s="1" customFormat="1" ht="15.6" x14ac:dyDescent="0.3">
      <c r="A346" s="71">
        <v>427</v>
      </c>
      <c r="B346" s="38" t="s">
        <v>699</v>
      </c>
      <c r="C346" s="38" t="s">
        <v>1576</v>
      </c>
      <c r="D346" s="267">
        <v>81162809996</v>
      </c>
      <c r="E346" s="98">
        <v>1162809996</v>
      </c>
      <c r="F346" s="98" t="s">
        <v>1577</v>
      </c>
      <c r="G346" s="101">
        <v>186282967</v>
      </c>
      <c r="H346" s="94">
        <v>29633</v>
      </c>
      <c r="I346" s="105"/>
      <c r="J346" s="98"/>
    </row>
    <row r="347" spans="1:10" s="1" customFormat="1" ht="15.6" x14ac:dyDescent="0.3">
      <c r="A347" s="71">
        <v>428</v>
      </c>
      <c r="B347" s="38" t="s">
        <v>699</v>
      </c>
      <c r="C347" s="38" t="s">
        <v>1578</v>
      </c>
      <c r="D347" s="267">
        <v>81195432009</v>
      </c>
      <c r="E347" s="98">
        <v>1195432009</v>
      </c>
      <c r="F347" s="98" t="s">
        <v>1579</v>
      </c>
      <c r="G347" s="101">
        <v>186282967</v>
      </c>
      <c r="H347" s="94">
        <v>33022</v>
      </c>
      <c r="I347" s="105"/>
      <c r="J347" s="98"/>
    </row>
    <row r="348" spans="1:10" s="1" customFormat="1" ht="15.6" x14ac:dyDescent="0.3">
      <c r="A348" s="71">
        <v>429</v>
      </c>
      <c r="B348" s="38" t="s">
        <v>705</v>
      </c>
      <c r="C348" s="38" t="s">
        <v>1580</v>
      </c>
      <c r="D348" s="267">
        <v>81270444129</v>
      </c>
      <c r="E348" s="98">
        <v>1270444129</v>
      </c>
      <c r="F348" s="98" t="s">
        <v>1581</v>
      </c>
      <c r="G348" s="101">
        <v>186282967</v>
      </c>
      <c r="H348" s="94">
        <v>29434</v>
      </c>
      <c r="I348" s="105"/>
      <c r="J348" s="98"/>
    </row>
    <row r="349" spans="1:10" s="1" customFormat="1" ht="15.6" x14ac:dyDescent="0.3">
      <c r="A349" s="71">
        <v>430</v>
      </c>
      <c r="B349" s="38" t="s">
        <v>705</v>
      </c>
      <c r="C349" s="38" t="s">
        <v>1582</v>
      </c>
      <c r="D349" s="267">
        <v>281146231758</v>
      </c>
      <c r="E349" s="98">
        <v>1146231758</v>
      </c>
      <c r="F349" s="98" t="s">
        <v>1583</v>
      </c>
      <c r="G349" s="101">
        <v>186282967</v>
      </c>
      <c r="H349" s="94">
        <v>30713</v>
      </c>
      <c r="I349" s="105"/>
      <c r="J349" s="98"/>
    </row>
    <row r="350" spans="1:10" s="1" customFormat="1" ht="15.6" x14ac:dyDescent="0.3">
      <c r="A350" s="71">
        <v>431</v>
      </c>
      <c r="B350" s="38" t="s">
        <v>705</v>
      </c>
      <c r="C350" s="38" t="s">
        <v>1584</v>
      </c>
      <c r="D350" s="267">
        <v>480117149383</v>
      </c>
      <c r="E350" s="98">
        <v>117149383</v>
      </c>
      <c r="F350" s="98" t="s">
        <v>1585</v>
      </c>
      <c r="G350" s="101">
        <v>186282967</v>
      </c>
      <c r="H350" s="94">
        <v>25511</v>
      </c>
      <c r="I350" s="105"/>
      <c r="J350" s="98"/>
    </row>
    <row r="351" spans="1:10" s="1" customFormat="1" ht="15.6" x14ac:dyDescent="0.3">
      <c r="A351" s="71">
        <v>432</v>
      </c>
      <c r="B351" s="38" t="s">
        <v>699</v>
      </c>
      <c r="C351" s="38" t="s">
        <v>1586</v>
      </c>
      <c r="D351" s="267">
        <v>201009161392</v>
      </c>
      <c r="E351" s="98">
        <v>1009161392</v>
      </c>
      <c r="F351" s="98" t="s">
        <v>1587</v>
      </c>
      <c r="G351" s="101">
        <v>186282967</v>
      </c>
      <c r="H351" s="94">
        <v>29346</v>
      </c>
      <c r="I351" s="105"/>
      <c r="J351" s="98"/>
    </row>
    <row r="352" spans="1:10" s="1" customFormat="1" ht="15.6" x14ac:dyDescent="0.3">
      <c r="A352" s="71">
        <v>433</v>
      </c>
      <c r="B352" s="38" t="s">
        <v>705</v>
      </c>
      <c r="C352" s="38" t="s">
        <v>1588</v>
      </c>
      <c r="D352" s="267">
        <v>280390376692</v>
      </c>
      <c r="E352" s="98">
        <v>390376692</v>
      </c>
      <c r="F352" s="98" t="s">
        <v>1589</v>
      </c>
      <c r="G352" s="101">
        <v>186282967</v>
      </c>
      <c r="H352" s="94">
        <v>25034</v>
      </c>
      <c r="I352" s="105"/>
      <c r="J352" s="98"/>
    </row>
    <row r="353" spans="1:11" s="1" customFormat="1" ht="15.6" x14ac:dyDescent="0.3">
      <c r="A353" s="71">
        <v>434</v>
      </c>
      <c r="B353" s="38" t="s">
        <v>699</v>
      </c>
      <c r="C353" s="38" t="s">
        <v>1590</v>
      </c>
      <c r="D353" s="267">
        <v>81187165181</v>
      </c>
      <c r="E353" s="98">
        <v>1187165181</v>
      </c>
      <c r="F353" s="98" t="s">
        <v>1591</v>
      </c>
      <c r="G353" s="101">
        <v>186282967</v>
      </c>
      <c r="H353" s="94">
        <v>30887</v>
      </c>
      <c r="I353" s="105"/>
      <c r="J353" s="98"/>
      <c r="K353" s="38"/>
    </row>
    <row r="354" spans="1:11" s="1" customFormat="1" ht="15.6" x14ac:dyDescent="0.3">
      <c r="A354" s="71">
        <v>435</v>
      </c>
      <c r="B354" s="38" t="s">
        <v>705</v>
      </c>
      <c r="C354" s="38" t="s">
        <v>1592</v>
      </c>
      <c r="D354" s="267">
        <v>81152182436</v>
      </c>
      <c r="E354" s="98">
        <v>1152182436</v>
      </c>
      <c r="F354" s="98" t="s">
        <v>1593</v>
      </c>
      <c r="G354" s="101">
        <v>186282967</v>
      </c>
      <c r="H354" s="94">
        <v>34717</v>
      </c>
      <c r="I354" s="105"/>
      <c r="J354" s="98"/>
      <c r="K354" s="38"/>
    </row>
    <row r="355" spans="1:11" s="1" customFormat="1" ht="15.6" x14ac:dyDescent="0.3">
      <c r="A355" s="71">
        <v>436</v>
      </c>
      <c r="B355" s="38" t="s">
        <v>699</v>
      </c>
      <c r="C355" s="38" t="s">
        <v>1594</v>
      </c>
      <c r="D355" s="267">
        <v>461039869746</v>
      </c>
      <c r="E355" s="98">
        <v>1039869746</v>
      </c>
      <c r="F355" s="98" t="s">
        <v>1595</v>
      </c>
      <c r="G355" s="101">
        <v>186282967</v>
      </c>
      <c r="H355" s="94">
        <v>27367</v>
      </c>
      <c r="I355" s="105"/>
      <c r="J355" s="98"/>
      <c r="K355" s="33"/>
    </row>
    <row r="356" spans="1:11" s="1" customFormat="1" ht="15.6" x14ac:dyDescent="0.3">
      <c r="A356" s="71">
        <v>437</v>
      </c>
      <c r="B356" s="38" t="s">
        <v>705</v>
      </c>
      <c r="C356" s="38" t="s">
        <v>1596</v>
      </c>
      <c r="D356" s="267">
        <v>171043001512</v>
      </c>
      <c r="E356" s="98">
        <v>1043001512</v>
      </c>
      <c r="F356" s="98" t="s">
        <v>1597</v>
      </c>
      <c r="G356" s="101">
        <v>186282967</v>
      </c>
      <c r="H356" s="94">
        <v>27936</v>
      </c>
      <c r="I356" s="105"/>
      <c r="J356" s="98"/>
      <c r="K356" s="38"/>
    </row>
    <row r="357" spans="1:11" s="1" customFormat="1" ht="15.6" x14ac:dyDescent="0.3">
      <c r="A357" s="71">
        <v>438</v>
      </c>
      <c r="B357" s="38" t="s">
        <v>699</v>
      </c>
      <c r="C357" s="38" t="s">
        <v>1598</v>
      </c>
      <c r="D357" s="267">
        <v>71014056169</v>
      </c>
      <c r="E357" s="98">
        <v>1014056169</v>
      </c>
      <c r="F357" s="98" t="s">
        <v>1599</v>
      </c>
      <c r="G357" s="101">
        <v>186282967</v>
      </c>
      <c r="H357" s="94">
        <v>27178</v>
      </c>
      <c r="I357" s="105"/>
      <c r="J357" s="98"/>
      <c r="K357" s="38"/>
    </row>
    <row r="358" spans="1:11" s="1" customFormat="1" ht="15.6" x14ac:dyDescent="0.3">
      <c r="A358" s="71">
        <v>439</v>
      </c>
      <c r="B358" s="38" t="s">
        <v>705</v>
      </c>
      <c r="C358" s="38" t="s">
        <v>1600</v>
      </c>
      <c r="D358" s="267">
        <v>80454858688</v>
      </c>
      <c r="E358" s="98">
        <v>454858688</v>
      </c>
      <c r="F358" s="98" t="s">
        <v>1601</v>
      </c>
      <c r="G358" s="101">
        <v>186282967</v>
      </c>
      <c r="H358" s="94">
        <v>24112</v>
      </c>
      <c r="I358" s="105"/>
      <c r="J358" s="98"/>
      <c r="K358" s="33"/>
    </row>
    <row r="359" spans="1:11" s="1" customFormat="1" ht="15.6" x14ac:dyDescent="0.3">
      <c r="A359" s="71">
        <v>440</v>
      </c>
      <c r="B359" s="38" t="s">
        <v>705</v>
      </c>
      <c r="C359" s="38" t="s">
        <v>1602</v>
      </c>
      <c r="D359" s="267">
        <v>81206095945</v>
      </c>
      <c r="E359" s="98">
        <v>1206095945</v>
      </c>
      <c r="F359" s="98" t="s">
        <v>1603</v>
      </c>
      <c r="G359" s="101">
        <v>186282967</v>
      </c>
      <c r="H359" s="94">
        <v>27200</v>
      </c>
      <c r="I359" s="105"/>
      <c r="J359" s="98"/>
      <c r="K359" s="38"/>
    </row>
    <row r="360" spans="1:11" s="1" customFormat="1" ht="15.6" x14ac:dyDescent="0.3">
      <c r="A360" s="71">
        <v>442</v>
      </c>
      <c r="B360" s="38" t="s">
        <v>705</v>
      </c>
      <c r="C360" s="38" t="s">
        <v>1604</v>
      </c>
      <c r="D360" s="92">
        <v>80444125034</v>
      </c>
      <c r="E360" s="103" t="s">
        <v>1605</v>
      </c>
      <c r="F360" s="103" t="s">
        <v>1606</v>
      </c>
      <c r="G360" s="92">
        <v>186282967</v>
      </c>
      <c r="H360" s="94">
        <v>23635</v>
      </c>
      <c r="I360" s="105"/>
      <c r="J360" s="98"/>
      <c r="K360" s="38"/>
    </row>
    <row r="361" spans="1:11" s="1" customFormat="1" ht="15.6" x14ac:dyDescent="0.3">
      <c r="A361" s="71">
        <v>443</v>
      </c>
      <c r="B361" s="38" t="s">
        <v>705</v>
      </c>
      <c r="C361" s="38" t="s">
        <v>1607</v>
      </c>
      <c r="D361" s="92">
        <v>81054035412</v>
      </c>
      <c r="E361" s="103" t="s">
        <v>1608</v>
      </c>
      <c r="F361" s="103" t="s">
        <v>1609</v>
      </c>
      <c r="G361" s="92">
        <v>186282967</v>
      </c>
      <c r="H361" s="94">
        <v>26560</v>
      </c>
      <c r="I361" s="105"/>
      <c r="J361" s="98"/>
      <c r="K361" s="38"/>
    </row>
    <row r="362" spans="1:11" s="1" customFormat="1" ht="15.6" x14ac:dyDescent="0.3">
      <c r="A362" s="71">
        <v>445</v>
      </c>
      <c r="B362" s="38" t="s">
        <v>699</v>
      </c>
      <c r="C362" s="38" t="s">
        <v>1610</v>
      </c>
      <c r="D362" s="92">
        <v>251007286784</v>
      </c>
      <c r="E362" s="103" t="s">
        <v>1611</v>
      </c>
      <c r="F362" s="103" t="s">
        <v>1612</v>
      </c>
      <c r="G362" s="92">
        <v>186282967</v>
      </c>
      <c r="H362" s="94">
        <v>28956</v>
      </c>
      <c r="I362" s="105"/>
      <c r="J362" s="98"/>
      <c r="K362" s="38"/>
    </row>
    <row r="363" spans="1:11" s="1" customFormat="1" ht="15.6" x14ac:dyDescent="0.3">
      <c r="A363" s="71">
        <v>446</v>
      </c>
      <c r="B363" s="38" t="s">
        <v>705</v>
      </c>
      <c r="C363" s="38" t="s">
        <v>1613</v>
      </c>
      <c r="D363" s="92">
        <v>81182188879</v>
      </c>
      <c r="E363" s="103" t="s">
        <v>1614</v>
      </c>
      <c r="F363" s="103" t="s">
        <v>1615</v>
      </c>
      <c r="G363" s="92">
        <v>186282967</v>
      </c>
      <c r="H363" s="94">
        <v>32613</v>
      </c>
      <c r="I363" s="105"/>
      <c r="J363" s="98"/>
      <c r="K363" s="38"/>
    </row>
    <row r="364" spans="1:11" s="1" customFormat="1" ht="15.6" x14ac:dyDescent="0.3">
      <c r="A364" s="71">
        <v>448</v>
      </c>
      <c r="B364" s="38" t="s">
        <v>705</v>
      </c>
      <c r="C364" s="38" t="s">
        <v>1616</v>
      </c>
      <c r="D364" s="92">
        <v>81334847681</v>
      </c>
      <c r="E364" s="103" t="s">
        <v>1617</v>
      </c>
      <c r="F364" s="103" t="s">
        <v>1618</v>
      </c>
      <c r="G364" s="92">
        <v>186282967</v>
      </c>
      <c r="H364" s="94">
        <v>35221</v>
      </c>
      <c r="I364" s="105"/>
      <c r="J364" s="98"/>
      <c r="K364" s="38"/>
    </row>
    <row r="365" spans="1:11" s="1" customFormat="1" ht="15.6" x14ac:dyDescent="0.3">
      <c r="A365" s="71">
        <v>449</v>
      </c>
      <c r="B365" s="38" t="s">
        <v>705</v>
      </c>
      <c r="C365" s="38" t="s">
        <v>1619</v>
      </c>
      <c r="D365" s="92">
        <v>81315378670</v>
      </c>
      <c r="E365" s="103" t="s">
        <v>1620</v>
      </c>
      <c r="F365" s="103" t="s">
        <v>1621</v>
      </c>
      <c r="G365" s="92">
        <v>186282967</v>
      </c>
      <c r="H365" s="94">
        <v>35484</v>
      </c>
      <c r="I365" s="105"/>
      <c r="J365" s="98"/>
      <c r="K365" s="38"/>
    </row>
    <row r="366" spans="1:11" s="1" customFormat="1" ht="15.6" x14ac:dyDescent="0.3">
      <c r="A366" s="71">
        <v>452</v>
      </c>
      <c r="B366" s="38" t="s">
        <v>705</v>
      </c>
      <c r="C366" s="38" t="s">
        <v>1622</v>
      </c>
      <c r="D366" s="92">
        <v>81128585669</v>
      </c>
      <c r="E366" s="103" t="s">
        <v>1623</v>
      </c>
      <c r="F366" s="103" t="s">
        <v>1624</v>
      </c>
      <c r="G366" s="92">
        <v>186282967</v>
      </c>
      <c r="H366" s="94">
        <v>28605</v>
      </c>
      <c r="I366" s="105"/>
      <c r="J366" s="98"/>
      <c r="K366" s="38"/>
    </row>
    <row r="367" spans="1:11" s="1" customFormat="1" ht="15.6" x14ac:dyDescent="0.3">
      <c r="A367" s="71">
        <v>454</v>
      </c>
      <c r="B367" s="38" t="s">
        <v>705</v>
      </c>
      <c r="C367" s="38" t="s">
        <v>1625</v>
      </c>
      <c r="D367" s="92">
        <v>281070020979</v>
      </c>
      <c r="E367" s="103" t="s">
        <v>1626</v>
      </c>
      <c r="F367" s="103" t="s">
        <v>1627</v>
      </c>
      <c r="G367" s="92">
        <v>186282967</v>
      </c>
      <c r="H367" s="94">
        <v>28694</v>
      </c>
      <c r="I367" s="105"/>
      <c r="J367" s="98"/>
      <c r="K367" s="38"/>
    </row>
    <row r="368" spans="1:11" s="1" customFormat="1" ht="15.6" x14ac:dyDescent="0.3">
      <c r="A368" s="71">
        <v>455</v>
      </c>
      <c r="B368" s="38" t="s">
        <v>699</v>
      </c>
      <c r="C368" s="38" t="s">
        <v>1628</v>
      </c>
      <c r="D368" s="92">
        <v>481016799272</v>
      </c>
      <c r="E368" s="103" t="s">
        <v>1629</v>
      </c>
      <c r="F368" s="103" t="s">
        <v>1630</v>
      </c>
      <c r="G368" s="92">
        <v>186282967</v>
      </c>
      <c r="H368" s="94">
        <v>30302</v>
      </c>
      <c r="I368" s="105"/>
      <c r="J368" s="98"/>
      <c r="K368" s="38"/>
    </row>
    <row r="369" spans="1:10" s="1" customFormat="1" ht="15.6" x14ac:dyDescent="0.3">
      <c r="A369" s="71">
        <v>456</v>
      </c>
      <c r="B369" s="38" t="s">
        <v>705</v>
      </c>
      <c r="C369" s="38" t="s">
        <v>1631</v>
      </c>
      <c r="D369" s="92">
        <v>81027742853</v>
      </c>
      <c r="E369" s="103" t="s">
        <v>1632</v>
      </c>
      <c r="F369" s="103" t="s">
        <v>1633</v>
      </c>
      <c r="G369" s="92">
        <v>186282967</v>
      </c>
      <c r="H369" s="94">
        <v>27276</v>
      </c>
      <c r="I369" s="105"/>
      <c r="J369" s="98"/>
    </row>
    <row r="370" spans="1:10" s="1" customFormat="1" ht="15.6" x14ac:dyDescent="0.3">
      <c r="A370" s="71">
        <v>457</v>
      </c>
      <c r="B370" s="38" t="s">
        <v>705</v>
      </c>
      <c r="C370" s="38" t="s">
        <v>1634</v>
      </c>
      <c r="D370" s="92">
        <v>81153149911</v>
      </c>
      <c r="E370" s="103" t="s">
        <v>1635</v>
      </c>
      <c r="F370" s="103" t="s">
        <v>1636</v>
      </c>
      <c r="G370" s="92">
        <v>186282967</v>
      </c>
      <c r="H370" s="94">
        <v>31659</v>
      </c>
      <c r="I370" s="105"/>
      <c r="J370" s="98"/>
    </row>
    <row r="371" spans="1:10" s="1" customFormat="1" ht="15.6" x14ac:dyDescent="0.3">
      <c r="A371" s="71">
        <v>459</v>
      </c>
      <c r="B371" s="38" t="s">
        <v>705</v>
      </c>
      <c r="C371" s="38" t="s">
        <v>1637</v>
      </c>
      <c r="D371" s="92">
        <v>80470287954</v>
      </c>
      <c r="E371" s="103" t="s">
        <v>1638</v>
      </c>
      <c r="F371" s="103" t="s">
        <v>1639</v>
      </c>
      <c r="G371" s="92">
        <v>186282967</v>
      </c>
      <c r="H371" s="94">
        <v>21319</v>
      </c>
      <c r="I371" s="105"/>
      <c r="J371" s="98"/>
    </row>
    <row r="372" spans="1:10" s="1" customFormat="1" ht="15.6" x14ac:dyDescent="0.3">
      <c r="A372" s="71">
        <v>463</v>
      </c>
      <c r="B372" s="38" t="s">
        <v>705</v>
      </c>
      <c r="C372" s="38" t="s">
        <v>1640</v>
      </c>
      <c r="D372" s="92">
        <v>231023256050</v>
      </c>
      <c r="E372" s="103" t="s">
        <v>1641</v>
      </c>
      <c r="F372" s="103" t="s">
        <v>1642</v>
      </c>
      <c r="G372" s="92">
        <v>186282967</v>
      </c>
      <c r="H372" s="94">
        <v>32072</v>
      </c>
      <c r="I372" s="105"/>
      <c r="J372" s="98"/>
    </row>
    <row r="373" spans="1:10" s="1" customFormat="1" ht="15.6" x14ac:dyDescent="0.3">
      <c r="A373" s="71">
        <v>466</v>
      </c>
      <c r="B373" s="38" t="s">
        <v>705</v>
      </c>
      <c r="C373" s="38" t="s">
        <v>1643</v>
      </c>
      <c r="D373" s="92">
        <v>481041130916</v>
      </c>
      <c r="E373" s="103" t="s">
        <v>1644</v>
      </c>
      <c r="F373" s="103" t="s">
        <v>1645</v>
      </c>
      <c r="G373" s="92">
        <v>186282967</v>
      </c>
      <c r="H373" s="94">
        <v>30603</v>
      </c>
      <c r="I373" s="105"/>
      <c r="J373" s="98"/>
    </row>
    <row r="374" spans="1:10" s="1" customFormat="1" ht="15.6" x14ac:dyDescent="0.3">
      <c r="A374" s="71">
        <v>467</v>
      </c>
      <c r="B374" s="38" t="s">
        <v>699</v>
      </c>
      <c r="C374" s="38" t="s">
        <v>1646</v>
      </c>
      <c r="D374" s="92" t="s">
        <v>1647</v>
      </c>
      <c r="E374" s="103" t="s">
        <v>1648</v>
      </c>
      <c r="F374" s="103" t="s">
        <v>1649</v>
      </c>
      <c r="G374" s="92">
        <v>186282967</v>
      </c>
      <c r="H374" s="94">
        <v>31551</v>
      </c>
      <c r="I374" s="105"/>
      <c r="J374" s="98"/>
    </row>
    <row r="375" spans="1:10" s="1" customFormat="1" ht="15.6" x14ac:dyDescent="0.3">
      <c r="A375" s="71">
        <v>468</v>
      </c>
      <c r="B375" s="38" t="s">
        <v>699</v>
      </c>
      <c r="C375" s="97" t="s">
        <v>1650</v>
      </c>
      <c r="D375" s="92">
        <v>81283089794</v>
      </c>
      <c r="E375" s="103" t="s">
        <v>1651</v>
      </c>
      <c r="F375" s="103" t="s">
        <v>1652</v>
      </c>
      <c r="G375" s="92">
        <v>186282967</v>
      </c>
      <c r="H375" s="94">
        <v>34411</v>
      </c>
      <c r="I375" s="105"/>
      <c r="J375" s="98"/>
    </row>
    <row r="376" spans="1:10" s="1" customFormat="1" ht="15.6" x14ac:dyDescent="0.3">
      <c r="A376" s="71">
        <v>469</v>
      </c>
      <c r="B376" s="38" t="s">
        <v>705</v>
      </c>
      <c r="C376" s="38" t="s">
        <v>1588</v>
      </c>
      <c r="D376" s="92" t="s">
        <v>1653</v>
      </c>
      <c r="E376" s="103" t="s">
        <v>1654</v>
      </c>
      <c r="F376" s="103" t="s">
        <v>1589</v>
      </c>
      <c r="G376" s="92">
        <v>186282967</v>
      </c>
      <c r="H376" s="94">
        <v>25034</v>
      </c>
      <c r="I376" s="105"/>
      <c r="J376" s="98"/>
    </row>
    <row r="377" spans="1:10" s="1" customFormat="1" ht="15.6" x14ac:dyDescent="0.3">
      <c r="A377" s="71">
        <v>473</v>
      </c>
      <c r="B377" s="38" t="s">
        <v>699</v>
      </c>
      <c r="C377" s="38" t="s">
        <v>1655</v>
      </c>
      <c r="D377" s="92">
        <v>351037793322</v>
      </c>
      <c r="E377" s="103" t="s">
        <v>1656</v>
      </c>
      <c r="F377" s="103" t="s">
        <v>1657</v>
      </c>
      <c r="G377" s="92">
        <v>186282967</v>
      </c>
      <c r="H377" s="94">
        <v>32982</v>
      </c>
      <c r="I377" s="105"/>
      <c r="J377" s="98"/>
    </row>
    <row r="378" spans="1:10" s="1" customFormat="1" ht="15.6" x14ac:dyDescent="0.3">
      <c r="A378" s="71">
        <v>474</v>
      </c>
      <c r="B378" s="38" t="s">
        <v>705</v>
      </c>
      <c r="C378" s="38" t="s">
        <v>1658</v>
      </c>
      <c r="D378" s="92">
        <v>171000875523</v>
      </c>
      <c r="E378" s="103" t="s">
        <v>1659</v>
      </c>
      <c r="F378" s="103" t="s">
        <v>1660</v>
      </c>
      <c r="G378" s="92">
        <v>186282967</v>
      </c>
      <c r="H378" s="94">
        <v>27039</v>
      </c>
      <c r="I378" s="105"/>
      <c r="J378" s="98"/>
    </row>
    <row r="379" spans="1:10" s="1" customFormat="1" ht="15.6" x14ac:dyDescent="0.3">
      <c r="A379" s="71">
        <v>475</v>
      </c>
      <c r="B379" s="38" t="s">
        <v>699</v>
      </c>
      <c r="C379" s="38" t="s">
        <v>1661</v>
      </c>
      <c r="D379" s="92">
        <v>121009491126</v>
      </c>
      <c r="E379" s="103" t="s">
        <v>1662</v>
      </c>
      <c r="F379" s="103" t="s">
        <v>1663</v>
      </c>
      <c r="G379" s="92">
        <v>186282967</v>
      </c>
      <c r="H379" s="94">
        <v>29231</v>
      </c>
      <c r="I379" s="105"/>
      <c r="J379" s="98"/>
    </row>
    <row r="380" spans="1:10" s="1" customFormat="1" ht="15.6" x14ac:dyDescent="0.3">
      <c r="A380" s="71">
        <v>476</v>
      </c>
      <c r="B380" s="38" t="s">
        <v>705</v>
      </c>
      <c r="C380" s="38" t="s">
        <v>1664</v>
      </c>
      <c r="D380" s="92">
        <v>81152731700</v>
      </c>
      <c r="E380" s="103" t="s">
        <v>1665</v>
      </c>
      <c r="F380" s="103" t="s">
        <v>1666</v>
      </c>
      <c r="G380" s="92">
        <v>186282967</v>
      </c>
      <c r="H380" s="94">
        <v>30895</v>
      </c>
      <c r="I380" s="105"/>
      <c r="J380" s="98"/>
    </row>
    <row r="381" spans="1:10" s="1" customFormat="1" ht="15.6" x14ac:dyDescent="0.3">
      <c r="A381" s="71">
        <v>477</v>
      </c>
      <c r="B381" s="38" t="s">
        <v>705</v>
      </c>
      <c r="C381" s="21" t="s">
        <v>1667</v>
      </c>
      <c r="D381" s="99">
        <v>8509010152</v>
      </c>
      <c r="E381" s="245" t="s">
        <v>1668</v>
      </c>
      <c r="F381" s="245" t="s">
        <v>1669</v>
      </c>
      <c r="G381" s="99">
        <f>PUNTUALES!G684</f>
        <v>186282967</v>
      </c>
      <c r="H381" s="94">
        <v>24197</v>
      </c>
      <c r="I381" s="105"/>
      <c r="J381" s="98"/>
    </row>
    <row r="382" spans="1:10" s="1" customFormat="1" ht="15.6" x14ac:dyDescent="0.3">
      <c r="A382" s="71">
        <v>478</v>
      </c>
      <c r="B382" s="38" t="s">
        <v>705</v>
      </c>
      <c r="C382" s="21" t="s">
        <v>1670</v>
      </c>
      <c r="D382" s="99">
        <v>80472556542</v>
      </c>
      <c r="E382" s="245" t="s">
        <v>1671</v>
      </c>
      <c r="F382" s="245" t="s">
        <v>1672</v>
      </c>
      <c r="G382" s="99">
        <f>G381</f>
        <v>186282967</v>
      </c>
      <c r="H382" s="94">
        <v>25551</v>
      </c>
      <c r="I382" s="105"/>
      <c r="J382" s="98"/>
    </row>
    <row r="383" spans="1:10" s="1" customFormat="1" ht="15.6" x14ac:dyDescent="0.3">
      <c r="A383" s="71">
        <v>479</v>
      </c>
      <c r="B383" s="38" t="s">
        <v>705</v>
      </c>
      <c r="C383" s="21" t="s">
        <v>1673</v>
      </c>
      <c r="D383" s="99">
        <v>81179440749</v>
      </c>
      <c r="E383" s="245">
        <v>1179440749</v>
      </c>
      <c r="F383" s="245" t="s">
        <v>1674</v>
      </c>
      <c r="G383" s="99">
        <f>G382</f>
        <v>186282967</v>
      </c>
      <c r="H383" s="94">
        <v>28959</v>
      </c>
      <c r="I383" s="105"/>
      <c r="J383" s="98"/>
    </row>
    <row r="384" spans="1:10" s="1" customFormat="1" ht="15.6" x14ac:dyDescent="0.3">
      <c r="A384" s="71">
        <v>481</v>
      </c>
      <c r="B384" s="38" t="s">
        <v>699</v>
      </c>
      <c r="C384" s="21" t="s">
        <v>1675</v>
      </c>
      <c r="D384" s="99">
        <v>81083863619</v>
      </c>
      <c r="E384" s="245" t="s">
        <v>1676</v>
      </c>
      <c r="F384" s="245" t="s">
        <v>1677</v>
      </c>
      <c r="G384" s="99">
        <v>182521791</v>
      </c>
      <c r="H384" s="94">
        <v>30780</v>
      </c>
      <c r="I384" s="105"/>
      <c r="J384" s="98"/>
    </row>
    <row r="385" spans="1:11" s="1" customFormat="1" ht="15.6" x14ac:dyDescent="0.3">
      <c r="A385" s="71">
        <v>484</v>
      </c>
      <c r="B385" s="38" t="s">
        <v>699</v>
      </c>
      <c r="C385" s="21" t="s">
        <v>1678</v>
      </c>
      <c r="D385" s="272">
        <v>81192071967</v>
      </c>
      <c r="E385" s="245" t="s">
        <v>1679</v>
      </c>
      <c r="F385" s="248" t="s">
        <v>1680</v>
      </c>
      <c r="G385" s="99">
        <v>186282967</v>
      </c>
      <c r="H385" s="94"/>
      <c r="I385" s="105"/>
      <c r="J385" s="98"/>
      <c r="K385" s="38"/>
    </row>
    <row r="386" spans="1:11" s="1" customFormat="1" ht="15.6" x14ac:dyDescent="0.3">
      <c r="A386" s="71">
        <v>486</v>
      </c>
      <c r="B386" s="38" t="s">
        <v>699</v>
      </c>
      <c r="C386" s="21" t="s">
        <v>1681</v>
      </c>
      <c r="D386" s="272">
        <v>11007982251</v>
      </c>
      <c r="E386" s="245" t="s">
        <v>1682</v>
      </c>
      <c r="F386" s="248" t="s">
        <v>1683</v>
      </c>
      <c r="G386" s="99">
        <v>186282967</v>
      </c>
      <c r="H386" s="94">
        <v>30078</v>
      </c>
      <c r="I386" s="105"/>
      <c r="J386" s="98"/>
      <c r="K386" s="38"/>
    </row>
    <row r="387" spans="1:11" s="1" customFormat="1" ht="15.6" x14ac:dyDescent="0.3">
      <c r="A387" s="71">
        <v>487</v>
      </c>
      <c r="B387" s="38" t="s">
        <v>705</v>
      </c>
      <c r="C387" s="21" t="s">
        <v>1684</v>
      </c>
      <c r="D387" s="272">
        <v>91002222339</v>
      </c>
      <c r="E387" s="245">
        <v>1002222339</v>
      </c>
      <c r="F387" s="248" t="s">
        <v>1685</v>
      </c>
      <c r="G387" s="99">
        <v>186282967</v>
      </c>
      <c r="H387" s="94">
        <v>27164</v>
      </c>
      <c r="I387" s="105"/>
      <c r="J387" s="98"/>
      <c r="K387" s="38"/>
    </row>
    <row r="388" spans="1:11" s="1" customFormat="1" ht="15.6" x14ac:dyDescent="0.3">
      <c r="A388" s="71">
        <v>488</v>
      </c>
      <c r="B388" s="38" t="s">
        <v>705</v>
      </c>
      <c r="C388" s="21" t="s">
        <v>1686</v>
      </c>
      <c r="D388" s="273" t="s">
        <v>1687</v>
      </c>
      <c r="E388" s="245" t="s">
        <v>1688</v>
      </c>
      <c r="F388" s="248" t="s">
        <v>1689</v>
      </c>
      <c r="G388" s="99">
        <v>186282967</v>
      </c>
      <c r="H388" s="94">
        <v>25719</v>
      </c>
      <c r="I388" s="105"/>
      <c r="J388" s="98"/>
      <c r="K388" s="38"/>
    </row>
    <row r="389" spans="1:11" s="1" customFormat="1" ht="15.6" x14ac:dyDescent="0.3">
      <c r="A389" s="71">
        <v>489</v>
      </c>
      <c r="B389" s="38" t="s">
        <v>699</v>
      </c>
      <c r="C389" s="21" t="s">
        <v>1690</v>
      </c>
      <c r="D389" s="273" t="s">
        <v>1691</v>
      </c>
      <c r="E389" s="245" t="s">
        <v>1692</v>
      </c>
      <c r="F389" s="248" t="s">
        <v>1693</v>
      </c>
      <c r="G389" s="99">
        <v>186282967</v>
      </c>
      <c r="H389" s="94">
        <v>33052</v>
      </c>
      <c r="I389" s="105"/>
      <c r="J389" s="98"/>
      <c r="K389" s="38"/>
    </row>
    <row r="390" spans="1:11" s="1" customFormat="1" ht="15.6" x14ac:dyDescent="0.3">
      <c r="A390" s="71">
        <v>490</v>
      </c>
      <c r="B390" s="38" t="s">
        <v>699</v>
      </c>
      <c r="C390" s="21" t="s">
        <v>1694</v>
      </c>
      <c r="D390" s="273" t="s">
        <v>1695</v>
      </c>
      <c r="E390" s="245">
        <v>1007756916</v>
      </c>
      <c r="F390" s="248" t="s">
        <v>1696</v>
      </c>
      <c r="G390" s="99">
        <v>186282967</v>
      </c>
      <c r="H390" s="94">
        <v>28414</v>
      </c>
      <c r="I390" s="105"/>
      <c r="J390" s="98"/>
      <c r="K390" s="38"/>
    </row>
    <row r="391" spans="1:11" s="1" customFormat="1" ht="15.6" x14ac:dyDescent="0.3">
      <c r="A391" s="71">
        <v>494</v>
      </c>
      <c r="B391" s="38" t="s">
        <v>699</v>
      </c>
      <c r="C391" s="38" t="s">
        <v>1697</v>
      </c>
      <c r="D391" s="273" t="s">
        <v>1698</v>
      </c>
      <c r="E391" s="245" t="s">
        <v>1699</v>
      </c>
      <c r="F391" s="248" t="s">
        <v>1700</v>
      </c>
      <c r="G391" s="99">
        <v>186282967</v>
      </c>
      <c r="H391" s="94">
        <v>31500</v>
      </c>
      <c r="I391" s="105"/>
      <c r="J391" s="98"/>
      <c r="K391" s="117"/>
    </row>
    <row r="392" spans="1:11" s="1" customFormat="1" ht="15.6" x14ac:dyDescent="0.3">
      <c r="A392" s="71">
        <v>495</v>
      </c>
      <c r="B392" s="38" t="s">
        <v>705</v>
      </c>
      <c r="C392" s="21" t="s">
        <v>1701</v>
      </c>
      <c r="D392" s="273" t="s">
        <v>1702</v>
      </c>
      <c r="E392" s="245">
        <v>1097832564</v>
      </c>
      <c r="F392" s="248" t="s">
        <v>1703</v>
      </c>
      <c r="G392" s="99">
        <v>186282967</v>
      </c>
      <c r="H392" s="94">
        <v>35091</v>
      </c>
      <c r="I392" s="105"/>
      <c r="J392" s="98"/>
      <c r="K392" s="38"/>
    </row>
    <row r="393" spans="1:11" s="1" customFormat="1" ht="15.6" x14ac:dyDescent="0.3">
      <c r="A393" s="71">
        <v>496</v>
      </c>
      <c r="B393" s="38" t="s">
        <v>705</v>
      </c>
      <c r="C393" s="21" t="s">
        <v>1704</v>
      </c>
      <c r="D393" s="273" t="s">
        <v>1705</v>
      </c>
      <c r="E393" s="245">
        <v>1052582011</v>
      </c>
      <c r="F393" s="248" t="s">
        <v>1706</v>
      </c>
      <c r="G393" s="99">
        <v>186282967</v>
      </c>
      <c r="H393" s="94">
        <v>32254</v>
      </c>
      <c r="I393" s="105"/>
      <c r="J393" s="98"/>
      <c r="K393" s="38"/>
    </row>
    <row r="394" spans="1:11" s="1" customFormat="1" ht="15.6" x14ac:dyDescent="0.3">
      <c r="A394" s="71">
        <v>498</v>
      </c>
      <c r="B394" s="38" t="s">
        <v>699</v>
      </c>
      <c r="C394" s="21" t="s">
        <v>1707</v>
      </c>
      <c r="D394" s="273" t="s">
        <v>1708</v>
      </c>
      <c r="E394" s="245" t="s">
        <v>1709</v>
      </c>
      <c r="F394" s="248" t="s">
        <v>1710</v>
      </c>
      <c r="G394" s="99">
        <v>186282967</v>
      </c>
      <c r="H394" s="94">
        <v>32030</v>
      </c>
      <c r="I394" s="105"/>
      <c r="J394" s="98"/>
      <c r="K394" s="38"/>
    </row>
    <row r="395" spans="1:11" s="3" customFormat="1" ht="15.6" x14ac:dyDescent="0.3">
      <c r="A395" s="39">
        <v>500</v>
      </c>
      <c r="B395" s="39" t="s">
        <v>705</v>
      </c>
      <c r="C395" s="118" t="s">
        <v>1711</v>
      </c>
      <c r="D395" s="274" t="s">
        <v>1712</v>
      </c>
      <c r="E395" s="261" t="s">
        <v>1713</v>
      </c>
      <c r="F395" s="249" t="s">
        <v>1714</v>
      </c>
      <c r="G395" s="119">
        <v>182521791</v>
      </c>
      <c r="H395" s="96">
        <v>28606</v>
      </c>
      <c r="I395" s="129" t="s">
        <v>815</v>
      </c>
      <c r="J395" s="127"/>
      <c r="K395" s="39"/>
    </row>
    <row r="396" spans="1:11" s="1" customFormat="1" ht="16.2" x14ac:dyDescent="0.3">
      <c r="A396" s="71">
        <v>501</v>
      </c>
      <c r="B396" s="38" t="s">
        <v>705</v>
      </c>
      <c r="C396" s="21" t="s">
        <v>1715</v>
      </c>
      <c r="D396" s="273" t="s">
        <v>1716</v>
      </c>
      <c r="E396" s="245" t="s">
        <v>1717</v>
      </c>
      <c r="F396" s="248" t="s">
        <v>1718</v>
      </c>
      <c r="G396" s="99">
        <v>186282967</v>
      </c>
      <c r="H396" s="94">
        <v>31270</v>
      </c>
      <c r="I396" s="105"/>
      <c r="J396" s="98"/>
      <c r="K396" s="120"/>
    </row>
    <row r="397" spans="1:11" s="3" customFormat="1" ht="15.6" x14ac:dyDescent="0.3">
      <c r="A397" s="39">
        <v>502</v>
      </c>
      <c r="B397" s="39" t="s">
        <v>705</v>
      </c>
      <c r="C397" s="118" t="s">
        <v>1719</v>
      </c>
      <c r="D397" s="274" t="s">
        <v>1720</v>
      </c>
      <c r="E397" s="261" t="s">
        <v>1721</v>
      </c>
      <c r="F397" s="249" t="s">
        <v>1722</v>
      </c>
      <c r="G397" s="119">
        <v>182521791</v>
      </c>
      <c r="H397" s="96">
        <v>30803</v>
      </c>
      <c r="I397" s="129" t="s">
        <v>815</v>
      </c>
      <c r="J397" s="127"/>
      <c r="K397" s="39"/>
    </row>
    <row r="398" spans="1:11" s="1" customFormat="1" ht="15.6" x14ac:dyDescent="0.3">
      <c r="A398" s="71">
        <v>503</v>
      </c>
      <c r="B398" s="38" t="s">
        <v>699</v>
      </c>
      <c r="C398" s="21" t="s">
        <v>1723</v>
      </c>
      <c r="D398" s="273" t="s">
        <v>1724</v>
      </c>
      <c r="E398" s="245">
        <v>1083602830</v>
      </c>
      <c r="F398" s="248" t="s">
        <v>1725</v>
      </c>
      <c r="G398" s="99">
        <v>186282967</v>
      </c>
      <c r="H398" s="94">
        <v>29733</v>
      </c>
      <c r="I398" s="105"/>
      <c r="J398" s="98"/>
      <c r="K398" s="38"/>
    </row>
    <row r="399" spans="1:11" s="1" customFormat="1" ht="15.6" x14ac:dyDescent="0.3">
      <c r="A399" s="71">
        <v>505</v>
      </c>
      <c r="B399" s="38" t="s">
        <v>705</v>
      </c>
      <c r="C399" s="21" t="s">
        <v>1726</v>
      </c>
      <c r="D399" s="273" t="s">
        <v>1727</v>
      </c>
      <c r="E399" s="245" t="s">
        <v>1728</v>
      </c>
      <c r="F399" s="248" t="s">
        <v>1729</v>
      </c>
      <c r="G399" s="99">
        <v>186282967</v>
      </c>
      <c r="H399" s="94">
        <v>28076</v>
      </c>
      <c r="I399" s="105"/>
      <c r="J399" s="98"/>
      <c r="K399" s="38"/>
    </row>
    <row r="400" spans="1:11" s="1" customFormat="1" ht="15.6" x14ac:dyDescent="0.3">
      <c r="A400" s="71">
        <v>506</v>
      </c>
      <c r="B400" s="38" t="s">
        <v>699</v>
      </c>
      <c r="C400" s="21" t="s">
        <v>1730</v>
      </c>
      <c r="D400" s="273" t="s">
        <v>1731</v>
      </c>
      <c r="E400" s="98">
        <v>1192991447</v>
      </c>
      <c r="F400" s="98" t="s">
        <v>1732</v>
      </c>
      <c r="G400" s="99">
        <v>186282967</v>
      </c>
      <c r="H400" s="94">
        <v>30413</v>
      </c>
      <c r="I400" s="105"/>
      <c r="J400" s="98"/>
      <c r="K400" s="38"/>
    </row>
    <row r="401" spans="1:14" s="1" customFormat="1" ht="15.6" x14ac:dyDescent="0.3">
      <c r="A401" s="71">
        <v>507</v>
      </c>
      <c r="B401" s="38" t="s">
        <v>705</v>
      </c>
      <c r="C401" s="21" t="s">
        <v>1733</v>
      </c>
      <c r="D401" s="273" t="s">
        <v>1734</v>
      </c>
      <c r="E401" s="98">
        <v>1141182333</v>
      </c>
      <c r="F401" s="98" t="s">
        <v>1004</v>
      </c>
      <c r="G401" s="99">
        <v>186282967</v>
      </c>
      <c r="H401" s="94">
        <v>24079</v>
      </c>
      <c r="I401" s="105"/>
      <c r="J401" s="98"/>
      <c r="K401" s="38"/>
      <c r="L401" s="38"/>
      <c r="M401" s="38"/>
      <c r="N401" s="33"/>
    </row>
    <row r="402" spans="1:14" s="1" customFormat="1" ht="15.6" x14ac:dyDescent="0.3">
      <c r="A402" s="71">
        <v>508</v>
      </c>
      <c r="B402" s="38" t="s">
        <v>699</v>
      </c>
      <c r="C402" s="21" t="s">
        <v>1735</v>
      </c>
      <c r="D402" s="273" t="s">
        <v>1736</v>
      </c>
      <c r="E402" s="116">
        <v>43881756</v>
      </c>
      <c r="F402" s="98" t="s">
        <v>1737</v>
      </c>
      <c r="G402" s="99">
        <v>186282967</v>
      </c>
      <c r="H402" s="94">
        <v>13963</v>
      </c>
      <c r="I402" s="105"/>
      <c r="J402" s="98"/>
      <c r="K402" s="38"/>
      <c r="L402" s="38"/>
      <c r="M402" s="38"/>
      <c r="N402" s="38"/>
    </row>
    <row r="403" spans="1:14" s="1" customFormat="1" ht="15.6" x14ac:dyDescent="0.3">
      <c r="A403" s="71">
        <v>509</v>
      </c>
      <c r="B403" s="38" t="s">
        <v>705</v>
      </c>
      <c r="C403" s="21" t="s">
        <v>1738</v>
      </c>
      <c r="D403" s="273" t="s">
        <v>1739</v>
      </c>
      <c r="E403" s="98">
        <v>1030378193</v>
      </c>
      <c r="F403" s="98" t="s">
        <v>1740</v>
      </c>
      <c r="G403" s="99">
        <v>186282967</v>
      </c>
      <c r="H403" s="94">
        <v>28088</v>
      </c>
      <c r="I403" s="105"/>
      <c r="J403" s="98"/>
      <c r="K403" s="38"/>
      <c r="L403" s="38"/>
      <c r="M403" s="38"/>
      <c r="N403" s="38"/>
    </row>
    <row r="404" spans="1:14" s="1" customFormat="1" ht="15.6" x14ac:dyDescent="0.3">
      <c r="A404" s="71">
        <v>510</v>
      </c>
      <c r="B404" s="38" t="s">
        <v>699</v>
      </c>
      <c r="C404" s="21" t="s">
        <v>1741</v>
      </c>
      <c r="D404" s="273" t="s">
        <v>1742</v>
      </c>
      <c r="E404" s="98">
        <v>1119088763</v>
      </c>
      <c r="F404" s="98" t="s">
        <v>1743</v>
      </c>
      <c r="G404" s="99">
        <v>186282967</v>
      </c>
      <c r="H404" s="94">
        <v>31009</v>
      </c>
      <c r="I404" s="105"/>
      <c r="J404" s="98"/>
      <c r="K404" s="38"/>
      <c r="L404" s="38"/>
      <c r="M404" s="38"/>
      <c r="N404" s="38"/>
    </row>
    <row r="405" spans="1:14" s="1" customFormat="1" ht="15.6" x14ac:dyDescent="0.3">
      <c r="A405" s="71">
        <v>511</v>
      </c>
      <c r="B405" s="38" t="s">
        <v>705</v>
      </c>
      <c r="C405" s="21" t="s">
        <v>1744</v>
      </c>
      <c r="D405" s="273" t="s">
        <v>1745</v>
      </c>
      <c r="E405" s="98">
        <v>1051772059</v>
      </c>
      <c r="F405" s="98" t="s">
        <v>1746</v>
      </c>
      <c r="G405" s="99">
        <v>186282967</v>
      </c>
      <c r="H405" s="94">
        <v>32535</v>
      </c>
      <c r="I405" s="105"/>
      <c r="J405" s="98"/>
      <c r="K405" s="38"/>
      <c r="L405" s="38"/>
      <c r="M405" s="38"/>
      <c r="N405" s="38"/>
    </row>
    <row r="406" spans="1:14" s="1" customFormat="1" ht="15.6" x14ac:dyDescent="0.3">
      <c r="A406" s="71">
        <v>512</v>
      </c>
      <c r="B406" s="38" t="s">
        <v>699</v>
      </c>
      <c r="C406" s="21" t="s">
        <v>1747</v>
      </c>
      <c r="D406" s="273" t="s">
        <v>1748</v>
      </c>
      <c r="E406" s="116">
        <v>1044850507</v>
      </c>
      <c r="F406" s="98" t="s">
        <v>1749</v>
      </c>
      <c r="G406" s="99">
        <v>186282967</v>
      </c>
      <c r="H406" s="94">
        <v>28151</v>
      </c>
      <c r="I406" s="105">
        <v>43497</v>
      </c>
      <c r="J406" s="98"/>
      <c r="K406" s="38"/>
      <c r="L406" s="38"/>
      <c r="M406" s="38"/>
      <c r="N406" s="38"/>
    </row>
    <row r="407" spans="1:14" s="1" customFormat="1" ht="15.6" x14ac:dyDescent="0.3">
      <c r="A407" s="71">
        <v>514</v>
      </c>
      <c r="B407" s="38" t="s">
        <v>699</v>
      </c>
      <c r="C407" s="21" t="s">
        <v>1750</v>
      </c>
      <c r="D407" s="273" t="s">
        <v>1751</v>
      </c>
      <c r="E407" s="116">
        <v>1055691078</v>
      </c>
      <c r="F407" s="98" t="s">
        <v>1752</v>
      </c>
      <c r="G407" s="99">
        <v>186282967</v>
      </c>
      <c r="H407" s="94">
        <v>27111</v>
      </c>
      <c r="I407" s="105"/>
      <c r="J407" s="98"/>
      <c r="K407" s="38"/>
      <c r="L407" s="38"/>
      <c r="M407" s="38"/>
      <c r="N407" s="38"/>
    </row>
    <row r="408" spans="1:14" s="1" customFormat="1" ht="15.6" x14ac:dyDescent="0.3">
      <c r="A408" s="71">
        <v>515</v>
      </c>
      <c r="B408" s="38" t="s">
        <v>699</v>
      </c>
      <c r="C408" s="21" t="s">
        <v>1753</v>
      </c>
      <c r="D408" s="273" t="s">
        <v>1754</v>
      </c>
      <c r="E408" s="116">
        <v>1260613581</v>
      </c>
      <c r="F408" s="98" t="s">
        <v>1755</v>
      </c>
      <c r="G408" s="99">
        <v>186282967</v>
      </c>
      <c r="H408" s="94">
        <v>34579</v>
      </c>
      <c r="I408" s="105"/>
      <c r="J408" s="98"/>
      <c r="K408" s="38"/>
      <c r="L408" s="38"/>
      <c r="M408" s="38"/>
      <c r="N408" s="38"/>
    </row>
    <row r="409" spans="1:14" s="1" customFormat="1" ht="15.6" x14ac:dyDescent="0.3">
      <c r="A409" s="71">
        <v>516</v>
      </c>
      <c r="B409" s="38" t="s">
        <v>699</v>
      </c>
      <c r="C409" s="21" t="s">
        <v>1756</v>
      </c>
      <c r="D409" s="273" t="s">
        <v>1757</v>
      </c>
      <c r="E409" s="116">
        <v>1149577176</v>
      </c>
      <c r="F409" s="98" t="s">
        <v>1758</v>
      </c>
      <c r="G409" s="99">
        <v>186282967</v>
      </c>
      <c r="H409" s="94">
        <v>31880</v>
      </c>
      <c r="I409" s="105"/>
      <c r="J409" s="98"/>
      <c r="K409" s="38"/>
      <c r="L409" s="38"/>
      <c r="M409" s="38"/>
      <c r="N409" s="38"/>
    </row>
    <row r="410" spans="1:14" s="1" customFormat="1" ht="15.6" x14ac:dyDescent="0.3">
      <c r="A410" s="71">
        <v>517</v>
      </c>
      <c r="B410" s="38" t="s">
        <v>705</v>
      </c>
      <c r="C410" s="21" t="s">
        <v>1759</v>
      </c>
      <c r="D410" s="273" t="s">
        <v>1760</v>
      </c>
      <c r="E410" s="116" t="s">
        <v>1761</v>
      </c>
      <c r="F410" s="98" t="s">
        <v>1762</v>
      </c>
      <c r="G410" s="99">
        <v>186282967</v>
      </c>
      <c r="H410" s="94">
        <v>29750</v>
      </c>
      <c r="I410" s="105"/>
      <c r="J410" s="98"/>
      <c r="K410" s="38"/>
      <c r="L410" s="38"/>
      <c r="M410" s="38"/>
      <c r="N410" s="38"/>
    </row>
    <row r="411" spans="1:14" s="1" customFormat="1" ht="15.6" x14ac:dyDescent="0.3">
      <c r="A411" s="71">
        <v>519</v>
      </c>
      <c r="B411" s="38" t="s">
        <v>705</v>
      </c>
      <c r="C411" s="21" t="s">
        <v>1763</v>
      </c>
      <c r="D411" s="273" t="s">
        <v>1764</v>
      </c>
      <c r="E411" s="116" t="s">
        <v>1765</v>
      </c>
      <c r="F411" s="98" t="s">
        <v>1766</v>
      </c>
      <c r="G411" s="99">
        <v>186282967</v>
      </c>
      <c r="H411" s="94">
        <v>32082</v>
      </c>
      <c r="I411" s="105"/>
      <c r="J411" s="98"/>
      <c r="K411" s="38"/>
      <c r="L411" s="38"/>
      <c r="M411" s="38"/>
      <c r="N411" s="38"/>
    </row>
    <row r="412" spans="1:14" s="1" customFormat="1" ht="15.6" x14ac:dyDescent="0.3">
      <c r="A412" s="71">
        <v>522</v>
      </c>
      <c r="B412" s="38" t="s">
        <v>699</v>
      </c>
      <c r="C412" s="21" t="s">
        <v>1767</v>
      </c>
      <c r="D412" s="273" t="s">
        <v>1768</v>
      </c>
      <c r="E412" s="116" t="s">
        <v>1769</v>
      </c>
      <c r="F412" s="98" t="s">
        <v>1770</v>
      </c>
      <c r="G412" s="99">
        <v>186282967</v>
      </c>
      <c r="H412" s="94">
        <v>29242</v>
      </c>
      <c r="I412" s="105"/>
      <c r="J412" s="98"/>
      <c r="K412" s="38"/>
      <c r="L412" s="38"/>
      <c r="M412" s="38"/>
      <c r="N412" s="38"/>
    </row>
    <row r="413" spans="1:14" s="1" customFormat="1" ht="15.6" x14ac:dyDescent="0.3">
      <c r="A413" s="71">
        <v>525</v>
      </c>
      <c r="B413" s="38" t="s">
        <v>705</v>
      </c>
      <c r="C413" s="21" t="s">
        <v>1771</v>
      </c>
      <c r="D413" s="268" t="s">
        <v>1772</v>
      </c>
      <c r="E413" s="116" t="s">
        <v>1773</v>
      </c>
      <c r="F413" s="116" t="s">
        <v>1774</v>
      </c>
      <c r="G413" s="99">
        <v>186282967</v>
      </c>
      <c r="H413" s="94">
        <v>27484</v>
      </c>
      <c r="I413" s="105"/>
      <c r="J413" s="98"/>
      <c r="K413" s="38"/>
      <c r="L413" s="38"/>
      <c r="M413" s="38"/>
      <c r="N413" s="38"/>
    </row>
    <row r="414" spans="1:14" s="1" customFormat="1" ht="15.6" x14ac:dyDescent="0.3">
      <c r="A414" s="71">
        <v>526</v>
      </c>
      <c r="B414" s="38" t="s">
        <v>705</v>
      </c>
      <c r="C414" s="21" t="s">
        <v>1775</v>
      </c>
      <c r="D414" s="268" t="s">
        <v>1776</v>
      </c>
      <c r="E414" s="116" t="s">
        <v>1777</v>
      </c>
      <c r="F414" s="116" t="s">
        <v>1778</v>
      </c>
      <c r="G414" s="99">
        <v>186282967</v>
      </c>
      <c r="H414" s="94">
        <v>28967</v>
      </c>
      <c r="I414" s="105"/>
      <c r="J414" s="98"/>
      <c r="K414" s="38"/>
      <c r="L414" s="38"/>
      <c r="M414" s="38"/>
      <c r="N414" s="38"/>
    </row>
    <row r="415" spans="1:14" s="1" customFormat="1" ht="15.6" x14ac:dyDescent="0.3">
      <c r="A415" s="71">
        <v>527</v>
      </c>
      <c r="B415" s="38" t="s">
        <v>705</v>
      </c>
      <c r="C415" s="21" t="s">
        <v>1779</v>
      </c>
      <c r="D415" s="268" t="s">
        <v>1780</v>
      </c>
      <c r="E415" s="116">
        <v>1082720231</v>
      </c>
      <c r="F415" s="116" t="s">
        <v>1781</v>
      </c>
      <c r="G415" s="99">
        <v>186282967</v>
      </c>
      <c r="H415" s="94">
        <v>30216</v>
      </c>
      <c r="I415" s="105"/>
      <c r="J415" s="98"/>
      <c r="K415" s="38"/>
      <c r="L415" s="38"/>
      <c r="M415" s="38"/>
      <c r="N415" s="38"/>
    </row>
    <row r="416" spans="1:14" s="1" customFormat="1" ht="15.6" x14ac:dyDescent="0.3">
      <c r="A416" s="71">
        <v>528</v>
      </c>
      <c r="B416" s="38" t="s">
        <v>705</v>
      </c>
      <c r="C416" s="21" t="s">
        <v>1782</v>
      </c>
      <c r="D416" s="268" t="s">
        <v>1783</v>
      </c>
      <c r="E416" s="116" t="s">
        <v>1784</v>
      </c>
      <c r="F416" s="116" t="s">
        <v>1785</v>
      </c>
      <c r="G416" s="99">
        <v>186282967</v>
      </c>
      <c r="H416" s="94">
        <v>33030</v>
      </c>
      <c r="I416" s="105"/>
      <c r="J416" s="98"/>
      <c r="K416" s="38"/>
      <c r="L416" s="38"/>
      <c r="M416" s="38"/>
      <c r="N416" s="38"/>
    </row>
    <row r="417" spans="1:10" s="1" customFormat="1" ht="15.6" x14ac:dyDescent="0.3">
      <c r="A417" s="71">
        <v>529</v>
      </c>
      <c r="B417" s="38" t="s">
        <v>705</v>
      </c>
      <c r="C417" s="38" t="s">
        <v>1640</v>
      </c>
      <c r="D417" s="92">
        <v>231023256050</v>
      </c>
      <c r="E417" s="103" t="s">
        <v>1641</v>
      </c>
      <c r="F417" s="103" t="s">
        <v>1642</v>
      </c>
      <c r="G417" s="92">
        <v>186282967</v>
      </c>
      <c r="H417" s="94">
        <v>32072</v>
      </c>
      <c r="I417" s="105"/>
      <c r="J417" s="98"/>
    </row>
    <row r="418" spans="1:10" s="1" customFormat="1" ht="15.6" x14ac:dyDescent="0.3">
      <c r="A418" s="71">
        <v>530</v>
      </c>
      <c r="B418" s="38" t="s">
        <v>699</v>
      </c>
      <c r="C418" s="21" t="s">
        <v>1786</v>
      </c>
      <c r="D418" s="92">
        <v>391001842327</v>
      </c>
      <c r="E418" s="103" t="s">
        <v>1787</v>
      </c>
      <c r="F418" s="103" t="s">
        <v>1788</v>
      </c>
      <c r="G418" s="92">
        <v>186282967</v>
      </c>
      <c r="H418" s="94">
        <v>27275</v>
      </c>
      <c r="I418" s="105"/>
      <c r="J418" s="98"/>
    </row>
    <row r="419" spans="1:10" s="1" customFormat="1" ht="15.6" x14ac:dyDescent="0.3">
      <c r="A419" s="71">
        <v>531</v>
      </c>
      <c r="B419" s="38" t="s">
        <v>699</v>
      </c>
      <c r="C419" s="21" t="s">
        <v>1789</v>
      </c>
      <c r="D419" s="92">
        <v>281036902149</v>
      </c>
      <c r="E419" s="103" t="s">
        <v>1790</v>
      </c>
      <c r="F419" s="103" t="s">
        <v>1791</v>
      </c>
      <c r="G419" s="92">
        <v>186282967</v>
      </c>
      <c r="H419" s="94">
        <v>28280</v>
      </c>
      <c r="I419" s="105"/>
      <c r="J419" s="98"/>
    </row>
    <row r="420" spans="1:10" s="1" customFormat="1" ht="15.6" x14ac:dyDescent="0.3">
      <c r="A420" s="71">
        <v>532</v>
      </c>
      <c r="B420" s="38" t="s">
        <v>705</v>
      </c>
      <c r="C420" s="21" t="s">
        <v>1792</v>
      </c>
      <c r="D420" s="92">
        <v>151022744712</v>
      </c>
      <c r="E420" s="103" t="s">
        <v>1793</v>
      </c>
      <c r="F420" s="103" t="s">
        <v>1794</v>
      </c>
      <c r="G420" s="92">
        <v>186282967</v>
      </c>
      <c r="H420" s="94">
        <v>28484</v>
      </c>
      <c r="I420" s="105"/>
      <c r="J420" s="98"/>
    </row>
    <row r="421" spans="1:10" s="1" customFormat="1" ht="15.6" x14ac:dyDescent="0.3">
      <c r="A421" s="71">
        <v>533</v>
      </c>
      <c r="B421" s="38" t="s">
        <v>705</v>
      </c>
      <c r="C421" s="21" t="s">
        <v>1795</v>
      </c>
      <c r="D421" s="92">
        <v>431020277919</v>
      </c>
      <c r="E421" s="103" t="s">
        <v>1796</v>
      </c>
      <c r="F421" s="103" t="s">
        <v>1797</v>
      </c>
      <c r="G421" s="92">
        <v>186282967</v>
      </c>
      <c r="H421" s="94">
        <v>32395</v>
      </c>
      <c r="I421" s="105"/>
      <c r="J421" s="98"/>
    </row>
    <row r="422" spans="1:10" s="1" customFormat="1" ht="15.6" x14ac:dyDescent="0.3">
      <c r="A422" s="71">
        <v>534</v>
      </c>
      <c r="B422" s="38" t="s">
        <v>705</v>
      </c>
      <c r="C422" s="21" t="s">
        <v>1798</v>
      </c>
      <c r="D422" s="92">
        <v>151020589187</v>
      </c>
      <c r="E422" s="103" t="s">
        <v>1799</v>
      </c>
      <c r="F422" s="103" t="s">
        <v>1800</v>
      </c>
      <c r="G422" s="92">
        <v>186282967</v>
      </c>
      <c r="H422" s="94">
        <v>28622</v>
      </c>
      <c r="I422" s="105"/>
      <c r="J422" s="98"/>
    </row>
    <row r="423" spans="1:10" s="1" customFormat="1" ht="15.6" x14ac:dyDescent="0.3">
      <c r="A423" s="71">
        <v>535</v>
      </c>
      <c r="B423" s="38" t="s">
        <v>705</v>
      </c>
      <c r="C423" s="21" t="s">
        <v>1801</v>
      </c>
      <c r="D423" s="92">
        <v>201018241505</v>
      </c>
      <c r="E423" s="103" t="s">
        <v>1802</v>
      </c>
      <c r="F423" s="103" t="s">
        <v>1803</v>
      </c>
      <c r="G423" s="92">
        <v>186282967</v>
      </c>
      <c r="H423" s="94">
        <v>31083</v>
      </c>
      <c r="I423" s="105"/>
      <c r="J423" s="98"/>
    </row>
    <row r="424" spans="1:10" s="1" customFormat="1" ht="15.6" x14ac:dyDescent="0.3">
      <c r="A424" s="71">
        <v>536</v>
      </c>
      <c r="B424" s="38" t="s">
        <v>699</v>
      </c>
      <c r="C424" s="21" t="s">
        <v>1804</v>
      </c>
      <c r="D424" s="38">
        <v>81287598072</v>
      </c>
      <c r="E424" s="98">
        <v>1287598072</v>
      </c>
      <c r="F424" s="98" t="s">
        <v>1805</v>
      </c>
      <c r="G424" s="92">
        <v>186282967</v>
      </c>
      <c r="H424" s="94">
        <v>33353</v>
      </c>
      <c r="I424" s="105"/>
      <c r="J424" s="98"/>
    </row>
    <row r="425" spans="1:10" s="1" customFormat="1" ht="15.6" x14ac:dyDescent="0.3">
      <c r="A425" s="71">
        <v>537</v>
      </c>
      <c r="B425" s="38" t="s">
        <v>705</v>
      </c>
      <c r="C425" s="21" t="s">
        <v>1806</v>
      </c>
      <c r="D425" s="268" t="s">
        <v>1807</v>
      </c>
      <c r="E425" s="98">
        <v>438828394</v>
      </c>
      <c r="F425" s="98" t="s">
        <v>1808</v>
      </c>
      <c r="G425" s="92">
        <v>186282967</v>
      </c>
      <c r="H425" s="94">
        <v>25293</v>
      </c>
      <c r="I425" s="105"/>
      <c r="J425" s="98"/>
    </row>
    <row r="426" spans="1:10" s="1" customFormat="1" ht="15.6" x14ac:dyDescent="0.3">
      <c r="A426" s="71">
        <v>538</v>
      </c>
      <c r="B426" s="38" t="s">
        <v>699</v>
      </c>
      <c r="C426" s="21" t="s">
        <v>1809</v>
      </c>
      <c r="D426" s="268" t="s">
        <v>1810</v>
      </c>
      <c r="E426" s="98">
        <v>1445169893</v>
      </c>
      <c r="F426" s="98" t="s">
        <v>1811</v>
      </c>
      <c r="G426" s="92">
        <v>186282967</v>
      </c>
      <c r="H426" s="94">
        <v>35128</v>
      </c>
      <c r="I426" s="105"/>
      <c r="J426" s="98"/>
    </row>
    <row r="427" spans="1:10" s="1" customFormat="1" ht="15.6" x14ac:dyDescent="0.3">
      <c r="A427" s="71">
        <v>539</v>
      </c>
      <c r="B427" s="38" t="s">
        <v>699</v>
      </c>
      <c r="C427" s="21" t="s">
        <v>1812</v>
      </c>
      <c r="D427" s="268" t="s">
        <v>1813</v>
      </c>
      <c r="E427" s="98">
        <v>1171245461</v>
      </c>
      <c r="F427" s="98" t="s">
        <v>1814</v>
      </c>
      <c r="G427" s="92">
        <v>186282967</v>
      </c>
      <c r="H427" s="94">
        <v>31913</v>
      </c>
      <c r="I427" s="105"/>
      <c r="J427" s="98"/>
    </row>
    <row r="428" spans="1:10" s="1" customFormat="1" ht="15.6" x14ac:dyDescent="0.3">
      <c r="A428" s="71">
        <v>540</v>
      </c>
      <c r="B428" s="38" t="s">
        <v>699</v>
      </c>
      <c r="C428" s="21" t="s">
        <v>1815</v>
      </c>
      <c r="D428" s="268" t="s">
        <v>1816</v>
      </c>
      <c r="E428" s="98">
        <v>1064419300</v>
      </c>
      <c r="F428" s="98" t="s">
        <v>1817</v>
      </c>
      <c r="G428" s="92">
        <v>186282967</v>
      </c>
      <c r="H428" s="94">
        <v>32492</v>
      </c>
      <c r="I428" s="105">
        <v>43251</v>
      </c>
      <c r="J428" s="98"/>
    </row>
    <row r="429" spans="1:10" s="1" customFormat="1" ht="15.6" x14ac:dyDescent="0.3">
      <c r="A429" s="71">
        <v>541</v>
      </c>
      <c r="B429" s="38" t="s">
        <v>705</v>
      </c>
      <c r="C429" s="21" t="s">
        <v>1818</v>
      </c>
      <c r="D429" s="268" t="s">
        <v>1819</v>
      </c>
      <c r="E429" s="98">
        <v>1051905224</v>
      </c>
      <c r="F429" s="98" t="s">
        <v>1820</v>
      </c>
      <c r="G429" s="92">
        <v>186282967</v>
      </c>
      <c r="H429" s="94">
        <v>29452</v>
      </c>
      <c r="I429" s="105"/>
      <c r="J429" s="98"/>
    </row>
    <row r="430" spans="1:10" s="1" customFormat="1" ht="15.6" x14ac:dyDescent="0.3">
      <c r="A430" s="71">
        <v>542</v>
      </c>
      <c r="B430" s="38" t="s">
        <v>699</v>
      </c>
      <c r="C430" s="21" t="s">
        <v>1821</v>
      </c>
      <c r="D430" s="268" t="s">
        <v>1822</v>
      </c>
      <c r="E430" s="98">
        <v>1086278583</v>
      </c>
      <c r="F430" s="98" t="s">
        <v>1823</v>
      </c>
      <c r="G430" s="92">
        <v>186282967</v>
      </c>
      <c r="H430" s="94">
        <v>29384</v>
      </c>
      <c r="I430" s="105"/>
      <c r="J430" s="98"/>
    </row>
    <row r="431" spans="1:10" s="1" customFormat="1" ht="15.6" x14ac:dyDescent="0.3">
      <c r="A431" s="71">
        <v>543</v>
      </c>
      <c r="B431" s="38" t="s">
        <v>699</v>
      </c>
      <c r="C431" s="21" t="s">
        <v>1824</v>
      </c>
      <c r="D431" s="38" t="s">
        <v>1825</v>
      </c>
      <c r="E431" s="98" t="s">
        <v>1826</v>
      </c>
      <c r="F431" s="98" t="s">
        <v>1827</v>
      </c>
      <c r="G431" s="92">
        <v>186282967</v>
      </c>
      <c r="H431" s="94">
        <v>27832</v>
      </c>
      <c r="I431" s="105"/>
      <c r="J431" s="98"/>
    </row>
    <row r="432" spans="1:10" s="1" customFormat="1" ht="15.6" x14ac:dyDescent="0.3">
      <c r="A432" s="71">
        <v>544</v>
      </c>
      <c r="B432" s="38" t="s">
        <v>705</v>
      </c>
      <c r="C432" s="21" t="s">
        <v>1828</v>
      </c>
      <c r="D432" s="268" t="s">
        <v>1829</v>
      </c>
      <c r="E432" s="103" t="s">
        <v>1830</v>
      </c>
      <c r="F432" s="98" t="s">
        <v>1831</v>
      </c>
      <c r="G432" s="92">
        <v>186282967</v>
      </c>
      <c r="H432" s="94">
        <v>32604</v>
      </c>
      <c r="I432" s="105"/>
      <c r="J432" s="98"/>
    </row>
    <row r="433" spans="1:10" s="1" customFormat="1" ht="15.6" x14ac:dyDescent="0.3">
      <c r="A433" s="71">
        <v>545</v>
      </c>
      <c r="B433" s="38" t="s">
        <v>705</v>
      </c>
      <c r="C433" s="21" t="s">
        <v>1832</v>
      </c>
      <c r="D433" s="38">
        <v>81151614075</v>
      </c>
      <c r="E433" s="98">
        <v>1151614075</v>
      </c>
      <c r="F433" s="98" t="s">
        <v>1833</v>
      </c>
      <c r="G433" s="92">
        <v>186282967</v>
      </c>
      <c r="H433" s="94">
        <v>31338</v>
      </c>
      <c r="I433" s="105"/>
      <c r="J433" s="98"/>
    </row>
    <row r="434" spans="1:10" s="1" customFormat="1" ht="15.6" x14ac:dyDescent="0.3">
      <c r="A434" s="71">
        <v>548</v>
      </c>
      <c r="B434" s="38" t="s">
        <v>705</v>
      </c>
      <c r="C434" s="21" t="s">
        <v>1834</v>
      </c>
      <c r="D434" s="38">
        <v>81214128050</v>
      </c>
      <c r="E434" s="98">
        <v>1214128050</v>
      </c>
      <c r="F434" s="98" t="s">
        <v>1835</v>
      </c>
      <c r="G434" s="92">
        <v>186282967</v>
      </c>
      <c r="H434" s="94">
        <v>32856</v>
      </c>
      <c r="I434" s="105"/>
      <c r="J434" s="98"/>
    </row>
    <row r="435" spans="1:10" s="1" customFormat="1" ht="15.6" x14ac:dyDescent="0.3">
      <c r="A435" s="71">
        <v>549</v>
      </c>
      <c r="B435" s="38" t="s">
        <v>705</v>
      </c>
      <c r="C435" s="38" t="s">
        <v>1836</v>
      </c>
      <c r="D435" s="275" t="s">
        <v>1837</v>
      </c>
      <c r="E435" s="98">
        <v>1085377122</v>
      </c>
      <c r="F435" s="98" t="s">
        <v>1838</v>
      </c>
      <c r="G435" s="92">
        <v>186282967</v>
      </c>
      <c r="H435" s="94">
        <v>30847</v>
      </c>
      <c r="I435" s="105"/>
      <c r="J435" s="98"/>
    </row>
    <row r="436" spans="1:10" s="1" customFormat="1" ht="15.6" x14ac:dyDescent="0.3">
      <c r="A436" s="71">
        <v>550</v>
      </c>
      <c r="B436" s="38" t="s">
        <v>699</v>
      </c>
      <c r="C436" s="21" t="s">
        <v>1839</v>
      </c>
      <c r="D436" s="38">
        <v>81315411612</v>
      </c>
      <c r="E436" s="98">
        <v>1315411612</v>
      </c>
      <c r="F436" s="98" t="s">
        <v>1840</v>
      </c>
      <c r="G436" s="92">
        <v>186282967</v>
      </c>
      <c r="H436" s="122"/>
      <c r="I436" s="105"/>
      <c r="J436" s="98"/>
    </row>
    <row r="437" spans="1:10" s="1" customFormat="1" ht="15.6" x14ac:dyDescent="0.3">
      <c r="A437" s="71">
        <v>551</v>
      </c>
      <c r="B437" s="38" t="s">
        <v>705</v>
      </c>
      <c r="C437" s="38" t="s">
        <v>1841</v>
      </c>
      <c r="D437" s="275" t="s">
        <v>1842</v>
      </c>
      <c r="E437" s="121">
        <v>1052738541</v>
      </c>
      <c r="F437" s="121" t="s">
        <v>1843</v>
      </c>
      <c r="G437" s="92">
        <v>186282967</v>
      </c>
      <c r="H437" s="94">
        <v>29034</v>
      </c>
      <c r="I437" s="105"/>
      <c r="J437" s="98"/>
    </row>
    <row r="438" spans="1:10" s="1" customFormat="1" ht="15.6" x14ac:dyDescent="0.3">
      <c r="A438" s="71">
        <v>552</v>
      </c>
      <c r="B438" s="38" t="s">
        <v>705</v>
      </c>
      <c r="C438" s="38" t="s">
        <v>1844</v>
      </c>
      <c r="D438" s="275" t="s">
        <v>1845</v>
      </c>
      <c r="E438" s="121">
        <v>59296131</v>
      </c>
      <c r="F438" s="121" t="s">
        <v>1846</v>
      </c>
      <c r="G438" s="92">
        <v>186282967</v>
      </c>
      <c r="H438" s="94">
        <v>24029</v>
      </c>
      <c r="I438" s="105"/>
      <c r="J438" s="98"/>
    </row>
    <row r="439" spans="1:10" s="1" customFormat="1" ht="15.6" x14ac:dyDescent="0.3">
      <c r="A439" s="71">
        <v>553</v>
      </c>
      <c r="B439" s="38" t="s">
        <v>705</v>
      </c>
      <c r="C439" s="38" t="s">
        <v>1847</v>
      </c>
      <c r="D439" s="275">
        <v>81037722133</v>
      </c>
      <c r="E439" s="121">
        <v>1037722133</v>
      </c>
      <c r="F439" s="121" t="s">
        <v>1848</v>
      </c>
      <c r="G439" s="92">
        <v>186282967</v>
      </c>
      <c r="H439" s="94">
        <v>29084</v>
      </c>
      <c r="I439" s="105"/>
      <c r="J439" s="98"/>
    </row>
    <row r="440" spans="1:10" s="1" customFormat="1" ht="15.6" x14ac:dyDescent="0.3">
      <c r="A440" s="71">
        <v>554</v>
      </c>
      <c r="B440" s="38" t="s">
        <v>705</v>
      </c>
      <c r="C440" s="38" t="s">
        <v>1849</v>
      </c>
      <c r="D440" s="275" t="s">
        <v>1850</v>
      </c>
      <c r="E440" s="121">
        <v>1009458271</v>
      </c>
      <c r="F440" s="121" t="s">
        <v>1851</v>
      </c>
      <c r="G440" s="92">
        <v>186282967</v>
      </c>
      <c r="H440" s="94">
        <v>31011</v>
      </c>
      <c r="I440" s="105"/>
      <c r="J440" s="98"/>
    </row>
    <row r="441" spans="1:10" s="1" customFormat="1" ht="15.6" x14ac:dyDescent="0.3">
      <c r="A441" s="71">
        <v>555</v>
      </c>
      <c r="B441" s="38" t="s">
        <v>705</v>
      </c>
      <c r="C441" s="38" t="s">
        <v>1852</v>
      </c>
      <c r="D441" s="275">
        <v>81137487340</v>
      </c>
      <c r="E441" s="121">
        <v>1137487340</v>
      </c>
      <c r="F441" s="121" t="s">
        <v>1853</v>
      </c>
      <c r="G441" s="92">
        <v>186282967</v>
      </c>
      <c r="H441" s="94">
        <v>30672</v>
      </c>
      <c r="I441" s="226"/>
      <c r="J441" s="98"/>
    </row>
    <row r="442" spans="1:10" s="1" customFormat="1" ht="15.6" x14ac:dyDescent="0.3">
      <c r="A442" s="71">
        <v>556</v>
      </c>
      <c r="B442" s="38" t="s">
        <v>699</v>
      </c>
      <c r="C442" s="38" t="s">
        <v>1854</v>
      </c>
      <c r="D442" s="38">
        <v>81147672542</v>
      </c>
      <c r="E442" s="98">
        <v>1147672542</v>
      </c>
      <c r="F442" s="98" t="s">
        <v>1855</v>
      </c>
      <c r="G442" s="92">
        <v>186282967</v>
      </c>
      <c r="H442" s="94">
        <v>32198</v>
      </c>
      <c r="I442" s="105"/>
      <c r="J442" s="98"/>
    </row>
    <row r="443" spans="1:10" s="1" customFormat="1" ht="15.6" x14ac:dyDescent="0.3">
      <c r="A443" s="71">
        <v>557</v>
      </c>
      <c r="B443" s="38" t="s">
        <v>705</v>
      </c>
      <c r="C443" s="38" t="s">
        <v>1856</v>
      </c>
      <c r="D443" s="275" t="s">
        <v>1857</v>
      </c>
      <c r="E443" s="121">
        <v>1010498475</v>
      </c>
      <c r="F443" s="98" t="s">
        <v>1858</v>
      </c>
      <c r="G443" s="92">
        <v>186282967</v>
      </c>
      <c r="H443" s="94">
        <v>27750</v>
      </c>
      <c r="I443" s="105"/>
      <c r="J443" s="98"/>
    </row>
    <row r="444" spans="1:10" s="1" customFormat="1" ht="15.6" x14ac:dyDescent="0.3">
      <c r="A444" s="71">
        <v>558</v>
      </c>
      <c r="B444" s="38" t="s">
        <v>705</v>
      </c>
      <c r="C444" s="38" t="s">
        <v>1859</v>
      </c>
      <c r="D444" s="275" t="s">
        <v>1860</v>
      </c>
      <c r="E444" s="121">
        <v>1162901441</v>
      </c>
      <c r="F444" s="98" t="s">
        <v>1861</v>
      </c>
      <c r="G444" s="92">
        <v>186282967</v>
      </c>
      <c r="H444" s="123">
        <v>31542</v>
      </c>
      <c r="I444" s="105"/>
      <c r="J444" s="98"/>
    </row>
    <row r="445" spans="1:10" s="1" customFormat="1" ht="15.6" x14ac:dyDescent="0.3">
      <c r="A445" s="71">
        <v>559</v>
      </c>
      <c r="B445" s="38" t="s">
        <v>705</v>
      </c>
      <c r="C445" s="38" t="s">
        <v>1862</v>
      </c>
      <c r="D445" s="38">
        <v>81242462962</v>
      </c>
      <c r="E445" s="98">
        <v>1242462962</v>
      </c>
      <c r="F445" s="98" t="s">
        <v>1863</v>
      </c>
      <c r="G445" s="92">
        <v>186282967</v>
      </c>
      <c r="H445" s="94">
        <v>29609</v>
      </c>
      <c r="I445" s="105"/>
      <c r="J445" s="98"/>
    </row>
    <row r="446" spans="1:10" s="1" customFormat="1" ht="15.6" x14ac:dyDescent="0.3">
      <c r="A446" s="71">
        <v>560</v>
      </c>
      <c r="B446" s="38" t="s">
        <v>705</v>
      </c>
      <c r="C446" s="38" t="s">
        <v>1864</v>
      </c>
      <c r="D446" s="275">
        <v>81145274117</v>
      </c>
      <c r="E446" s="121">
        <v>1145274117</v>
      </c>
      <c r="F446" s="121" t="s">
        <v>1865</v>
      </c>
      <c r="G446" s="92">
        <v>186282967</v>
      </c>
      <c r="H446" s="94">
        <v>31467</v>
      </c>
      <c r="I446" s="105"/>
      <c r="J446" s="98"/>
    </row>
    <row r="447" spans="1:10" s="1" customFormat="1" ht="15.6" x14ac:dyDescent="0.3">
      <c r="A447" s="71">
        <v>561</v>
      </c>
      <c r="B447" s="38" t="s">
        <v>699</v>
      </c>
      <c r="C447" s="38" t="s">
        <v>1866</v>
      </c>
      <c r="D447" s="38">
        <v>81139382375</v>
      </c>
      <c r="E447" s="98">
        <v>1139382375</v>
      </c>
      <c r="F447" s="98" t="s">
        <v>1867</v>
      </c>
      <c r="G447" s="92">
        <v>186282967</v>
      </c>
      <c r="H447" s="94">
        <v>31988</v>
      </c>
      <c r="I447" s="105"/>
      <c r="J447" s="98"/>
    </row>
    <row r="448" spans="1:10" s="1" customFormat="1" ht="15.6" x14ac:dyDescent="0.3">
      <c r="A448" s="71">
        <v>562</v>
      </c>
      <c r="B448" s="38" t="s">
        <v>699</v>
      </c>
      <c r="C448" s="38" t="s">
        <v>1868</v>
      </c>
      <c r="D448" s="275" t="s">
        <v>1869</v>
      </c>
      <c r="E448" s="121">
        <v>1302152823</v>
      </c>
      <c r="F448" s="98" t="s">
        <v>1870</v>
      </c>
      <c r="G448" s="92">
        <v>186282967</v>
      </c>
      <c r="H448" s="94">
        <v>31765</v>
      </c>
      <c r="I448" s="105" t="s">
        <v>1871</v>
      </c>
      <c r="J448" s="98"/>
    </row>
    <row r="449" spans="1:13" s="1" customFormat="1" ht="15.6" x14ac:dyDescent="0.3">
      <c r="A449" s="71">
        <v>563</v>
      </c>
      <c r="B449" s="38" t="s">
        <v>699</v>
      </c>
      <c r="C449" s="38" t="s">
        <v>1872</v>
      </c>
      <c r="D449" s="275" t="s">
        <v>1873</v>
      </c>
      <c r="E449" s="121">
        <v>1010556729</v>
      </c>
      <c r="F449" s="98" t="s">
        <v>1874</v>
      </c>
      <c r="G449" s="92">
        <v>186282967</v>
      </c>
      <c r="H449" s="94">
        <v>30963</v>
      </c>
      <c r="I449" s="105"/>
      <c r="J449" s="98"/>
      <c r="K449" s="38"/>
      <c r="L449" s="38"/>
      <c r="M449" s="38"/>
    </row>
    <row r="450" spans="1:13" s="1" customFormat="1" ht="15.6" x14ac:dyDescent="0.3">
      <c r="A450" s="71">
        <v>564</v>
      </c>
      <c r="B450" s="38" t="s">
        <v>699</v>
      </c>
      <c r="C450" s="38" t="s">
        <v>1875</v>
      </c>
      <c r="D450" s="275" t="s">
        <v>1876</v>
      </c>
      <c r="E450" s="121">
        <v>1158545737</v>
      </c>
      <c r="F450" s="98" t="s">
        <v>1877</v>
      </c>
      <c r="G450" s="92">
        <v>186282967</v>
      </c>
      <c r="H450" s="94">
        <v>32471</v>
      </c>
      <c r="I450" s="105"/>
      <c r="J450" s="98"/>
      <c r="K450" s="38"/>
      <c r="L450" s="38"/>
      <c r="M450" s="38"/>
    </row>
    <row r="451" spans="1:13" s="1" customFormat="1" ht="15.6" x14ac:dyDescent="0.3">
      <c r="A451" s="71">
        <v>565</v>
      </c>
      <c r="B451" s="38" t="s">
        <v>705</v>
      </c>
      <c r="C451" s="38" t="s">
        <v>1878</v>
      </c>
      <c r="D451" s="275" t="s">
        <v>1879</v>
      </c>
      <c r="E451" s="121">
        <v>1057082929</v>
      </c>
      <c r="F451" s="98" t="s">
        <v>1880</v>
      </c>
      <c r="G451" s="92">
        <v>186282967</v>
      </c>
      <c r="H451" s="94">
        <v>27375</v>
      </c>
      <c r="I451" s="105"/>
      <c r="J451" s="98"/>
      <c r="K451" s="38"/>
      <c r="L451" s="38"/>
      <c r="M451" s="38"/>
    </row>
    <row r="452" spans="1:13" s="1" customFormat="1" ht="15.6" x14ac:dyDescent="0.3">
      <c r="A452" s="71">
        <v>566</v>
      </c>
      <c r="B452" s="38" t="s">
        <v>705</v>
      </c>
      <c r="C452" s="38" t="s">
        <v>1881</v>
      </c>
      <c r="D452" s="38">
        <v>81042885967</v>
      </c>
      <c r="E452" s="98">
        <v>1042885967</v>
      </c>
      <c r="F452" s="98" t="s">
        <v>1882</v>
      </c>
      <c r="G452" s="92">
        <v>186282967</v>
      </c>
      <c r="H452" s="94">
        <v>27741</v>
      </c>
      <c r="I452" s="105"/>
      <c r="J452" s="98"/>
      <c r="K452" s="38"/>
      <c r="L452" s="38"/>
      <c r="M452" s="38"/>
    </row>
    <row r="453" spans="1:13" s="1" customFormat="1" ht="15.6" x14ac:dyDescent="0.3">
      <c r="A453" s="71">
        <v>567</v>
      </c>
      <c r="B453" s="38" t="s">
        <v>699</v>
      </c>
      <c r="C453" s="38" t="s">
        <v>1883</v>
      </c>
      <c r="D453" s="92">
        <v>351013971536</v>
      </c>
      <c r="E453" s="103">
        <v>1013971536</v>
      </c>
      <c r="F453" s="103" t="s">
        <v>1884</v>
      </c>
      <c r="G453" s="92">
        <v>186282967</v>
      </c>
      <c r="H453" s="94">
        <v>29886</v>
      </c>
      <c r="I453" s="98"/>
      <c r="J453" s="98"/>
      <c r="K453" s="38"/>
      <c r="L453" s="38"/>
      <c r="M453" s="38"/>
    </row>
    <row r="454" spans="1:13" s="1" customFormat="1" ht="15.6" x14ac:dyDescent="0.3">
      <c r="A454" s="71">
        <v>568</v>
      </c>
      <c r="B454" s="38" t="s">
        <v>705</v>
      </c>
      <c r="C454" s="38" t="s">
        <v>1885</v>
      </c>
      <c r="D454" s="38">
        <v>81043422501</v>
      </c>
      <c r="E454" s="98">
        <v>1043422501</v>
      </c>
      <c r="F454" s="98" t="s">
        <v>1886</v>
      </c>
      <c r="G454" s="92">
        <v>186282967</v>
      </c>
      <c r="H454" s="94">
        <v>27968</v>
      </c>
      <c r="I454" s="105"/>
      <c r="J454" s="98"/>
      <c r="K454" s="38"/>
      <c r="L454" s="38"/>
      <c r="M454" s="38"/>
    </row>
    <row r="455" spans="1:13" s="1" customFormat="1" ht="15.6" x14ac:dyDescent="0.3">
      <c r="A455" s="71">
        <v>569</v>
      </c>
      <c r="B455" s="38" t="s">
        <v>705</v>
      </c>
      <c r="C455" s="38" t="s">
        <v>1887</v>
      </c>
      <c r="D455" s="38">
        <v>81154760616</v>
      </c>
      <c r="E455" s="98">
        <v>1154760616</v>
      </c>
      <c r="F455" s="98" t="s">
        <v>1888</v>
      </c>
      <c r="G455" s="92">
        <v>186282967</v>
      </c>
      <c r="H455" s="94">
        <v>31320</v>
      </c>
      <c r="I455" s="105"/>
      <c r="J455" s="98"/>
      <c r="K455" s="38"/>
      <c r="L455" s="38"/>
      <c r="M455" s="38"/>
    </row>
    <row r="456" spans="1:13" s="1" customFormat="1" ht="15.6" x14ac:dyDescent="0.3">
      <c r="A456" s="71">
        <v>570</v>
      </c>
      <c r="B456" s="38" t="s">
        <v>699</v>
      </c>
      <c r="C456" s="38" t="s">
        <v>1889</v>
      </c>
      <c r="D456" s="38">
        <v>81027743055</v>
      </c>
      <c r="E456" s="98">
        <v>1027743055</v>
      </c>
      <c r="F456" s="98" t="s">
        <v>1890</v>
      </c>
      <c r="G456" s="92">
        <v>186282967</v>
      </c>
      <c r="H456" s="94">
        <v>23839</v>
      </c>
      <c r="I456" s="105"/>
      <c r="J456" s="98"/>
      <c r="K456" s="38"/>
      <c r="L456" s="38"/>
      <c r="M456" s="38"/>
    </row>
    <row r="457" spans="1:13" s="1" customFormat="1" ht="15.6" x14ac:dyDescent="0.3">
      <c r="A457" s="71">
        <v>571</v>
      </c>
      <c r="B457" s="38" t="s">
        <v>705</v>
      </c>
      <c r="C457" s="38" t="s">
        <v>1891</v>
      </c>
      <c r="D457" s="38">
        <v>81033957321</v>
      </c>
      <c r="E457" s="98">
        <v>1033957321</v>
      </c>
      <c r="F457" s="98" t="s">
        <v>1892</v>
      </c>
      <c r="G457" s="92">
        <v>186282967</v>
      </c>
      <c r="H457" s="94">
        <v>28504</v>
      </c>
      <c r="I457" s="105"/>
      <c r="J457" s="98"/>
      <c r="K457" s="38"/>
      <c r="L457" s="38"/>
      <c r="M457" s="38"/>
    </row>
    <row r="458" spans="1:13" s="1" customFormat="1" ht="15.6" x14ac:dyDescent="0.3">
      <c r="A458" s="71">
        <v>572</v>
      </c>
      <c r="B458" s="38" t="s">
        <v>705</v>
      </c>
      <c r="C458" s="38" t="s">
        <v>1893</v>
      </c>
      <c r="D458" s="38">
        <v>81033497882</v>
      </c>
      <c r="E458" s="98">
        <v>1033497882</v>
      </c>
      <c r="F458" s="98" t="s">
        <v>1894</v>
      </c>
      <c r="G458" s="92">
        <v>186282967</v>
      </c>
      <c r="H458" s="94">
        <v>25302</v>
      </c>
      <c r="I458" s="105"/>
      <c r="J458" s="98"/>
      <c r="K458" s="38"/>
      <c r="L458" s="38"/>
      <c r="M458" s="38"/>
    </row>
    <row r="459" spans="1:13" s="1" customFormat="1" ht="15.6" x14ac:dyDescent="0.3">
      <c r="A459" s="71">
        <v>573</v>
      </c>
      <c r="B459" s="38" t="s">
        <v>699</v>
      </c>
      <c r="C459" s="38" t="s">
        <v>1895</v>
      </c>
      <c r="D459" s="38">
        <v>81168593220</v>
      </c>
      <c r="E459" s="98">
        <v>1168593220</v>
      </c>
      <c r="F459" s="98" t="s">
        <v>1896</v>
      </c>
      <c r="G459" s="92">
        <v>186282967</v>
      </c>
      <c r="H459" s="94">
        <v>24245</v>
      </c>
      <c r="I459" s="105"/>
      <c r="J459" s="98"/>
      <c r="K459" s="38"/>
      <c r="L459" s="38"/>
      <c r="M459" s="38"/>
    </row>
    <row r="460" spans="1:13" s="1" customFormat="1" ht="15.6" x14ac:dyDescent="0.3">
      <c r="A460" s="71">
        <v>574</v>
      </c>
      <c r="B460" s="38" t="s">
        <v>705</v>
      </c>
      <c r="C460" s="124" t="s">
        <v>1897</v>
      </c>
      <c r="D460" s="38">
        <v>81159234437</v>
      </c>
      <c r="E460" s="98">
        <v>1159234437</v>
      </c>
      <c r="F460" s="98" t="s">
        <v>1898</v>
      </c>
      <c r="G460" s="92">
        <v>186282967</v>
      </c>
      <c r="H460" s="103" t="s">
        <v>1899</v>
      </c>
      <c r="I460" s="98"/>
      <c r="J460" s="98"/>
      <c r="K460" s="38"/>
      <c r="L460" s="38"/>
      <c r="M460" s="38"/>
    </row>
    <row r="461" spans="1:13" s="1" customFormat="1" ht="15.6" x14ac:dyDescent="0.3">
      <c r="A461" s="71">
        <v>575</v>
      </c>
      <c r="B461" s="38" t="s">
        <v>705</v>
      </c>
      <c r="C461" s="38" t="s">
        <v>1900</v>
      </c>
      <c r="D461" s="38">
        <v>80420474111</v>
      </c>
      <c r="E461" s="98">
        <v>420474111</v>
      </c>
      <c r="F461" s="98" t="s">
        <v>1901</v>
      </c>
      <c r="G461" s="92">
        <v>186282967</v>
      </c>
      <c r="H461" s="94">
        <v>20345</v>
      </c>
      <c r="I461" s="105"/>
      <c r="J461" s="98"/>
      <c r="K461" s="38"/>
      <c r="L461" s="38"/>
      <c r="M461" s="38"/>
    </row>
    <row r="462" spans="1:13" s="1" customFormat="1" ht="15.6" x14ac:dyDescent="0.3">
      <c r="A462" s="71">
        <v>577</v>
      </c>
      <c r="B462" s="38" t="s">
        <v>705</v>
      </c>
      <c r="C462" s="38" t="s">
        <v>1902</v>
      </c>
      <c r="D462" s="38">
        <v>81357223965</v>
      </c>
      <c r="E462" s="98">
        <v>1357223965</v>
      </c>
      <c r="F462" s="98" t="s">
        <v>1903</v>
      </c>
      <c r="G462" s="92">
        <v>186282967</v>
      </c>
      <c r="H462" s="94">
        <v>35787</v>
      </c>
      <c r="I462" s="98"/>
      <c r="J462" s="98"/>
      <c r="K462" s="38"/>
      <c r="L462" s="38"/>
      <c r="M462" s="38"/>
    </row>
    <row r="463" spans="1:13" s="1" customFormat="1" ht="15.6" x14ac:dyDescent="0.3">
      <c r="A463" s="71">
        <v>578</v>
      </c>
      <c r="B463" s="38" t="s">
        <v>699</v>
      </c>
      <c r="C463" s="38" t="s">
        <v>1904</v>
      </c>
      <c r="D463" s="38">
        <v>81192882525</v>
      </c>
      <c r="E463" s="98">
        <v>1192882525</v>
      </c>
      <c r="F463" s="98" t="s">
        <v>1905</v>
      </c>
      <c r="G463" s="92">
        <v>186282967</v>
      </c>
      <c r="H463" s="94">
        <v>27855</v>
      </c>
      <c r="I463" s="98"/>
      <c r="J463" s="98"/>
      <c r="K463" s="38"/>
      <c r="L463" s="38"/>
      <c r="M463" s="38"/>
    </row>
    <row r="464" spans="1:13" s="1" customFormat="1" ht="15.6" x14ac:dyDescent="0.3">
      <c r="A464" s="71">
        <v>579</v>
      </c>
      <c r="B464" s="38" t="s">
        <v>699</v>
      </c>
      <c r="C464" s="38" t="s">
        <v>1906</v>
      </c>
      <c r="D464" s="268" t="s">
        <v>1907</v>
      </c>
      <c r="E464" s="98">
        <v>1047098064</v>
      </c>
      <c r="F464" s="98" t="s">
        <v>1218</v>
      </c>
      <c r="G464" s="92">
        <v>186282967</v>
      </c>
      <c r="H464" s="94">
        <v>24543</v>
      </c>
      <c r="I464" s="98"/>
      <c r="J464" s="98"/>
      <c r="K464" s="38"/>
      <c r="L464" s="38"/>
      <c r="M464" s="38"/>
    </row>
    <row r="465" spans="1:10" s="1" customFormat="1" ht="15.6" x14ac:dyDescent="0.3">
      <c r="A465" s="71">
        <v>580</v>
      </c>
      <c r="B465" s="38" t="s">
        <v>705</v>
      </c>
      <c r="C465" s="125" t="s">
        <v>1908</v>
      </c>
      <c r="D465" s="268" t="s">
        <v>1909</v>
      </c>
      <c r="E465" s="103">
        <v>1001168748</v>
      </c>
      <c r="F465" s="98" t="s">
        <v>1910</v>
      </c>
      <c r="G465" s="92">
        <v>186282967</v>
      </c>
      <c r="H465" s="94">
        <v>26959</v>
      </c>
      <c r="I465" s="98"/>
      <c r="J465" s="98"/>
    </row>
    <row r="466" spans="1:10" s="1" customFormat="1" ht="15.6" x14ac:dyDescent="0.3">
      <c r="A466" s="71">
        <v>581</v>
      </c>
      <c r="B466" s="38" t="s">
        <v>705</v>
      </c>
      <c r="C466" s="125" t="s">
        <v>1911</v>
      </c>
      <c r="D466" s="268" t="s">
        <v>1912</v>
      </c>
      <c r="E466" s="103">
        <v>1030185871</v>
      </c>
      <c r="F466" s="98" t="s">
        <v>1913</v>
      </c>
      <c r="G466" s="92">
        <v>186282967</v>
      </c>
      <c r="H466" s="94">
        <v>33100</v>
      </c>
      <c r="I466" s="98"/>
      <c r="J466" s="98"/>
    </row>
    <row r="467" spans="1:10" s="1" customFormat="1" ht="15.6" x14ac:dyDescent="0.3">
      <c r="A467" s="71">
        <v>582</v>
      </c>
      <c r="B467" s="38" t="s">
        <v>705</v>
      </c>
      <c r="C467" s="125" t="s">
        <v>1914</v>
      </c>
      <c r="D467" s="268" t="s">
        <v>1915</v>
      </c>
      <c r="E467" s="103" t="s">
        <v>1916</v>
      </c>
      <c r="F467" s="98" t="s">
        <v>1917</v>
      </c>
      <c r="G467" s="92">
        <v>186282967</v>
      </c>
      <c r="H467" s="94">
        <v>30191</v>
      </c>
      <c r="I467" s="98"/>
      <c r="J467" s="98"/>
    </row>
    <row r="468" spans="1:10" s="1" customFormat="1" ht="15.6" x14ac:dyDescent="0.3">
      <c r="A468" s="71">
        <v>583</v>
      </c>
      <c r="B468" s="38" t="s">
        <v>705</v>
      </c>
      <c r="C468" s="38" t="s">
        <v>1918</v>
      </c>
      <c r="D468" s="268" t="s">
        <v>1919</v>
      </c>
      <c r="E468" s="103">
        <v>1031826334</v>
      </c>
      <c r="F468" s="230" t="s">
        <v>1920</v>
      </c>
      <c r="G468" s="92">
        <v>186282967</v>
      </c>
      <c r="H468" s="94">
        <v>30748</v>
      </c>
      <c r="I468" s="98"/>
      <c r="J468" s="98"/>
    </row>
    <row r="469" spans="1:10" s="1" customFormat="1" ht="15.6" x14ac:dyDescent="0.3">
      <c r="A469" s="71">
        <v>584</v>
      </c>
      <c r="B469" s="38" t="s">
        <v>705</v>
      </c>
      <c r="C469" s="124" t="s">
        <v>1921</v>
      </c>
      <c r="D469" s="38">
        <v>81223646073</v>
      </c>
      <c r="E469" s="98">
        <v>1223646073</v>
      </c>
      <c r="F469" s="250" t="s">
        <v>1922</v>
      </c>
      <c r="G469" s="92">
        <v>186282967</v>
      </c>
      <c r="H469" s="94">
        <v>35297</v>
      </c>
      <c r="I469" s="98"/>
      <c r="J469" s="98"/>
    </row>
    <row r="470" spans="1:10" s="1" customFormat="1" ht="15.6" x14ac:dyDescent="0.3">
      <c r="A470" s="71">
        <v>587</v>
      </c>
      <c r="B470" s="38" t="s">
        <v>699</v>
      </c>
      <c r="C470" s="124" t="s">
        <v>1923</v>
      </c>
      <c r="D470" s="38">
        <v>81041760262</v>
      </c>
      <c r="E470" s="98">
        <v>1041760262</v>
      </c>
      <c r="F470" s="250" t="s">
        <v>1924</v>
      </c>
      <c r="G470" s="92">
        <v>186282967</v>
      </c>
      <c r="H470" s="103" t="s">
        <v>1925</v>
      </c>
      <c r="I470" s="98"/>
      <c r="J470" s="98"/>
    </row>
    <row r="471" spans="1:10" s="1" customFormat="1" ht="15.6" x14ac:dyDescent="0.3">
      <c r="A471" s="71">
        <v>588</v>
      </c>
      <c r="B471" s="38" t="s">
        <v>705</v>
      </c>
      <c r="C471" s="124" t="s">
        <v>1926</v>
      </c>
      <c r="D471" s="268" t="s">
        <v>1927</v>
      </c>
      <c r="E471" s="98">
        <v>1027998900</v>
      </c>
      <c r="F471" s="250" t="s">
        <v>1928</v>
      </c>
      <c r="G471" s="92">
        <v>186282967</v>
      </c>
      <c r="H471" s="103" t="s">
        <v>1929</v>
      </c>
      <c r="I471" s="98"/>
      <c r="J471" s="98"/>
    </row>
    <row r="472" spans="1:10" s="1" customFormat="1" ht="15.6" x14ac:dyDescent="0.3">
      <c r="A472" s="71">
        <v>589</v>
      </c>
      <c r="B472" s="38" t="s">
        <v>705</v>
      </c>
      <c r="C472" s="124" t="s">
        <v>1930</v>
      </c>
      <c r="D472" s="38" t="s">
        <v>1931</v>
      </c>
      <c r="E472" s="98">
        <v>1190173696</v>
      </c>
      <c r="F472" s="250" t="s">
        <v>1932</v>
      </c>
      <c r="G472" s="92">
        <v>186282967</v>
      </c>
      <c r="H472" s="103" t="s">
        <v>1933</v>
      </c>
      <c r="I472" s="98"/>
      <c r="J472" s="98"/>
    </row>
    <row r="473" spans="1:10" s="1" customFormat="1" ht="15.6" x14ac:dyDescent="0.3">
      <c r="A473" s="71">
        <v>590</v>
      </c>
      <c r="B473" s="38" t="s">
        <v>699</v>
      </c>
      <c r="C473" s="124" t="s">
        <v>1934</v>
      </c>
      <c r="D473" s="38">
        <v>81213864231</v>
      </c>
      <c r="E473" s="98">
        <v>1213864231</v>
      </c>
      <c r="F473" s="250" t="s">
        <v>1935</v>
      </c>
      <c r="G473" s="92">
        <v>186282967</v>
      </c>
      <c r="H473" s="103" t="s">
        <v>1936</v>
      </c>
      <c r="I473" s="98"/>
      <c r="J473" s="98"/>
    </row>
    <row r="474" spans="1:10" s="1" customFormat="1" ht="15.6" x14ac:dyDescent="0.3">
      <c r="A474" s="71">
        <v>594</v>
      </c>
      <c r="B474" s="38" t="s">
        <v>705</v>
      </c>
      <c r="C474" s="124" t="s">
        <v>1937</v>
      </c>
      <c r="D474" s="38">
        <v>81324631965</v>
      </c>
      <c r="E474" s="98">
        <v>1324631965</v>
      </c>
      <c r="F474" s="250" t="s">
        <v>1938</v>
      </c>
      <c r="G474" s="92">
        <v>186282967</v>
      </c>
      <c r="H474" s="103" t="s">
        <v>1939</v>
      </c>
      <c r="I474" s="98" t="s">
        <v>1940</v>
      </c>
      <c r="J474" s="98"/>
    </row>
    <row r="475" spans="1:10" s="1" customFormat="1" ht="15.6" x14ac:dyDescent="0.3">
      <c r="A475" s="71">
        <v>595</v>
      </c>
      <c r="B475" s="38" t="s">
        <v>705</v>
      </c>
      <c r="C475" s="124" t="s">
        <v>1941</v>
      </c>
      <c r="D475" s="38">
        <v>81121762226</v>
      </c>
      <c r="E475" s="98">
        <v>1121762226</v>
      </c>
      <c r="F475" s="250" t="s">
        <v>1942</v>
      </c>
      <c r="G475" s="92">
        <v>186282967</v>
      </c>
      <c r="H475" s="103" t="s">
        <v>1943</v>
      </c>
      <c r="I475" s="98"/>
      <c r="J475" s="98"/>
    </row>
    <row r="476" spans="1:10" s="1" customFormat="1" ht="15.6" x14ac:dyDescent="0.3">
      <c r="A476" s="71">
        <v>596</v>
      </c>
      <c r="B476" s="38" t="s">
        <v>699</v>
      </c>
      <c r="C476" s="124" t="s">
        <v>1944</v>
      </c>
      <c r="D476" s="38">
        <v>81267513719</v>
      </c>
      <c r="E476" s="250">
        <v>1267513719</v>
      </c>
      <c r="F476" s="250" t="s">
        <v>1945</v>
      </c>
      <c r="G476" s="92">
        <v>186282967</v>
      </c>
      <c r="H476" s="103" t="s">
        <v>1946</v>
      </c>
      <c r="I476" s="98"/>
      <c r="J476" s="98"/>
    </row>
    <row r="477" spans="1:10" s="1" customFormat="1" ht="15.6" x14ac:dyDescent="0.3">
      <c r="A477" s="71">
        <v>597</v>
      </c>
      <c r="B477" s="38" t="s">
        <v>699</v>
      </c>
      <c r="C477" s="124" t="s">
        <v>1947</v>
      </c>
      <c r="D477" s="38">
        <v>81108647927</v>
      </c>
      <c r="E477" s="98">
        <v>1108647927</v>
      </c>
      <c r="F477" s="250" t="s">
        <v>1948</v>
      </c>
      <c r="G477" s="92">
        <v>186282967</v>
      </c>
      <c r="H477" s="103" t="s">
        <v>1949</v>
      </c>
      <c r="I477" s="98"/>
      <c r="J477" s="98"/>
    </row>
    <row r="478" spans="1:10" s="1" customFormat="1" ht="15.6" x14ac:dyDescent="0.3">
      <c r="A478" s="71">
        <v>598</v>
      </c>
      <c r="B478" s="38" t="s">
        <v>699</v>
      </c>
      <c r="C478" s="124" t="s">
        <v>1950</v>
      </c>
      <c r="D478" s="38">
        <v>81086623469</v>
      </c>
      <c r="E478" s="98">
        <v>1086623469</v>
      </c>
      <c r="F478" s="250" t="s">
        <v>1951</v>
      </c>
      <c r="G478" s="92">
        <v>186282967</v>
      </c>
      <c r="H478" s="103" t="s">
        <v>1952</v>
      </c>
      <c r="I478" s="98"/>
      <c r="J478" s="98"/>
    </row>
    <row r="479" spans="1:10" s="1" customFormat="1" ht="15.6" x14ac:dyDescent="0.3">
      <c r="A479" s="71">
        <v>599</v>
      </c>
      <c r="B479" s="38" t="s">
        <v>705</v>
      </c>
      <c r="C479" s="124" t="s">
        <v>1953</v>
      </c>
      <c r="D479" s="38">
        <v>81078840332</v>
      </c>
      <c r="E479" s="98">
        <v>1078840332</v>
      </c>
      <c r="F479" s="98" t="s">
        <v>1954</v>
      </c>
      <c r="G479" s="92">
        <v>186282967</v>
      </c>
      <c r="H479" s="103" t="s">
        <v>1955</v>
      </c>
      <c r="I479" s="98"/>
      <c r="J479" s="98"/>
    </row>
    <row r="480" spans="1:10" s="3" customFormat="1" ht="15.6" x14ac:dyDescent="0.3">
      <c r="A480" s="39">
        <v>600</v>
      </c>
      <c r="B480" s="39" t="s">
        <v>705</v>
      </c>
      <c r="C480" s="126" t="s">
        <v>1956</v>
      </c>
      <c r="D480" s="39">
        <v>81188335750</v>
      </c>
      <c r="E480" s="127">
        <v>1188335750</v>
      </c>
      <c r="F480" s="127" t="s">
        <v>1957</v>
      </c>
      <c r="G480" s="95">
        <v>182521791</v>
      </c>
      <c r="H480" s="128" t="s">
        <v>1958</v>
      </c>
      <c r="I480" s="127" t="s">
        <v>1125</v>
      </c>
      <c r="J480" s="127"/>
    </row>
    <row r="481" spans="1:13" s="3" customFormat="1" ht="15.6" x14ac:dyDescent="0.3">
      <c r="A481" s="39">
        <v>601</v>
      </c>
      <c r="B481" s="39" t="s">
        <v>705</v>
      </c>
      <c r="C481" s="126" t="s">
        <v>1959</v>
      </c>
      <c r="D481" s="39">
        <v>81075317717</v>
      </c>
      <c r="E481" s="127">
        <v>1075317717</v>
      </c>
      <c r="F481" s="251" t="s">
        <v>1960</v>
      </c>
      <c r="G481" s="95">
        <v>182521791</v>
      </c>
      <c r="H481" s="128" t="s">
        <v>1961</v>
      </c>
      <c r="I481" s="127" t="s">
        <v>815</v>
      </c>
      <c r="J481" s="127"/>
      <c r="K481" s="39"/>
      <c r="L481" s="39"/>
      <c r="M481" s="39"/>
    </row>
    <row r="482" spans="1:13" s="1" customFormat="1" ht="15.6" x14ac:dyDescent="0.3">
      <c r="A482" s="71">
        <v>602</v>
      </c>
      <c r="B482" s="38" t="s">
        <v>699</v>
      </c>
      <c r="C482" s="38" t="s">
        <v>702</v>
      </c>
      <c r="D482" s="92">
        <v>81140685613</v>
      </c>
      <c r="E482" s="103">
        <v>1140685613</v>
      </c>
      <c r="F482" s="103" t="s">
        <v>703</v>
      </c>
      <c r="G482" s="92">
        <v>186282967</v>
      </c>
      <c r="H482" s="94">
        <v>28291</v>
      </c>
      <c r="I482" s="98" t="s">
        <v>1962</v>
      </c>
      <c r="J482" s="98"/>
      <c r="K482" s="38"/>
      <c r="L482" s="38"/>
      <c r="M482" s="38"/>
    </row>
    <row r="483" spans="1:13" s="1" customFormat="1" ht="15.6" x14ac:dyDescent="0.3">
      <c r="A483" s="71">
        <v>603</v>
      </c>
      <c r="B483" s="38" t="s">
        <v>705</v>
      </c>
      <c r="C483" s="124" t="s">
        <v>1963</v>
      </c>
      <c r="D483" s="92">
        <v>81331679118</v>
      </c>
      <c r="E483" s="103" t="s">
        <v>1964</v>
      </c>
      <c r="F483" s="103" t="s">
        <v>1965</v>
      </c>
      <c r="G483" s="92">
        <v>186282967</v>
      </c>
      <c r="H483" s="94">
        <v>32078</v>
      </c>
      <c r="I483" s="98"/>
      <c r="J483" s="98"/>
      <c r="K483" s="38"/>
      <c r="L483" s="38"/>
      <c r="M483" s="38"/>
    </row>
    <row r="484" spans="1:13" s="1" customFormat="1" ht="15.6" x14ac:dyDescent="0.3">
      <c r="A484" s="71">
        <v>604</v>
      </c>
      <c r="B484" s="38" t="s">
        <v>699</v>
      </c>
      <c r="C484" s="38" t="s">
        <v>1037</v>
      </c>
      <c r="D484" s="267">
        <v>81096037523</v>
      </c>
      <c r="E484" s="98">
        <v>1096037523</v>
      </c>
      <c r="F484" s="98" t="s">
        <v>1038</v>
      </c>
      <c r="G484" s="98">
        <v>182521791</v>
      </c>
      <c r="H484" s="94">
        <v>29906</v>
      </c>
      <c r="I484" s="98"/>
      <c r="J484" s="98"/>
      <c r="K484" s="38"/>
      <c r="L484" s="38"/>
      <c r="M484" s="38"/>
    </row>
    <row r="485" spans="1:13" s="1" customFormat="1" ht="15.6" x14ac:dyDescent="0.3">
      <c r="A485" s="71">
        <v>605</v>
      </c>
      <c r="B485" s="38" t="s">
        <v>699</v>
      </c>
      <c r="C485" s="38" t="s">
        <v>1966</v>
      </c>
      <c r="D485" s="267">
        <v>81319795507</v>
      </c>
      <c r="E485" s="98">
        <v>1319795507</v>
      </c>
      <c r="F485" s="98" t="s">
        <v>1967</v>
      </c>
      <c r="G485" s="101">
        <v>186282967</v>
      </c>
      <c r="H485" s="94">
        <v>30146</v>
      </c>
      <c r="I485" s="105"/>
      <c r="J485" s="98"/>
      <c r="K485" s="38"/>
      <c r="L485" s="38"/>
      <c r="M485" s="38"/>
    </row>
    <row r="486" spans="1:13" s="1" customFormat="1" ht="15.6" x14ac:dyDescent="0.3">
      <c r="A486" s="71">
        <v>606</v>
      </c>
      <c r="B486" s="38" t="s">
        <v>705</v>
      </c>
      <c r="C486" s="38" t="s">
        <v>1968</v>
      </c>
      <c r="D486" s="267">
        <v>81156431440</v>
      </c>
      <c r="E486" s="98">
        <v>1156431440</v>
      </c>
      <c r="F486" s="98" t="s">
        <v>1969</v>
      </c>
      <c r="G486" s="101">
        <v>186282967</v>
      </c>
      <c r="H486" s="94">
        <v>32518</v>
      </c>
      <c r="I486" s="105"/>
      <c r="J486" s="98"/>
      <c r="K486" s="38"/>
      <c r="L486" s="38"/>
      <c r="M486" s="38"/>
    </row>
    <row r="487" spans="1:13" s="1" customFormat="1" ht="15.6" x14ac:dyDescent="0.3">
      <c r="A487" s="71">
        <v>607</v>
      </c>
      <c r="B487" s="38" t="s">
        <v>705</v>
      </c>
      <c r="C487" s="38" t="s">
        <v>1970</v>
      </c>
      <c r="D487" s="267">
        <v>81040616268</v>
      </c>
      <c r="E487" s="106">
        <v>1040616268</v>
      </c>
      <c r="F487" s="98" t="s">
        <v>1971</v>
      </c>
      <c r="G487" s="101">
        <v>186282967</v>
      </c>
      <c r="H487" s="94">
        <v>25564</v>
      </c>
      <c r="I487" s="105"/>
      <c r="J487" s="98"/>
      <c r="K487" s="38"/>
      <c r="L487" s="38"/>
      <c r="M487" s="38"/>
    </row>
    <row r="488" spans="1:13" s="1" customFormat="1" ht="15.6" x14ac:dyDescent="0.3">
      <c r="A488" s="71">
        <v>608</v>
      </c>
      <c r="B488" s="38" t="s">
        <v>705</v>
      </c>
      <c r="C488" s="38" t="s">
        <v>1972</v>
      </c>
      <c r="D488" s="267">
        <v>281219122612</v>
      </c>
      <c r="E488" s="106">
        <v>1219122612</v>
      </c>
      <c r="F488" s="106" t="s">
        <v>1973</v>
      </c>
      <c r="G488" s="101">
        <v>186282967</v>
      </c>
      <c r="H488" s="94">
        <v>31446</v>
      </c>
      <c r="I488" s="105"/>
      <c r="J488" s="98"/>
      <c r="K488" s="38"/>
      <c r="L488" s="38"/>
      <c r="M488" s="38"/>
    </row>
    <row r="489" spans="1:13" s="1" customFormat="1" ht="15.6" x14ac:dyDescent="0.3">
      <c r="A489" s="71">
        <v>610</v>
      </c>
      <c r="B489" s="38" t="s">
        <v>705</v>
      </c>
      <c r="C489" s="38" t="s">
        <v>1974</v>
      </c>
      <c r="D489" s="267">
        <v>371011057763</v>
      </c>
      <c r="E489" s="106">
        <v>1011057763</v>
      </c>
      <c r="F489" s="98" t="s">
        <v>1975</v>
      </c>
      <c r="G489" s="101">
        <v>186282967</v>
      </c>
      <c r="H489" s="105" t="s">
        <v>1976</v>
      </c>
      <c r="I489" s="105"/>
      <c r="J489" s="98"/>
      <c r="K489" s="38"/>
      <c r="L489" s="38"/>
      <c r="M489" s="38"/>
    </row>
    <row r="490" spans="1:13" s="3" customFormat="1" ht="15.6" x14ac:dyDescent="0.3">
      <c r="A490" s="39">
        <v>611</v>
      </c>
      <c r="B490" s="39" t="s">
        <v>705</v>
      </c>
      <c r="C490" s="39" t="s">
        <v>1977</v>
      </c>
      <c r="D490" s="95">
        <v>431016778542</v>
      </c>
      <c r="E490" s="107">
        <v>1016778542</v>
      </c>
      <c r="F490" s="127" t="s">
        <v>1978</v>
      </c>
      <c r="G490" s="104">
        <v>182521791</v>
      </c>
      <c r="H490" s="129">
        <v>31868</v>
      </c>
      <c r="I490" s="129" t="s">
        <v>1132</v>
      </c>
      <c r="J490" s="127"/>
      <c r="K490" s="39"/>
      <c r="L490" s="39"/>
      <c r="M490" s="39"/>
    </row>
    <row r="491" spans="1:13" s="1" customFormat="1" ht="15.6" x14ac:dyDescent="0.3">
      <c r="A491" s="71">
        <v>613</v>
      </c>
      <c r="B491" s="38" t="s">
        <v>699</v>
      </c>
      <c r="C491" s="38" t="s">
        <v>1979</v>
      </c>
      <c r="D491" s="38">
        <v>80508290837</v>
      </c>
      <c r="E491" s="106">
        <v>508290837</v>
      </c>
      <c r="F491" s="248" t="s">
        <v>1980</v>
      </c>
      <c r="G491" s="101">
        <v>186282967</v>
      </c>
      <c r="H491" s="105">
        <v>26355</v>
      </c>
      <c r="I491" s="105"/>
      <c r="J491" s="98"/>
      <c r="K491" s="38"/>
      <c r="L491" s="38"/>
      <c r="M491" s="38"/>
    </row>
    <row r="492" spans="1:13" s="1" customFormat="1" ht="15.6" x14ac:dyDescent="0.3">
      <c r="A492" s="71">
        <v>614</v>
      </c>
      <c r="B492" s="38" t="s">
        <v>699</v>
      </c>
      <c r="C492" s="38" t="s">
        <v>1981</v>
      </c>
      <c r="D492" s="92">
        <v>471018649362</v>
      </c>
      <c r="E492" s="103">
        <v>1018649362</v>
      </c>
      <c r="F492" s="103" t="s">
        <v>13</v>
      </c>
      <c r="G492" s="101">
        <v>182521791</v>
      </c>
      <c r="H492" s="94">
        <v>28638</v>
      </c>
      <c r="I492" s="98"/>
      <c r="J492" s="98"/>
      <c r="K492" s="38"/>
      <c r="L492" s="38"/>
      <c r="M492" s="38"/>
    </row>
    <row r="493" spans="1:13" s="1" customFormat="1" ht="15.6" x14ac:dyDescent="0.3">
      <c r="A493" s="71">
        <v>615</v>
      </c>
      <c r="B493" s="38" t="s">
        <v>699</v>
      </c>
      <c r="C493" s="38" t="s">
        <v>1982</v>
      </c>
      <c r="D493" s="92">
        <v>81365726623</v>
      </c>
      <c r="E493" s="98">
        <v>1365726623</v>
      </c>
      <c r="F493" s="98" t="s">
        <v>1983</v>
      </c>
      <c r="G493" s="101">
        <v>182521791</v>
      </c>
      <c r="H493" s="94">
        <v>31676</v>
      </c>
      <c r="I493" s="98" t="s">
        <v>1984</v>
      </c>
      <c r="J493" s="98"/>
      <c r="K493" s="38"/>
      <c r="L493" s="38"/>
      <c r="M493" s="38"/>
    </row>
    <row r="494" spans="1:13" s="1" customFormat="1" ht="15.6" x14ac:dyDescent="0.3">
      <c r="A494" s="71">
        <v>616</v>
      </c>
      <c r="B494" s="38" t="s">
        <v>705</v>
      </c>
      <c r="C494" s="38" t="s">
        <v>1985</v>
      </c>
      <c r="D494" s="92">
        <v>80501980076</v>
      </c>
      <c r="E494" s="98">
        <v>501980076</v>
      </c>
      <c r="F494" s="98" t="s">
        <v>1986</v>
      </c>
      <c r="G494" s="101">
        <v>182521791</v>
      </c>
      <c r="H494" s="94">
        <v>25129</v>
      </c>
      <c r="I494" s="98"/>
      <c r="J494" s="98"/>
      <c r="K494" s="38"/>
      <c r="L494" s="38"/>
      <c r="M494" s="38"/>
    </row>
    <row r="495" spans="1:13" s="1" customFormat="1" ht="15.6" x14ac:dyDescent="0.3">
      <c r="A495" s="71">
        <v>617</v>
      </c>
      <c r="B495" s="38" t="s">
        <v>699</v>
      </c>
      <c r="C495" s="38" t="s">
        <v>1987</v>
      </c>
      <c r="D495" s="92">
        <v>81250053719</v>
      </c>
      <c r="E495" s="98">
        <v>1250053719</v>
      </c>
      <c r="F495" s="98" t="s">
        <v>1988</v>
      </c>
      <c r="G495" s="101">
        <v>182521791</v>
      </c>
      <c r="H495" s="94">
        <v>34473</v>
      </c>
      <c r="I495" s="98"/>
      <c r="J495" s="98"/>
      <c r="K495" s="38"/>
      <c r="L495" s="38"/>
      <c r="M495" s="38"/>
    </row>
    <row r="496" spans="1:13" s="1" customFormat="1" ht="15.6" x14ac:dyDescent="0.3">
      <c r="A496" s="71">
        <v>618</v>
      </c>
      <c r="B496" s="38" t="s">
        <v>699</v>
      </c>
      <c r="C496" s="38" t="s">
        <v>1989</v>
      </c>
      <c r="D496" s="92">
        <v>281353703846</v>
      </c>
      <c r="E496" s="98">
        <v>1353703846</v>
      </c>
      <c r="F496" s="98" t="s">
        <v>1990</v>
      </c>
      <c r="G496" s="101">
        <v>186282967</v>
      </c>
      <c r="H496" s="94">
        <v>30309</v>
      </c>
      <c r="I496" s="98" t="s">
        <v>1991</v>
      </c>
      <c r="J496" s="98"/>
      <c r="K496" s="38"/>
      <c r="L496" s="38"/>
      <c r="M496" s="38"/>
    </row>
    <row r="497" spans="1:10" s="1" customFormat="1" ht="15.6" x14ac:dyDescent="0.3">
      <c r="A497" s="71">
        <v>619</v>
      </c>
      <c r="B497" s="38" t="s">
        <v>705</v>
      </c>
      <c r="C497" s="38" t="s">
        <v>1992</v>
      </c>
      <c r="D497" s="92">
        <v>81147964249</v>
      </c>
      <c r="E497" s="98">
        <v>1147964249</v>
      </c>
      <c r="F497" s="98" t="s">
        <v>1993</v>
      </c>
      <c r="G497" s="101">
        <v>186282967</v>
      </c>
      <c r="H497" s="94">
        <v>25774</v>
      </c>
      <c r="I497" s="98"/>
      <c r="J497" s="98"/>
    </row>
    <row r="498" spans="1:10" s="1" customFormat="1" ht="15.6" x14ac:dyDescent="0.3">
      <c r="A498" s="71">
        <v>620</v>
      </c>
      <c r="B498" s="38" t="s">
        <v>699</v>
      </c>
      <c r="C498" s="38" t="s">
        <v>1994</v>
      </c>
      <c r="D498" s="92">
        <v>281342065563</v>
      </c>
      <c r="E498" s="98">
        <v>1342065563</v>
      </c>
      <c r="F498" s="98" t="s">
        <v>1995</v>
      </c>
      <c r="G498" s="101">
        <v>186282967</v>
      </c>
      <c r="H498" s="94">
        <v>30051</v>
      </c>
      <c r="I498" s="98"/>
      <c r="J498" s="98"/>
    </row>
    <row r="499" spans="1:10" s="1" customFormat="1" ht="15.6" x14ac:dyDescent="0.3">
      <c r="A499" s="71">
        <v>621</v>
      </c>
      <c r="B499" s="38" t="s">
        <v>699</v>
      </c>
      <c r="C499" s="38" t="s">
        <v>1996</v>
      </c>
      <c r="D499" s="92">
        <v>431028721464</v>
      </c>
      <c r="E499" s="98">
        <v>1028721464</v>
      </c>
      <c r="F499" s="98" t="s">
        <v>1997</v>
      </c>
      <c r="G499" s="101">
        <v>186282967</v>
      </c>
      <c r="H499" s="94">
        <v>34381</v>
      </c>
      <c r="I499" s="98"/>
      <c r="J499" s="98"/>
    </row>
    <row r="500" spans="1:10" s="1" customFormat="1" ht="15.6" x14ac:dyDescent="0.3">
      <c r="A500" s="71">
        <v>622</v>
      </c>
      <c r="B500" s="38" t="s">
        <v>699</v>
      </c>
      <c r="C500" s="38" t="s">
        <v>1998</v>
      </c>
      <c r="D500" s="92">
        <v>81275713754</v>
      </c>
      <c r="E500" s="103" t="s">
        <v>1999</v>
      </c>
      <c r="F500" s="98" t="s">
        <v>2000</v>
      </c>
      <c r="G500" s="101">
        <v>186282967</v>
      </c>
      <c r="H500" s="94">
        <v>35644</v>
      </c>
      <c r="I500" s="98"/>
      <c r="J500" s="98"/>
    </row>
    <row r="501" spans="1:10" s="1" customFormat="1" ht="15.6" x14ac:dyDescent="0.3">
      <c r="A501" s="71">
        <v>623</v>
      </c>
      <c r="B501" s="38" t="s">
        <v>699</v>
      </c>
      <c r="C501" s="38" t="s">
        <v>2001</v>
      </c>
      <c r="D501" s="92">
        <v>81250655624</v>
      </c>
      <c r="E501" s="98">
        <v>1250655624</v>
      </c>
      <c r="F501" s="98" t="s">
        <v>2002</v>
      </c>
      <c r="G501" s="101">
        <v>186282967</v>
      </c>
      <c r="H501" s="94">
        <v>35126</v>
      </c>
      <c r="I501" s="98"/>
      <c r="J501" s="98"/>
    </row>
    <row r="502" spans="1:10" s="1" customFormat="1" ht="15.6" x14ac:dyDescent="0.3">
      <c r="A502" s="71">
        <v>624</v>
      </c>
      <c r="B502" s="38" t="s">
        <v>699</v>
      </c>
      <c r="C502" s="38" t="s">
        <v>2003</v>
      </c>
      <c r="D502" s="267">
        <v>251006595660</v>
      </c>
      <c r="E502" s="103" t="s">
        <v>178</v>
      </c>
      <c r="F502" s="98" t="s">
        <v>179</v>
      </c>
      <c r="G502" s="101">
        <v>186282967</v>
      </c>
      <c r="H502" s="94">
        <v>30487</v>
      </c>
      <c r="I502" s="98"/>
      <c r="J502" s="98"/>
    </row>
    <row r="503" spans="1:10" s="1" customFormat="1" ht="15.6" x14ac:dyDescent="0.3">
      <c r="A503" s="71">
        <v>625</v>
      </c>
      <c r="B503" s="38" t="s">
        <v>699</v>
      </c>
      <c r="C503" s="38" t="s">
        <v>2004</v>
      </c>
      <c r="D503" s="267">
        <v>431027248680</v>
      </c>
      <c r="E503" s="98">
        <v>1027248680</v>
      </c>
      <c r="F503" s="252" t="s">
        <v>2005</v>
      </c>
      <c r="G503" s="101">
        <v>186282967</v>
      </c>
      <c r="H503" s="94">
        <v>34246</v>
      </c>
      <c r="I503" s="98"/>
      <c r="J503" s="98"/>
    </row>
    <row r="504" spans="1:10" s="1" customFormat="1" ht="15.6" x14ac:dyDescent="0.3">
      <c r="A504" s="71">
        <v>626</v>
      </c>
      <c r="B504" s="38" t="s">
        <v>705</v>
      </c>
      <c r="C504" s="38" t="s">
        <v>2006</v>
      </c>
      <c r="D504" s="267">
        <v>81233191883</v>
      </c>
      <c r="E504" s="98">
        <v>1233191883</v>
      </c>
      <c r="F504" s="98" t="s">
        <v>1426</v>
      </c>
      <c r="G504" s="101">
        <v>186282967</v>
      </c>
      <c r="H504" s="94">
        <v>34985</v>
      </c>
      <c r="I504" s="98"/>
      <c r="J504" s="98"/>
    </row>
    <row r="505" spans="1:10" s="1" customFormat="1" ht="15.6" x14ac:dyDescent="0.3">
      <c r="A505" s="71">
        <v>627</v>
      </c>
      <c r="B505" s="38" t="s">
        <v>705</v>
      </c>
      <c r="C505" s="38" t="s">
        <v>2007</v>
      </c>
      <c r="D505" s="267">
        <v>81231213083</v>
      </c>
      <c r="E505" s="98">
        <v>1231213083</v>
      </c>
      <c r="F505" s="98" t="s">
        <v>2008</v>
      </c>
      <c r="G505" s="101">
        <v>186282967</v>
      </c>
      <c r="H505" s="94">
        <v>34521</v>
      </c>
      <c r="I505" s="98"/>
      <c r="J505" s="98"/>
    </row>
    <row r="506" spans="1:10" s="1" customFormat="1" ht="15.6" x14ac:dyDescent="0.3">
      <c r="A506" s="71">
        <v>628</v>
      </c>
      <c r="B506" s="38" t="s">
        <v>705</v>
      </c>
      <c r="C506" s="38" t="s">
        <v>2009</v>
      </c>
      <c r="D506" s="267">
        <v>81262264100</v>
      </c>
      <c r="E506" s="98">
        <v>1262264100</v>
      </c>
      <c r="F506" s="98" t="s">
        <v>2010</v>
      </c>
      <c r="G506" s="101">
        <v>186282967</v>
      </c>
      <c r="H506" s="94">
        <v>35503</v>
      </c>
      <c r="I506" s="98"/>
      <c r="J506" s="98"/>
    </row>
    <row r="507" spans="1:10" s="1" customFormat="1" ht="15.6" x14ac:dyDescent="0.3">
      <c r="A507" s="71">
        <v>629</v>
      </c>
      <c r="B507" s="38" t="s">
        <v>705</v>
      </c>
      <c r="C507" s="38" t="s">
        <v>2011</v>
      </c>
      <c r="D507" s="267">
        <v>81232775995</v>
      </c>
      <c r="E507" s="98">
        <v>1232775995</v>
      </c>
      <c r="F507" s="98" t="s">
        <v>2012</v>
      </c>
      <c r="G507" s="101">
        <v>186282967</v>
      </c>
      <c r="H507" s="94">
        <v>32983</v>
      </c>
      <c r="I507" s="98"/>
      <c r="J507" s="98"/>
    </row>
    <row r="508" spans="1:10" s="1" customFormat="1" ht="15.6" x14ac:dyDescent="0.3">
      <c r="A508" s="71">
        <v>630</v>
      </c>
      <c r="B508" s="38" t="s">
        <v>705</v>
      </c>
      <c r="C508" s="38" t="s">
        <v>2013</v>
      </c>
      <c r="D508" s="267">
        <v>81157513190</v>
      </c>
      <c r="E508" s="98">
        <v>1157513190</v>
      </c>
      <c r="F508" s="98" t="s">
        <v>2014</v>
      </c>
      <c r="G508" s="101">
        <v>186282967</v>
      </c>
      <c r="H508" s="94">
        <v>32604</v>
      </c>
      <c r="I508" s="98"/>
      <c r="J508" s="98"/>
    </row>
    <row r="509" spans="1:10" s="1" customFormat="1" ht="15.6" x14ac:dyDescent="0.3">
      <c r="A509" s="71">
        <v>631</v>
      </c>
      <c r="B509" s="38" t="s">
        <v>705</v>
      </c>
      <c r="C509" s="38" t="s">
        <v>818</v>
      </c>
      <c r="D509" s="92">
        <v>81127310828</v>
      </c>
      <c r="E509" s="103" t="s">
        <v>2015</v>
      </c>
      <c r="F509" s="103" t="s">
        <v>819</v>
      </c>
      <c r="G509" s="92">
        <f>PUNTUALES!G485</f>
        <v>186282967</v>
      </c>
      <c r="H509" s="94">
        <v>30886</v>
      </c>
      <c r="I509" s="98"/>
      <c r="J509" s="98"/>
    </row>
    <row r="510" spans="1:10" s="1" customFormat="1" ht="15.6" x14ac:dyDescent="0.3">
      <c r="A510" s="71">
        <v>632</v>
      </c>
      <c r="B510" s="38" t="s">
        <v>699</v>
      </c>
      <c r="C510" s="38" t="s">
        <v>2016</v>
      </c>
      <c r="D510" s="92">
        <v>81269143420</v>
      </c>
      <c r="E510" s="98">
        <v>1269143420</v>
      </c>
      <c r="F510" s="98" t="s">
        <v>2017</v>
      </c>
      <c r="G510" s="92">
        <f>PUNTUALES!G486</f>
        <v>186282967</v>
      </c>
      <c r="H510" s="94">
        <v>33814</v>
      </c>
      <c r="I510" s="98"/>
      <c r="J510" s="98"/>
    </row>
    <row r="511" spans="1:10" s="1" customFormat="1" ht="15.6" x14ac:dyDescent="0.3">
      <c r="A511" s="71">
        <v>633</v>
      </c>
      <c r="B511" s="38" t="s">
        <v>699</v>
      </c>
      <c r="C511" s="38" t="s">
        <v>2018</v>
      </c>
      <c r="D511" s="92">
        <v>181053790825</v>
      </c>
      <c r="E511" s="98">
        <v>1053790825</v>
      </c>
      <c r="F511" s="98" t="s">
        <v>1471</v>
      </c>
      <c r="G511" s="92">
        <f>PUNTUALES!G487</f>
        <v>186282967</v>
      </c>
      <c r="H511" s="94">
        <v>28987</v>
      </c>
      <c r="I511" s="98" t="s">
        <v>2019</v>
      </c>
      <c r="J511" s="98"/>
    </row>
    <row r="512" spans="1:10" s="1" customFormat="1" ht="15.6" x14ac:dyDescent="0.3">
      <c r="A512" s="71">
        <v>634</v>
      </c>
      <c r="B512" s="38" t="s">
        <v>699</v>
      </c>
      <c r="C512" s="38" t="s">
        <v>1590</v>
      </c>
      <c r="D512" s="267">
        <v>81187165181</v>
      </c>
      <c r="E512" s="98">
        <v>1187165181</v>
      </c>
      <c r="F512" s="98" t="s">
        <v>1591</v>
      </c>
      <c r="G512" s="101">
        <v>186282967</v>
      </c>
      <c r="H512" s="94">
        <v>30887</v>
      </c>
      <c r="I512" s="98"/>
      <c r="J512" s="98"/>
    </row>
    <row r="513" spans="1:10" s="1" customFormat="1" ht="15.6" x14ac:dyDescent="0.3">
      <c r="A513" s="71">
        <v>635</v>
      </c>
      <c r="B513" s="38" t="s">
        <v>699</v>
      </c>
      <c r="C513" s="38" t="s">
        <v>2020</v>
      </c>
      <c r="D513" s="267">
        <v>31095868461</v>
      </c>
      <c r="E513" s="98">
        <v>1095868461</v>
      </c>
      <c r="F513" s="98" t="s">
        <v>2021</v>
      </c>
      <c r="G513" s="101">
        <v>186282967</v>
      </c>
      <c r="H513" s="94">
        <v>35783</v>
      </c>
      <c r="I513" s="98"/>
      <c r="J513" s="98"/>
    </row>
    <row r="514" spans="1:10" s="1" customFormat="1" ht="15.6" x14ac:dyDescent="0.3">
      <c r="A514" s="71">
        <v>636</v>
      </c>
      <c r="B514" s="38" t="s">
        <v>705</v>
      </c>
      <c r="C514" s="38" t="s">
        <v>2022</v>
      </c>
      <c r="D514" s="267">
        <v>301078487532</v>
      </c>
      <c r="E514" s="98">
        <v>1078487532</v>
      </c>
      <c r="F514" s="98" t="s">
        <v>2023</v>
      </c>
      <c r="G514" s="101">
        <v>186282967</v>
      </c>
      <c r="H514" s="94">
        <v>34573</v>
      </c>
      <c r="I514" s="98"/>
      <c r="J514" s="98"/>
    </row>
    <row r="515" spans="1:10" s="1" customFormat="1" ht="15.6" x14ac:dyDescent="0.3">
      <c r="A515" s="71">
        <v>637</v>
      </c>
      <c r="B515" s="38" t="s">
        <v>705</v>
      </c>
      <c r="C515" s="38" t="s">
        <v>2024</v>
      </c>
      <c r="D515" s="267">
        <v>81162607613</v>
      </c>
      <c r="E515" s="98">
        <v>1162607613</v>
      </c>
      <c r="F515" s="98" t="s">
        <v>2025</v>
      </c>
      <c r="G515" s="101">
        <v>186282967</v>
      </c>
      <c r="H515" s="94">
        <v>32067</v>
      </c>
      <c r="I515" s="98"/>
      <c r="J515" s="98"/>
    </row>
    <row r="516" spans="1:10" s="1" customFormat="1" ht="15.6" x14ac:dyDescent="0.3">
      <c r="A516" s="71">
        <v>638</v>
      </c>
      <c r="B516" s="38" t="s">
        <v>699</v>
      </c>
      <c r="C516" s="38" t="s">
        <v>2026</v>
      </c>
      <c r="D516" s="267">
        <v>171022537744</v>
      </c>
      <c r="E516" s="98">
        <v>1022537744</v>
      </c>
      <c r="F516" s="98" t="s">
        <v>2027</v>
      </c>
      <c r="G516" s="101">
        <v>186282967</v>
      </c>
      <c r="H516" s="94">
        <v>32072</v>
      </c>
      <c r="I516" s="98"/>
      <c r="J516" s="98"/>
    </row>
    <row r="517" spans="1:10" s="1" customFormat="1" ht="15.6" x14ac:dyDescent="0.3">
      <c r="A517" s="71">
        <v>639</v>
      </c>
      <c r="B517" s="38" t="s">
        <v>705</v>
      </c>
      <c r="C517" s="38" t="s">
        <v>2028</v>
      </c>
      <c r="D517" s="267">
        <v>291098377093</v>
      </c>
      <c r="E517" s="98">
        <v>1098377093</v>
      </c>
      <c r="F517" s="98" t="s">
        <v>2029</v>
      </c>
      <c r="G517" s="101">
        <v>186282967</v>
      </c>
      <c r="H517" s="94">
        <v>30077</v>
      </c>
      <c r="I517" s="98"/>
      <c r="J517" s="98"/>
    </row>
    <row r="518" spans="1:10" s="1" customFormat="1" ht="15.6" x14ac:dyDescent="0.3">
      <c r="A518" s="71">
        <v>640</v>
      </c>
      <c r="B518" s="38" t="s">
        <v>699</v>
      </c>
      <c r="C518" s="38" t="s">
        <v>2030</v>
      </c>
      <c r="D518" s="267">
        <v>121017828375</v>
      </c>
      <c r="E518" s="98">
        <v>1017828375</v>
      </c>
      <c r="F518" s="98" t="s">
        <v>2031</v>
      </c>
      <c r="G518" s="101">
        <v>186282967</v>
      </c>
      <c r="H518" s="94">
        <v>28221</v>
      </c>
      <c r="I518" s="98"/>
      <c r="J518" s="98"/>
    </row>
    <row r="519" spans="1:10" s="1" customFormat="1" ht="15.6" x14ac:dyDescent="0.3">
      <c r="A519" s="71">
        <v>641</v>
      </c>
      <c r="B519" s="38" t="s">
        <v>699</v>
      </c>
      <c r="C519" s="38" t="s">
        <v>2032</v>
      </c>
      <c r="D519" s="267">
        <v>121032720202</v>
      </c>
      <c r="E519" s="98">
        <v>1032720202</v>
      </c>
      <c r="F519" s="98" t="s">
        <v>2033</v>
      </c>
      <c r="G519" s="101">
        <v>186282967</v>
      </c>
      <c r="H519" s="94">
        <v>36567</v>
      </c>
      <c r="I519" s="98"/>
      <c r="J519" s="98"/>
    </row>
    <row r="520" spans="1:10" s="1" customFormat="1" ht="15.6" x14ac:dyDescent="0.3">
      <c r="A520" s="71">
        <v>642</v>
      </c>
      <c r="B520" s="38" t="s">
        <v>699</v>
      </c>
      <c r="C520" s="38" t="s">
        <v>2034</v>
      </c>
      <c r="D520" s="267">
        <v>121008985009</v>
      </c>
      <c r="E520" s="98">
        <v>1008985009</v>
      </c>
      <c r="F520" s="98" t="s">
        <v>2035</v>
      </c>
      <c r="G520" s="101">
        <v>186282967</v>
      </c>
      <c r="H520" s="94">
        <v>29639</v>
      </c>
      <c r="I520" s="98"/>
      <c r="J520" s="98"/>
    </row>
    <row r="521" spans="1:10" s="1" customFormat="1" ht="15.6" x14ac:dyDescent="0.3">
      <c r="A521" s="38">
        <v>643</v>
      </c>
      <c r="B521" s="38" t="s">
        <v>699</v>
      </c>
      <c r="C521" s="38" t="s">
        <v>2036</v>
      </c>
      <c r="D521" s="267">
        <v>361028025002</v>
      </c>
      <c r="E521" s="98">
        <v>1028025002</v>
      </c>
      <c r="F521" s="98" t="s">
        <v>2037</v>
      </c>
      <c r="G521" s="101">
        <v>186282967</v>
      </c>
      <c r="H521" s="94"/>
      <c r="I521" s="98"/>
      <c r="J521" s="98"/>
    </row>
    <row r="522" spans="1:10" s="1" customFormat="1" ht="15.6" x14ac:dyDescent="0.3">
      <c r="A522" s="71">
        <v>644</v>
      </c>
      <c r="B522" s="38" t="s">
        <v>699</v>
      </c>
      <c r="C522" s="38" t="s">
        <v>964</v>
      </c>
      <c r="D522" s="267">
        <v>281349513042</v>
      </c>
      <c r="E522" s="98">
        <v>1349513042</v>
      </c>
      <c r="F522" s="98" t="s">
        <v>965</v>
      </c>
      <c r="G522" s="101">
        <v>186282967</v>
      </c>
      <c r="H522" s="94">
        <v>31000</v>
      </c>
      <c r="I522" s="227">
        <v>46168</v>
      </c>
      <c r="J522" s="98"/>
    </row>
    <row r="523" spans="1:10" s="1" customFormat="1" ht="15.6" x14ac:dyDescent="0.3">
      <c r="A523" s="71">
        <v>645</v>
      </c>
      <c r="B523" s="38" t="s">
        <v>699</v>
      </c>
      <c r="C523" s="38" t="s">
        <v>966</v>
      </c>
      <c r="D523" s="38">
        <v>71021985315</v>
      </c>
      <c r="E523" s="98">
        <v>1021985315</v>
      </c>
      <c r="F523" s="98" t="s">
        <v>967</v>
      </c>
      <c r="G523" s="101">
        <v>186282967</v>
      </c>
      <c r="H523" s="94">
        <v>28920</v>
      </c>
      <c r="I523" s="98" t="s">
        <v>2038</v>
      </c>
      <c r="J523" s="98"/>
    </row>
    <row r="524" spans="1:10" s="1" customFormat="1" ht="15.6" x14ac:dyDescent="0.3">
      <c r="A524" s="71">
        <v>646</v>
      </c>
      <c r="B524" s="38" t="s">
        <v>699</v>
      </c>
      <c r="C524" s="38" t="s">
        <v>2039</v>
      </c>
      <c r="D524" s="267">
        <v>411064560471</v>
      </c>
      <c r="E524" s="98">
        <v>1064560471</v>
      </c>
      <c r="F524" s="98" t="s">
        <v>2040</v>
      </c>
      <c r="G524" s="101">
        <v>186282967</v>
      </c>
      <c r="H524" s="94">
        <v>30269</v>
      </c>
      <c r="I524" s="98"/>
      <c r="J524" s="98"/>
    </row>
    <row r="525" spans="1:10" s="1" customFormat="1" ht="15.6" x14ac:dyDescent="0.3">
      <c r="A525" s="71">
        <v>647</v>
      </c>
      <c r="B525" s="38" t="s">
        <v>699</v>
      </c>
      <c r="C525" s="38" t="s">
        <v>2041</v>
      </c>
      <c r="D525" s="267">
        <v>471028679061</v>
      </c>
      <c r="E525" s="98">
        <v>1028679061</v>
      </c>
      <c r="F525" s="98" t="s">
        <v>2042</v>
      </c>
      <c r="G525" s="101">
        <v>186282967</v>
      </c>
      <c r="H525" s="94">
        <v>33587</v>
      </c>
      <c r="I525" s="98"/>
      <c r="J525" s="98"/>
    </row>
    <row r="526" spans="1:10" s="1" customFormat="1" ht="15.6" x14ac:dyDescent="0.3">
      <c r="A526" s="71">
        <v>648</v>
      </c>
      <c r="B526" s="38" t="s">
        <v>699</v>
      </c>
      <c r="C526" s="38" t="s">
        <v>2043</v>
      </c>
      <c r="D526" s="267">
        <v>431026273226</v>
      </c>
      <c r="E526" s="98">
        <v>1026273226</v>
      </c>
      <c r="F526" s="98" t="s">
        <v>2044</v>
      </c>
      <c r="G526" s="101">
        <v>186282967</v>
      </c>
      <c r="H526" s="94">
        <v>32911</v>
      </c>
      <c r="I526" s="98"/>
      <c r="J526" s="98"/>
    </row>
    <row r="527" spans="1:10" s="1" customFormat="1" ht="15.6" x14ac:dyDescent="0.3">
      <c r="A527" s="71">
        <v>649</v>
      </c>
      <c r="B527" s="38" t="s">
        <v>699</v>
      </c>
      <c r="C527" s="38" t="s">
        <v>2045</v>
      </c>
      <c r="D527" s="267">
        <v>281183025070</v>
      </c>
      <c r="E527" s="106">
        <v>1183025070</v>
      </c>
      <c r="F527" s="98" t="s">
        <v>2046</v>
      </c>
      <c r="G527" s="101">
        <v>186282967</v>
      </c>
      <c r="H527" s="94">
        <v>31618</v>
      </c>
      <c r="I527" s="98" t="s">
        <v>2047</v>
      </c>
      <c r="J527" s="98"/>
    </row>
    <row r="528" spans="1:10" s="1" customFormat="1" ht="15.6" x14ac:dyDescent="0.3">
      <c r="A528" s="71">
        <v>650</v>
      </c>
      <c r="B528" s="38" t="s">
        <v>699</v>
      </c>
      <c r="C528" s="38" t="s">
        <v>2048</v>
      </c>
      <c r="D528" s="267">
        <v>461081436367</v>
      </c>
      <c r="E528" s="98">
        <v>1081436367</v>
      </c>
      <c r="F528" s="98" t="s">
        <v>2049</v>
      </c>
      <c r="G528" s="101">
        <v>186282967</v>
      </c>
      <c r="H528" s="94">
        <v>32575</v>
      </c>
      <c r="I528" s="98"/>
      <c r="J528" s="98"/>
    </row>
    <row r="529" spans="1:10" s="1" customFormat="1" ht="15.6" x14ac:dyDescent="0.3">
      <c r="A529" s="71">
        <v>651</v>
      </c>
      <c r="B529" s="38" t="s">
        <v>699</v>
      </c>
      <c r="C529" s="38" t="s">
        <v>2050</v>
      </c>
      <c r="D529" s="267">
        <v>81259364204</v>
      </c>
      <c r="E529" s="98">
        <v>1259364204</v>
      </c>
      <c r="F529" s="98" t="s">
        <v>1059</v>
      </c>
      <c r="G529" s="101">
        <v>186282967</v>
      </c>
      <c r="H529" s="94">
        <v>34334</v>
      </c>
      <c r="I529" s="98"/>
      <c r="J529" s="98"/>
    </row>
    <row r="530" spans="1:10" s="1" customFormat="1" ht="15.6" x14ac:dyDescent="0.3">
      <c r="A530" s="71">
        <v>652</v>
      </c>
      <c r="B530" s="38" t="s">
        <v>699</v>
      </c>
      <c r="C530" s="38" t="s">
        <v>2051</v>
      </c>
      <c r="D530" s="267">
        <v>431037972840</v>
      </c>
      <c r="E530" s="98">
        <v>1037972840</v>
      </c>
      <c r="F530" s="98" t="s">
        <v>2052</v>
      </c>
      <c r="G530" s="101">
        <v>186282967</v>
      </c>
      <c r="H530" s="94">
        <v>34693</v>
      </c>
      <c r="I530" s="98"/>
      <c r="J530" s="98"/>
    </row>
    <row r="531" spans="1:10" s="1" customFormat="1" ht="15.6" x14ac:dyDescent="0.3">
      <c r="A531" s="71">
        <v>653</v>
      </c>
      <c r="B531" s="38" t="s">
        <v>699</v>
      </c>
      <c r="C531" s="38" t="s">
        <v>2053</v>
      </c>
      <c r="D531" s="267">
        <v>81162610037</v>
      </c>
      <c r="E531" s="98">
        <v>1162610037</v>
      </c>
      <c r="F531" s="98" t="s">
        <v>2054</v>
      </c>
      <c r="G531" s="101">
        <v>186282967</v>
      </c>
      <c r="H531" s="94">
        <v>33911</v>
      </c>
      <c r="I531" s="98"/>
      <c r="J531" s="98"/>
    </row>
    <row r="532" spans="1:10" s="1" customFormat="1" ht="15.6" x14ac:dyDescent="0.3">
      <c r="A532" s="71">
        <v>654</v>
      </c>
      <c r="B532" s="38" t="s">
        <v>705</v>
      </c>
      <c r="C532" s="38" t="s">
        <v>2055</v>
      </c>
      <c r="D532" s="267">
        <v>81350031518</v>
      </c>
      <c r="E532" s="98">
        <v>1350031518</v>
      </c>
      <c r="F532" s="98" t="s">
        <v>2056</v>
      </c>
      <c r="G532" s="101">
        <v>186282967</v>
      </c>
      <c r="H532" s="94">
        <v>34210</v>
      </c>
      <c r="I532" s="98" t="s">
        <v>2057</v>
      </c>
      <c r="J532" s="98"/>
    </row>
    <row r="533" spans="1:10" s="1" customFormat="1" ht="15.6" x14ac:dyDescent="0.3">
      <c r="A533" s="71">
        <v>655</v>
      </c>
      <c r="B533" s="38" t="s">
        <v>699</v>
      </c>
      <c r="C533" s="38" t="s">
        <v>2058</v>
      </c>
      <c r="D533" s="267">
        <v>81156486307</v>
      </c>
      <c r="E533" s="98">
        <v>1156486307</v>
      </c>
      <c r="F533" s="98" t="s">
        <v>2059</v>
      </c>
      <c r="G533" s="101">
        <v>186282967</v>
      </c>
      <c r="H533" s="94">
        <v>32779</v>
      </c>
      <c r="I533" s="98"/>
      <c r="J533" s="98"/>
    </row>
    <row r="534" spans="1:10" s="1" customFormat="1" ht="15.6" x14ac:dyDescent="0.3">
      <c r="A534" s="71">
        <v>657</v>
      </c>
      <c r="B534" s="38" t="s">
        <v>699</v>
      </c>
      <c r="C534" s="38" t="s">
        <v>2060</v>
      </c>
      <c r="D534" s="267">
        <v>81189157826</v>
      </c>
      <c r="E534" s="98">
        <v>1189157826</v>
      </c>
      <c r="F534" s="98" t="s">
        <v>2061</v>
      </c>
      <c r="G534" s="101">
        <v>186282967</v>
      </c>
      <c r="H534" s="94">
        <v>32358</v>
      </c>
      <c r="I534" s="98"/>
      <c r="J534" s="98"/>
    </row>
    <row r="535" spans="1:10" s="1" customFormat="1" ht="15.6" x14ac:dyDescent="0.3">
      <c r="A535" s="71">
        <v>658</v>
      </c>
      <c r="B535" s="38" t="s">
        <v>699</v>
      </c>
      <c r="C535" s="38" t="s">
        <v>2062</v>
      </c>
      <c r="D535" s="267">
        <v>81100005227</v>
      </c>
      <c r="E535" s="98">
        <v>1100005227</v>
      </c>
      <c r="F535" s="98" t="s">
        <v>2063</v>
      </c>
      <c r="G535" s="101">
        <v>186282967</v>
      </c>
      <c r="H535" s="94">
        <v>30138</v>
      </c>
      <c r="I535" s="98"/>
      <c r="J535" s="98"/>
    </row>
    <row r="536" spans="1:10" s="1" customFormat="1" ht="15.6" x14ac:dyDescent="0.3">
      <c r="A536" s="71">
        <v>659</v>
      </c>
      <c r="B536" s="38" t="s">
        <v>699</v>
      </c>
      <c r="C536" s="38" t="s">
        <v>2064</v>
      </c>
      <c r="D536" s="267">
        <v>91013759376</v>
      </c>
      <c r="E536" s="98">
        <v>1013759376</v>
      </c>
      <c r="F536" s="98" t="s">
        <v>2065</v>
      </c>
      <c r="G536" s="101">
        <v>186282967</v>
      </c>
      <c r="H536" s="94">
        <v>31673</v>
      </c>
      <c r="I536" s="98"/>
      <c r="J536" s="98"/>
    </row>
    <row r="537" spans="1:10" s="1" customFormat="1" ht="15.6" x14ac:dyDescent="0.3">
      <c r="A537" s="71">
        <v>660</v>
      </c>
      <c r="B537" s="38" t="s">
        <v>699</v>
      </c>
      <c r="C537" s="38" t="s">
        <v>2066</v>
      </c>
      <c r="D537" s="267">
        <v>80380051682</v>
      </c>
      <c r="E537" s="98">
        <v>380051682</v>
      </c>
      <c r="F537" s="98" t="s">
        <v>2067</v>
      </c>
      <c r="G537" s="101">
        <v>186282967</v>
      </c>
      <c r="H537" s="94">
        <v>22905</v>
      </c>
      <c r="I537" s="98"/>
      <c r="J537" s="98"/>
    </row>
    <row r="538" spans="1:10" s="1" customFormat="1" ht="15.6" x14ac:dyDescent="0.3">
      <c r="A538" s="71">
        <v>661</v>
      </c>
      <c r="B538" s="38" t="s">
        <v>699</v>
      </c>
      <c r="C538" s="38" t="s">
        <v>2068</v>
      </c>
      <c r="D538" s="267">
        <v>81336518812</v>
      </c>
      <c r="E538" s="98">
        <v>1336518812</v>
      </c>
      <c r="F538" s="98" t="s">
        <v>2069</v>
      </c>
      <c r="G538" s="101">
        <v>186282967</v>
      </c>
      <c r="H538" s="94">
        <v>28143</v>
      </c>
      <c r="I538" s="98" t="s">
        <v>2070</v>
      </c>
      <c r="J538" s="98"/>
    </row>
    <row r="539" spans="1:10" s="1" customFormat="1" ht="15.6" x14ac:dyDescent="0.3">
      <c r="A539" s="71">
        <v>662</v>
      </c>
      <c r="B539" s="38" t="s">
        <v>705</v>
      </c>
      <c r="C539" s="38" t="s">
        <v>818</v>
      </c>
      <c r="D539" s="92">
        <v>81127310828</v>
      </c>
      <c r="E539" s="103">
        <v>1127310828</v>
      </c>
      <c r="F539" s="103" t="s">
        <v>819</v>
      </c>
      <c r="G539" s="92">
        <v>182521791</v>
      </c>
      <c r="H539" s="94">
        <v>30886</v>
      </c>
      <c r="I539" s="98"/>
      <c r="J539" s="98"/>
    </row>
    <row r="540" spans="1:10" s="1" customFormat="1" ht="15.6" x14ac:dyDescent="0.3">
      <c r="A540" s="71">
        <v>663</v>
      </c>
      <c r="B540" s="38" t="s">
        <v>699</v>
      </c>
      <c r="C540" s="38" t="s">
        <v>2071</v>
      </c>
      <c r="D540" s="92">
        <v>81147165516</v>
      </c>
      <c r="E540" s="98">
        <v>1147165516</v>
      </c>
      <c r="F540" s="98" t="s">
        <v>2072</v>
      </c>
      <c r="G540" s="92">
        <v>186282967</v>
      </c>
      <c r="H540" s="94">
        <v>32113</v>
      </c>
      <c r="I540" s="98"/>
      <c r="J540" s="98"/>
    </row>
    <row r="541" spans="1:10" s="1" customFormat="1" ht="15.6" x14ac:dyDescent="0.3">
      <c r="A541" s="71">
        <v>664</v>
      </c>
      <c r="B541" s="38" t="s">
        <v>699</v>
      </c>
      <c r="C541" s="38" t="s">
        <v>2073</v>
      </c>
      <c r="D541" s="92">
        <v>81230845796</v>
      </c>
      <c r="E541" s="98">
        <v>1230845796</v>
      </c>
      <c r="F541" s="98" t="s">
        <v>2074</v>
      </c>
      <c r="G541" s="92">
        <v>186282967</v>
      </c>
      <c r="H541" s="94">
        <v>35894</v>
      </c>
      <c r="I541" s="98"/>
      <c r="J541" s="98"/>
    </row>
    <row r="542" spans="1:10" s="1" customFormat="1" ht="15.6" x14ac:dyDescent="0.3">
      <c r="A542" s="71">
        <v>665</v>
      </c>
      <c r="B542" s="38" t="s">
        <v>699</v>
      </c>
      <c r="C542" s="38" t="s">
        <v>2075</v>
      </c>
      <c r="D542" s="92">
        <v>81030547870</v>
      </c>
      <c r="E542" s="101">
        <v>1030547870</v>
      </c>
      <c r="F542" s="98" t="s">
        <v>2076</v>
      </c>
      <c r="G542" s="92">
        <v>186282967</v>
      </c>
      <c r="H542" s="94">
        <v>28663</v>
      </c>
      <c r="I542" s="98"/>
      <c r="J542" s="98"/>
    </row>
    <row r="543" spans="1:10" s="1" customFormat="1" ht="15.6" x14ac:dyDescent="0.3">
      <c r="A543" s="71">
        <v>666</v>
      </c>
      <c r="B543" s="38" t="s">
        <v>699</v>
      </c>
      <c r="C543" s="38" t="s">
        <v>2077</v>
      </c>
      <c r="D543" s="92">
        <v>281170366570</v>
      </c>
      <c r="E543" s="98">
        <v>1170366570</v>
      </c>
      <c r="F543" s="98" t="s">
        <v>2078</v>
      </c>
      <c r="G543" s="92">
        <v>186282967</v>
      </c>
      <c r="H543" s="94">
        <v>28851</v>
      </c>
      <c r="I543" s="98"/>
      <c r="J543" s="98"/>
    </row>
    <row r="544" spans="1:10" s="1" customFormat="1" ht="15.6" x14ac:dyDescent="0.3">
      <c r="A544" s="71">
        <v>667</v>
      </c>
      <c r="B544" s="38" t="s">
        <v>699</v>
      </c>
      <c r="C544" s="38" t="s">
        <v>2079</v>
      </c>
      <c r="D544" s="92">
        <v>281266004126</v>
      </c>
      <c r="E544" s="98">
        <v>1266004126</v>
      </c>
      <c r="F544" s="98" t="s">
        <v>2080</v>
      </c>
      <c r="G544" s="92">
        <v>186282967</v>
      </c>
      <c r="H544" s="94">
        <v>33455</v>
      </c>
      <c r="I544" s="98"/>
      <c r="J544" s="98"/>
    </row>
    <row r="545" spans="1:10" s="1" customFormat="1" ht="15.6" x14ac:dyDescent="0.3">
      <c r="A545" s="71">
        <v>668</v>
      </c>
      <c r="B545" s="38" t="s">
        <v>699</v>
      </c>
      <c r="C545" s="38" t="s">
        <v>2081</v>
      </c>
      <c r="D545" s="92">
        <v>281442741964</v>
      </c>
      <c r="E545" s="98">
        <v>1442741964</v>
      </c>
      <c r="F545" s="98" t="s">
        <v>2082</v>
      </c>
      <c r="G545" s="92">
        <v>186282967</v>
      </c>
      <c r="H545" s="94">
        <v>35059</v>
      </c>
      <c r="I545" s="98"/>
      <c r="J545" s="98"/>
    </row>
    <row r="546" spans="1:10" s="1" customFormat="1" ht="15.6" x14ac:dyDescent="0.3">
      <c r="A546" s="71">
        <v>669</v>
      </c>
      <c r="B546" s="38" t="s">
        <v>699</v>
      </c>
      <c r="C546" s="38" t="s">
        <v>2083</v>
      </c>
      <c r="D546" s="92">
        <v>81174888823</v>
      </c>
      <c r="E546" s="103" t="s">
        <v>64</v>
      </c>
      <c r="F546" s="103" t="s">
        <v>65</v>
      </c>
      <c r="G546" s="92">
        <v>186282967</v>
      </c>
      <c r="H546" s="94">
        <v>29673</v>
      </c>
      <c r="I546" s="98"/>
      <c r="J546" s="98"/>
    </row>
    <row r="547" spans="1:10" s="1" customFormat="1" ht="15.6" x14ac:dyDescent="0.3">
      <c r="A547" s="71">
        <v>670</v>
      </c>
      <c r="B547" s="38" t="s">
        <v>705</v>
      </c>
      <c r="C547" s="38" t="s">
        <v>2084</v>
      </c>
      <c r="D547" s="92">
        <v>81264041422</v>
      </c>
      <c r="E547" s="98">
        <v>1264041422</v>
      </c>
      <c r="F547" s="98" t="s">
        <v>2085</v>
      </c>
      <c r="G547" s="92">
        <f>PUNTUALES!G510</f>
        <v>186282967</v>
      </c>
      <c r="H547" s="94">
        <v>35580</v>
      </c>
      <c r="I547" s="98"/>
      <c r="J547" s="98"/>
    </row>
    <row r="548" spans="1:10" s="1" customFormat="1" ht="15.6" x14ac:dyDescent="0.3">
      <c r="A548" s="71">
        <v>671</v>
      </c>
      <c r="B548" s="38" t="s">
        <v>699</v>
      </c>
      <c r="C548" s="38" t="s">
        <v>2086</v>
      </c>
      <c r="D548" s="92">
        <v>81264034853</v>
      </c>
      <c r="E548" s="98">
        <v>1264034853</v>
      </c>
      <c r="F548" s="98" t="s">
        <v>2087</v>
      </c>
      <c r="G548" s="92">
        <f>PUNTUALES!G511</f>
        <v>186282967</v>
      </c>
      <c r="H548" s="94">
        <v>35537</v>
      </c>
      <c r="I548" s="98"/>
      <c r="J548" s="98"/>
    </row>
    <row r="549" spans="1:10" s="1" customFormat="1" ht="15.6" x14ac:dyDescent="0.3">
      <c r="A549" s="71">
        <v>672</v>
      </c>
      <c r="B549" s="38" t="s">
        <v>699</v>
      </c>
      <c r="C549" s="38" t="s">
        <v>2088</v>
      </c>
      <c r="D549" s="92">
        <v>151043506449</v>
      </c>
      <c r="E549" s="98">
        <v>1043506449</v>
      </c>
      <c r="F549" s="98" t="s">
        <v>2089</v>
      </c>
      <c r="G549" s="92">
        <f>PUNTUALES!G512</f>
        <v>186282967</v>
      </c>
      <c r="H549" s="94">
        <v>33181</v>
      </c>
      <c r="I549" s="98"/>
      <c r="J549" s="98"/>
    </row>
    <row r="550" spans="1:10" s="1" customFormat="1" ht="15.6" x14ac:dyDescent="0.3">
      <c r="A550" s="71">
        <v>673</v>
      </c>
      <c r="B550" s="38" t="s">
        <v>699</v>
      </c>
      <c r="C550" s="38" t="s">
        <v>2090</v>
      </c>
      <c r="D550" s="92">
        <v>151050208240</v>
      </c>
      <c r="E550" s="98">
        <v>1050208240</v>
      </c>
      <c r="F550" s="98" t="s">
        <v>2091</v>
      </c>
      <c r="G550" s="92">
        <f>PUNTUALES!G513</f>
        <v>186282967</v>
      </c>
      <c r="H550" s="94">
        <v>31467</v>
      </c>
      <c r="I550" s="98"/>
      <c r="J550" s="98"/>
    </row>
    <row r="551" spans="1:10" s="1" customFormat="1" ht="15.6" x14ac:dyDescent="0.3">
      <c r="A551" s="71">
        <v>674</v>
      </c>
      <c r="B551" s="38" t="s">
        <v>699</v>
      </c>
      <c r="C551" s="38" t="s">
        <v>2092</v>
      </c>
      <c r="D551" s="92">
        <v>151015593485</v>
      </c>
      <c r="E551" s="98">
        <v>1015593485</v>
      </c>
      <c r="F551" s="98" t="s">
        <v>2093</v>
      </c>
      <c r="G551" s="92">
        <f>PUNTUALES!G514</f>
        <v>186282967</v>
      </c>
      <c r="H551" s="94">
        <v>28504</v>
      </c>
      <c r="I551" s="98"/>
      <c r="J551" s="98"/>
    </row>
    <row r="552" spans="1:10" s="1" customFormat="1" ht="15.6" x14ac:dyDescent="0.3">
      <c r="A552" s="71">
        <v>675</v>
      </c>
      <c r="B552" s="38" t="s">
        <v>699</v>
      </c>
      <c r="C552" s="38" t="s">
        <v>2094</v>
      </c>
      <c r="D552" s="92">
        <v>151013666219</v>
      </c>
      <c r="E552" s="98">
        <v>1013666219</v>
      </c>
      <c r="F552" s="98" t="s">
        <v>2095</v>
      </c>
      <c r="G552" s="92">
        <f>PUNTUALES!G515</f>
        <v>186282967</v>
      </c>
      <c r="H552" s="94">
        <v>28936</v>
      </c>
      <c r="I552" s="98"/>
      <c r="J552" s="98"/>
    </row>
    <row r="553" spans="1:10" s="1" customFormat="1" ht="15.6" x14ac:dyDescent="0.3">
      <c r="A553" s="71">
        <v>676</v>
      </c>
      <c r="B553" s="38" t="s">
        <v>699</v>
      </c>
      <c r="C553" s="38" t="s">
        <v>2096</v>
      </c>
      <c r="D553" s="92">
        <v>150030926458</v>
      </c>
      <c r="E553" s="98">
        <v>1030926458</v>
      </c>
      <c r="F553" s="98" t="s">
        <v>2097</v>
      </c>
      <c r="G553" s="92">
        <f>PUNTUALES!G516</f>
        <v>186282967</v>
      </c>
      <c r="H553" s="94">
        <v>36962</v>
      </c>
      <c r="I553" s="98"/>
      <c r="J553" s="98"/>
    </row>
    <row r="554" spans="1:10" s="1" customFormat="1" ht="15.6" x14ac:dyDescent="0.3">
      <c r="A554" s="71">
        <v>677</v>
      </c>
      <c r="B554" s="38" t="s">
        <v>699</v>
      </c>
      <c r="C554" s="38" t="s">
        <v>2098</v>
      </c>
      <c r="D554" s="92">
        <v>81280987120</v>
      </c>
      <c r="E554" s="98">
        <v>1280987120</v>
      </c>
      <c r="F554" s="98" t="s">
        <v>2099</v>
      </c>
      <c r="G554" s="92">
        <f>PUNTUALES!G517</f>
        <v>186282967</v>
      </c>
      <c r="H554" s="94">
        <v>35783</v>
      </c>
      <c r="I554" s="98"/>
      <c r="J554" s="98"/>
    </row>
    <row r="555" spans="1:10" s="1" customFormat="1" ht="15.6" x14ac:dyDescent="0.3">
      <c r="A555" s="71">
        <v>678</v>
      </c>
      <c r="B555" s="38" t="s">
        <v>699</v>
      </c>
      <c r="C555" s="38" t="s">
        <v>2100</v>
      </c>
      <c r="D555" s="92">
        <v>81280749569</v>
      </c>
      <c r="E555" s="98">
        <v>1280749569</v>
      </c>
      <c r="F555" s="98" t="s">
        <v>2101</v>
      </c>
      <c r="G555" s="92">
        <f>PUNTUALES!G518</f>
        <v>186282967</v>
      </c>
      <c r="H555" s="94">
        <v>35471</v>
      </c>
      <c r="I555" s="98"/>
      <c r="J555" s="98"/>
    </row>
    <row r="556" spans="1:10" s="1" customFormat="1" ht="15.6" x14ac:dyDescent="0.3">
      <c r="A556" s="71">
        <v>679</v>
      </c>
      <c r="B556" s="38" t="s">
        <v>705</v>
      </c>
      <c r="C556" s="38" t="s">
        <v>2102</v>
      </c>
      <c r="D556" s="92">
        <v>91014899835</v>
      </c>
      <c r="E556" s="98">
        <v>1014899835</v>
      </c>
      <c r="F556" s="98" t="s">
        <v>2103</v>
      </c>
      <c r="G556" s="92">
        <f>PUNTUALES!G519</f>
        <v>186282967</v>
      </c>
      <c r="H556" s="94">
        <v>34819</v>
      </c>
      <c r="I556" s="98"/>
      <c r="J556" s="98"/>
    </row>
    <row r="557" spans="1:10" s="1" customFormat="1" ht="15.6" x14ac:dyDescent="0.3">
      <c r="A557" s="71">
        <v>680</v>
      </c>
      <c r="B557" s="38" t="s">
        <v>699</v>
      </c>
      <c r="C557" s="38" t="s">
        <v>2104</v>
      </c>
      <c r="D557" s="92">
        <v>281355946364</v>
      </c>
      <c r="E557" s="98">
        <v>1355946364</v>
      </c>
      <c r="F557" s="98" t="s">
        <v>2105</v>
      </c>
      <c r="G557" s="92">
        <f>PUNTUALES!G520</f>
        <v>186282967</v>
      </c>
      <c r="H557" s="94">
        <v>35254</v>
      </c>
      <c r="I557" s="98"/>
      <c r="J557" s="98"/>
    </row>
    <row r="558" spans="1:10" s="1" customFormat="1" ht="15.6" x14ac:dyDescent="0.3">
      <c r="A558" s="71">
        <v>681</v>
      </c>
      <c r="B558" s="38" t="s">
        <v>699</v>
      </c>
      <c r="C558" s="38" t="s">
        <v>2106</v>
      </c>
      <c r="D558" s="92">
        <v>281490028555</v>
      </c>
      <c r="E558" s="98">
        <v>1490028555</v>
      </c>
      <c r="F558" s="98" t="s">
        <v>2107</v>
      </c>
      <c r="G558" s="92">
        <f>PUNTUALES!G521</f>
        <v>186282967</v>
      </c>
      <c r="H558" s="94">
        <v>36443</v>
      </c>
      <c r="I558" s="98"/>
      <c r="J558" s="98"/>
    </row>
    <row r="559" spans="1:10" s="1" customFormat="1" ht="15.6" x14ac:dyDescent="0.3">
      <c r="A559" s="71">
        <v>682</v>
      </c>
      <c r="B559" s="38" t="s">
        <v>699</v>
      </c>
      <c r="C559" s="38" t="s">
        <v>2108</v>
      </c>
      <c r="D559" s="92">
        <v>81109224772</v>
      </c>
      <c r="E559" s="103">
        <v>1109224772</v>
      </c>
      <c r="F559" s="103" t="s">
        <v>842</v>
      </c>
      <c r="G559" s="92">
        <f>G546</f>
        <v>186282967</v>
      </c>
      <c r="H559" s="94">
        <v>31130</v>
      </c>
      <c r="I559" s="98"/>
      <c r="J559" s="98"/>
    </row>
    <row r="560" spans="1:10" s="1" customFormat="1" ht="15.6" x14ac:dyDescent="0.3">
      <c r="A560" s="71">
        <v>683</v>
      </c>
      <c r="B560" s="38" t="s">
        <v>705</v>
      </c>
      <c r="C560" s="38" t="s">
        <v>2109</v>
      </c>
      <c r="D560" s="92">
        <v>281267785185</v>
      </c>
      <c r="E560" s="101">
        <v>1267785185</v>
      </c>
      <c r="F560" s="98" t="s">
        <v>2110</v>
      </c>
      <c r="G560" s="92">
        <f>G547</f>
        <v>186282967</v>
      </c>
      <c r="H560" s="94">
        <v>33999</v>
      </c>
      <c r="I560" s="98"/>
      <c r="J560" s="98"/>
    </row>
    <row r="561" spans="1:11" s="1" customFormat="1" ht="15.6" x14ac:dyDescent="0.3">
      <c r="A561" s="71">
        <v>684</v>
      </c>
      <c r="B561" s="38" t="s">
        <v>705</v>
      </c>
      <c r="C561" s="38" t="s">
        <v>2111</v>
      </c>
      <c r="D561" s="92">
        <v>91014318239</v>
      </c>
      <c r="E561" s="98">
        <v>1014318239</v>
      </c>
      <c r="F561" s="98" t="s">
        <v>2112</v>
      </c>
      <c r="G561" s="92">
        <f>G548</f>
        <v>186282967</v>
      </c>
      <c r="H561" s="94">
        <v>35353</v>
      </c>
      <c r="I561" s="98"/>
      <c r="J561" s="98"/>
      <c r="K561" s="38"/>
    </row>
    <row r="562" spans="1:11" s="1" customFormat="1" ht="15.6" x14ac:dyDescent="0.3">
      <c r="A562" s="71">
        <v>685</v>
      </c>
      <c r="B562" s="38" t="s">
        <v>705</v>
      </c>
      <c r="C562" s="38" t="s">
        <v>2113</v>
      </c>
      <c r="D562" s="92">
        <v>281362929253</v>
      </c>
      <c r="E562" s="98">
        <v>1362929253</v>
      </c>
      <c r="F562" s="98" t="s">
        <v>2114</v>
      </c>
      <c r="G562" s="92">
        <f>G549</f>
        <v>186282967</v>
      </c>
      <c r="H562" s="94">
        <v>33658</v>
      </c>
      <c r="I562" s="98"/>
      <c r="J562" s="98"/>
      <c r="K562" s="38"/>
    </row>
    <row r="563" spans="1:11" s="1" customFormat="1" ht="15.6" x14ac:dyDescent="0.3">
      <c r="A563" s="71">
        <v>686</v>
      </c>
      <c r="B563" s="38" t="s">
        <v>705</v>
      </c>
      <c r="C563" s="38" t="s">
        <v>847</v>
      </c>
      <c r="D563" s="92">
        <v>81024515581</v>
      </c>
      <c r="E563" s="101" t="s">
        <v>2115</v>
      </c>
      <c r="F563" s="103" t="s">
        <v>848</v>
      </c>
      <c r="G563" s="92">
        <f>G546</f>
        <v>186282967</v>
      </c>
      <c r="H563" s="94">
        <v>28078</v>
      </c>
      <c r="I563" s="98"/>
      <c r="J563" s="98"/>
      <c r="K563" s="38"/>
    </row>
    <row r="564" spans="1:11" s="1" customFormat="1" ht="15.6" x14ac:dyDescent="0.3">
      <c r="A564" s="71">
        <v>687</v>
      </c>
      <c r="B564" s="38" t="s">
        <v>705</v>
      </c>
      <c r="C564" s="38" t="s">
        <v>2116</v>
      </c>
      <c r="D564" s="92">
        <v>281367194122</v>
      </c>
      <c r="E564" s="101">
        <v>1367194122</v>
      </c>
      <c r="F564" s="98" t="s">
        <v>2117</v>
      </c>
      <c r="G564" s="92">
        <f>G547</f>
        <v>186282967</v>
      </c>
      <c r="H564" s="94">
        <v>34633</v>
      </c>
      <c r="I564" s="98"/>
      <c r="J564" s="98"/>
      <c r="K564" s="38"/>
    </row>
    <row r="565" spans="1:11" s="1" customFormat="1" ht="15.6" x14ac:dyDescent="0.3">
      <c r="A565" s="71">
        <v>688</v>
      </c>
      <c r="B565" s="38" t="s">
        <v>699</v>
      </c>
      <c r="C565" s="38" t="s">
        <v>1043</v>
      </c>
      <c r="D565" s="267">
        <v>430057042333</v>
      </c>
      <c r="E565" s="103" t="s">
        <v>1044</v>
      </c>
      <c r="F565" s="98" t="s">
        <v>1045</v>
      </c>
      <c r="G565" s="101">
        <v>182521791</v>
      </c>
      <c r="H565" s="94">
        <v>26594</v>
      </c>
      <c r="I565" s="98">
        <v>2019</v>
      </c>
      <c r="J565" s="98"/>
      <c r="K565" s="38" t="s">
        <v>2118</v>
      </c>
    </row>
    <row r="566" spans="1:11" s="1" customFormat="1" ht="15.6" x14ac:dyDescent="0.3">
      <c r="A566" s="71">
        <v>689</v>
      </c>
      <c r="B566" s="38" t="s">
        <v>699</v>
      </c>
      <c r="C566" s="38" t="s">
        <v>2119</v>
      </c>
      <c r="D566" s="267">
        <v>81172824440</v>
      </c>
      <c r="E566" s="103">
        <v>1172824440</v>
      </c>
      <c r="F566" s="98" t="s">
        <v>1413</v>
      </c>
      <c r="G566" s="101">
        <v>186282967</v>
      </c>
      <c r="H566" s="94">
        <v>27998</v>
      </c>
      <c r="I566" s="98"/>
      <c r="J566" s="98"/>
      <c r="K566" s="38"/>
    </row>
    <row r="567" spans="1:11" s="1" customFormat="1" ht="15.6" x14ac:dyDescent="0.3">
      <c r="A567" s="71">
        <v>690</v>
      </c>
      <c r="B567" s="38" t="s">
        <v>699</v>
      </c>
      <c r="C567" s="38" t="s">
        <v>2120</v>
      </c>
      <c r="D567" s="267">
        <v>81253834291</v>
      </c>
      <c r="E567" s="98">
        <v>1253834291</v>
      </c>
      <c r="F567" s="98" t="s">
        <v>2121</v>
      </c>
      <c r="G567" s="101">
        <v>186282967</v>
      </c>
      <c r="H567" s="94">
        <v>30464</v>
      </c>
      <c r="I567" s="98"/>
      <c r="J567" s="98"/>
      <c r="K567" s="38"/>
    </row>
    <row r="568" spans="1:11" s="1" customFormat="1" ht="15.6" x14ac:dyDescent="0.3">
      <c r="A568" s="71">
        <v>691</v>
      </c>
      <c r="B568" s="38" t="s">
        <v>705</v>
      </c>
      <c r="C568" s="38" t="s">
        <v>2122</v>
      </c>
      <c r="D568" s="267">
        <v>81089817702</v>
      </c>
      <c r="E568" s="103" t="s">
        <v>2123</v>
      </c>
      <c r="F568" s="98" t="s">
        <v>2124</v>
      </c>
      <c r="G568" s="101">
        <v>186282967</v>
      </c>
      <c r="H568" s="94">
        <v>27493</v>
      </c>
      <c r="I568" s="98"/>
      <c r="J568" s="98"/>
      <c r="K568" s="38"/>
    </row>
    <row r="569" spans="1:11" s="1" customFormat="1" ht="15.6" x14ac:dyDescent="0.3">
      <c r="A569" s="71">
        <v>692</v>
      </c>
      <c r="B569" s="38" t="s">
        <v>705</v>
      </c>
      <c r="C569" s="38" t="s">
        <v>2125</v>
      </c>
      <c r="D569" s="267">
        <v>81133306236</v>
      </c>
      <c r="E569" s="98">
        <v>1133306236</v>
      </c>
      <c r="F569" s="98" t="s">
        <v>2126</v>
      </c>
      <c r="G569" s="101">
        <v>186282967</v>
      </c>
      <c r="H569" s="94">
        <v>25935</v>
      </c>
      <c r="I569" s="98" t="s">
        <v>2127</v>
      </c>
      <c r="J569" s="98"/>
      <c r="K569" s="38" t="s">
        <v>2128</v>
      </c>
    </row>
    <row r="570" spans="1:11" s="1" customFormat="1" ht="15.6" x14ac:dyDescent="0.3">
      <c r="A570" s="71">
        <v>693</v>
      </c>
      <c r="B570" s="38" t="s">
        <v>705</v>
      </c>
      <c r="C570" s="38" t="s">
        <v>2129</v>
      </c>
      <c r="D570" s="267">
        <v>81242462962</v>
      </c>
      <c r="E570" s="106">
        <v>1242462962</v>
      </c>
      <c r="F570" s="98" t="s">
        <v>1863</v>
      </c>
      <c r="G570" s="101">
        <v>186282967</v>
      </c>
      <c r="H570" s="94"/>
      <c r="I570" s="98"/>
      <c r="J570" s="98"/>
      <c r="K570" s="38"/>
    </row>
    <row r="571" spans="1:11" s="1" customFormat="1" ht="15.6" x14ac:dyDescent="0.3">
      <c r="A571" s="71">
        <v>694</v>
      </c>
      <c r="B571" s="38" t="s">
        <v>699</v>
      </c>
      <c r="C571" s="38" t="s">
        <v>2130</v>
      </c>
      <c r="D571" s="38">
        <v>81186153856</v>
      </c>
      <c r="E571" s="98">
        <v>1186153856</v>
      </c>
      <c r="F571" s="98" t="s">
        <v>2131</v>
      </c>
      <c r="G571" s="101">
        <v>186282967</v>
      </c>
      <c r="H571" s="94"/>
      <c r="I571" s="98"/>
      <c r="J571" s="98"/>
      <c r="K571" s="38"/>
    </row>
    <row r="572" spans="1:11" s="1" customFormat="1" ht="15.6" x14ac:dyDescent="0.3">
      <c r="A572" s="71">
        <v>695</v>
      </c>
      <c r="B572" s="38" t="s">
        <v>699</v>
      </c>
      <c r="C572" s="38" t="s">
        <v>2132</v>
      </c>
      <c r="D572" s="267">
        <v>81052619515</v>
      </c>
      <c r="E572" s="103" t="s">
        <v>2133</v>
      </c>
      <c r="F572" s="98" t="s">
        <v>2134</v>
      </c>
      <c r="G572" s="101">
        <v>186282967</v>
      </c>
      <c r="H572" s="94"/>
      <c r="I572" s="98"/>
      <c r="J572" s="98"/>
      <c r="K572" s="38"/>
    </row>
    <row r="573" spans="1:11" s="1" customFormat="1" ht="15.6" x14ac:dyDescent="0.3">
      <c r="A573" s="71">
        <v>696</v>
      </c>
      <c r="B573" s="38" t="s">
        <v>699</v>
      </c>
      <c r="C573" s="38" t="s">
        <v>2135</v>
      </c>
      <c r="D573" s="267">
        <v>81169107825</v>
      </c>
      <c r="E573" s="103" t="s">
        <v>2136</v>
      </c>
      <c r="F573" s="98" t="s">
        <v>2137</v>
      </c>
      <c r="G573" s="101">
        <v>186282967</v>
      </c>
      <c r="H573" s="94">
        <v>33576</v>
      </c>
      <c r="I573" s="98"/>
      <c r="J573" s="98"/>
      <c r="K573" s="38"/>
    </row>
    <row r="574" spans="1:11" s="1" customFormat="1" ht="15.6" x14ac:dyDescent="0.3">
      <c r="A574" s="71">
        <v>697</v>
      </c>
      <c r="B574" s="38" t="s">
        <v>699</v>
      </c>
      <c r="C574" s="38" t="s">
        <v>2138</v>
      </c>
      <c r="D574" s="267">
        <v>81193274868</v>
      </c>
      <c r="E574" s="103" t="s">
        <v>2139</v>
      </c>
      <c r="F574" s="98" t="s">
        <v>2140</v>
      </c>
      <c r="G574" s="101">
        <v>186282967</v>
      </c>
      <c r="H574" s="94">
        <v>32881</v>
      </c>
      <c r="I574" s="98"/>
      <c r="J574" s="98"/>
      <c r="K574" s="38"/>
    </row>
    <row r="575" spans="1:11" s="1" customFormat="1" ht="15.6" x14ac:dyDescent="0.3">
      <c r="A575" s="71">
        <v>698</v>
      </c>
      <c r="B575" s="38" t="s">
        <v>699</v>
      </c>
      <c r="C575" s="38" t="s">
        <v>2141</v>
      </c>
      <c r="D575" s="267">
        <v>81077886193</v>
      </c>
      <c r="E575" s="103" t="s">
        <v>2142</v>
      </c>
      <c r="F575" s="98" t="s">
        <v>2143</v>
      </c>
      <c r="G575" s="101">
        <v>186282967</v>
      </c>
      <c r="H575" s="94">
        <v>29074</v>
      </c>
      <c r="I575" s="98"/>
      <c r="J575" s="98"/>
      <c r="K575" s="38"/>
    </row>
    <row r="576" spans="1:11" s="1" customFormat="1" ht="15.6" x14ac:dyDescent="0.3">
      <c r="A576" s="71">
        <v>700</v>
      </c>
      <c r="B576" s="38" t="s">
        <v>705</v>
      </c>
      <c r="C576" s="38" t="s">
        <v>2144</v>
      </c>
      <c r="D576" s="92">
        <v>71070550585</v>
      </c>
      <c r="E576" s="103">
        <v>1070550585</v>
      </c>
      <c r="F576" s="103" t="s">
        <v>2145</v>
      </c>
      <c r="G576" s="92">
        <f>PUNTUALES!G563</f>
        <v>186282967</v>
      </c>
      <c r="H576" s="94">
        <v>30494</v>
      </c>
      <c r="I576" s="227">
        <v>43607</v>
      </c>
      <c r="J576" s="98"/>
      <c r="K576" s="38" t="s">
        <v>712</v>
      </c>
    </row>
    <row r="577" spans="1:11" s="1" customFormat="1" ht="15.6" x14ac:dyDescent="0.3">
      <c r="A577" s="71">
        <v>701</v>
      </c>
      <c r="B577" s="38" t="s">
        <v>699</v>
      </c>
      <c r="C577" s="38" t="s">
        <v>2146</v>
      </c>
      <c r="D577" s="92">
        <v>81058720108</v>
      </c>
      <c r="E577" s="103" t="s">
        <v>2147</v>
      </c>
      <c r="F577" s="103" t="s">
        <v>2148</v>
      </c>
      <c r="G577" s="92">
        <f>PUNTUALES!G564</f>
        <v>186282967</v>
      </c>
      <c r="H577" s="94">
        <v>28469</v>
      </c>
      <c r="I577" s="105"/>
      <c r="J577" s="98"/>
      <c r="K577" s="38"/>
    </row>
    <row r="578" spans="1:11" s="3" customFormat="1" ht="15.6" x14ac:dyDescent="0.3">
      <c r="A578" s="39">
        <v>703</v>
      </c>
      <c r="B578" s="39" t="s">
        <v>699</v>
      </c>
      <c r="C578" s="39" t="s">
        <v>2149</v>
      </c>
      <c r="D578" s="95">
        <v>81349497715</v>
      </c>
      <c r="E578" s="128" t="s">
        <v>2150</v>
      </c>
      <c r="F578" s="128" t="s">
        <v>2151</v>
      </c>
      <c r="G578" s="95">
        <v>182521791</v>
      </c>
      <c r="H578" s="96">
        <v>32482</v>
      </c>
      <c r="I578" s="129" t="s">
        <v>815</v>
      </c>
      <c r="J578" s="127"/>
      <c r="K578" s="39"/>
    </row>
    <row r="579" spans="1:11" s="1" customFormat="1" ht="15.6" x14ac:dyDescent="0.3">
      <c r="A579" s="71">
        <v>704</v>
      </c>
      <c r="B579" s="38" t="s">
        <v>705</v>
      </c>
      <c r="C579" s="38" t="s">
        <v>2152</v>
      </c>
      <c r="D579" s="92">
        <v>331028209148</v>
      </c>
      <c r="E579" s="103" t="s">
        <v>2153</v>
      </c>
      <c r="F579" s="103" t="s">
        <v>2154</v>
      </c>
      <c r="G579" s="92">
        <v>205946382</v>
      </c>
      <c r="H579" s="94">
        <v>29000</v>
      </c>
      <c r="I579" s="105"/>
      <c r="J579" s="98"/>
      <c r="K579" s="38"/>
    </row>
    <row r="580" spans="1:11" s="1" customFormat="1" ht="15.6" x14ac:dyDescent="0.3">
      <c r="A580" s="71">
        <v>705</v>
      </c>
      <c r="B580" s="38" t="s">
        <v>705</v>
      </c>
      <c r="C580" s="38" t="s">
        <v>2155</v>
      </c>
      <c r="D580" s="92">
        <v>71049741055</v>
      </c>
      <c r="E580" s="103" t="s">
        <v>2156</v>
      </c>
      <c r="F580" s="103" t="s">
        <v>2157</v>
      </c>
      <c r="G580" s="92">
        <v>186282967</v>
      </c>
      <c r="H580" s="94">
        <v>33735</v>
      </c>
      <c r="I580" s="105"/>
      <c r="J580" s="98"/>
      <c r="K580" s="38"/>
    </row>
    <row r="581" spans="1:11" s="1" customFormat="1" ht="15.6" x14ac:dyDescent="0.3">
      <c r="A581" s="71">
        <v>707</v>
      </c>
      <c r="B581" s="38" t="s">
        <v>699</v>
      </c>
      <c r="C581" s="38" t="s">
        <v>2158</v>
      </c>
      <c r="D581" s="275" t="s">
        <v>2159</v>
      </c>
      <c r="E581" s="121">
        <v>1201339208</v>
      </c>
      <c r="F581" s="103" t="s">
        <v>2160</v>
      </c>
      <c r="G581" s="92">
        <v>186282967</v>
      </c>
      <c r="H581" s="94">
        <v>28859</v>
      </c>
      <c r="I581" s="105"/>
      <c r="J581" s="98"/>
      <c r="K581" s="38"/>
    </row>
    <row r="582" spans="1:11" s="1" customFormat="1" ht="15.6" x14ac:dyDescent="0.3">
      <c r="A582" s="71">
        <v>708</v>
      </c>
      <c r="B582" s="38" t="s">
        <v>699</v>
      </c>
      <c r="C582" s="38" t="s">
        <v>2161</v>
      </c>
      <c r="D582" s="275">
        <v>81369099795</v>
      </c>
      <c r="E582" s="121">
        <v>1369099795</v>
      </c>
      <c r="F582" s="103" t="s">
        <v>2162</v>
      </c>
      <c r="G582" s="92">
        <v>186282967</v>
      </c>
      <c r="H582" s="94">
        <v>31704</v>
      </c>
      <c r="I582" s="105"/>
      <c r="J582" s="98"/>
      <c r="K582" s="38"/>
    </row>
    <row r="583" spans="1:11" s="3" customFormat="1" ht="15.6" x14ac:dyDescent="0.3">
      <c r="A583" s="39">
        <v>709</v>
      </c>
      <c r="B583" s="39" t="s">
        <v>705</v>
      </c>
      <c r="C583" s="39" t="s">
        <v>2163</v>
      </c>
      <c r="D583" s="276">
        <v>81154733435</v>
      </c>
      <c r="E583" s="130">
        <v>1154733435</v>
      </c>
      <c r="F583" s="128" t="s">
        <v>2164</v>
      </c>
      <c r="G583" s="95">
        <v>182521791</v>
      </c>
      <c r="H583" s="96">
        <v>31390</v>
      </c>
      <c r="I583" s="129" t="s">
        <v>1125</v>
      </c>
      <c r="J583" s="127"/>
      <c r="K583" s="39"/>
    </row>
    <row r="584" spans="1:11" s="1" customFormat="1" ht="15.6" x14ac:dyDescent="0.3">
      <c r="A584" s="71">
        <v>710</v>
      </c>
      <c r="B584" s="38" t="s">
        <v>699</v>
      </c>
      <c r="C584" s="38" t="s">
        <v>2165</v>
      </c>
      <c r="D584" s="38">
        <v>81289004774</v>
      </c>
      <c r="E584" s="121">
        <v>1289004774</v>
      </c>
      <c r="F584" s="121" t="s">
        <v>2166</v>
      </c>
      <c r="G584" s="92">
        <v>186282967</v>
      </c>
      <c r="H584" s="94">
        <v>28782</v>
      </c>
      <c r="I584" s="105"/>
      <c r="J584" s="98"/>
      <c r="K584" s="38"/>
    </row>
    <row r="585" spans="1:11" s="3" customFormat="1" ht="15.6" x14ac:dyDescent="0.3">
      <c r="A585" s="39">
        <v>711</v>
      </c>
      <c r="B585" s="39" t="s">
        <v>699</v>
      </c>
      <c r="C585" s="39" t="s">
        <v>2167</v>
      </c>
      <c r="D585" s="39">
        <v>81358085649</v>
      </c>
      <c r="E585" s="130">
        <v>1358085649</v>
      </c>
      <c r="F585" s="127" t="s">
        <v>2168</v>
      </c>
      <c r="G585" s="95">
        <v>182521791</v>
      </c>
      <c r="H585" s="96">
        <v>32907</v>
      </c>
      <c r="I585" s="129" t="s">
        <v>815</v>
      </c>
      <c r="J585" s="127"/>
      <c r="K585" s="39"/>
    </row>
    <row r="586" spans="1:11" s="1" customFormat="1" ht="15.6" x14ac:dyDescent="0.3">
      <c r="A586" s="71">
        <v>714</v>
      </c>
      <c r="B586" s="36" t="s">
        <v>699</v>
      </c>
      <c r="C586" s="36" t="s">
        <v>2169</v>
      </c>
      <c r="D586" s="38"/>
      <c r="E586" s="98"/>
      <c r="F586" s="98" t="s">
        <v>2170</v>
      </c>
      <c r="G586" s="131">
        <v>186282967</v>
      </c>
      <c r="H586" s="45">
        <v>34542</v>
      </c>
      <c r="I586" s="227">
        <v>43308</v>
      </c>
      <c r="J586" s="98"/>
      <c r="K586" s="36"/>
    </row>
    <row r="587" spans="1:11" s="1" customFormat="1" ht="15.6" x14ac:dyDescent="0.3">
      <c r="A587" s="71">
        <v>715</v>
      </c>
      <c r="B587" s="36" t="s">
        <v>699</v>
      </c>
      <c r="C587" s="36" t="s">
        <v>2171</v>
      </c>
      <c r="D587" s="268" t="s">
        <v>2172</v>
      </c>
      <c r="E587" s="98">
        <v>1025701529</v>
      </c>
      <c r="F587" s="98" t="s">
        <v>2173</v>
      </c>
      <c r="G587" s="131">
        <v>186282967</v>
      </c>
      <c r="H587" s="45"/>
      <c r="I587" s="227"/>
      <c r="J587" s="98"/>
      <c r="K587" s="36"/>
    </row>
    <row r="588" spans="1:11" s="1" customFormat="1" ht="15.6" x14ac:dyDescent="0.3">
      <c r="A588" s="71">
        <v>716</v>
      </c>
      <c r="B588" s="36" t="s">
        <v>705</v>
      </c>
      <c r="C588" s="36" t="s">
        <v>2174</v>
      </c>
      <c r="D588" s="38">
        <v>81085812511</v>
      </c>
      <c r="E588" s="98">
        <v>1085812511</v>
      </c>
      <c r="F588" s="98" t="s">
        <v>2175</v>
      </c>
      <c r="G588" s="131">
        <v>186282967</v>
      </c>
      <c r="H588" s="45">
        <v>28457</v>
      </c>
      <c r="I588" s="227"/>
      <c r="J588" s="98"/>
      <c r="K588" s="36"/>
    </row>
    <row r="589" spans="1:11" s="1" customFormat="1" ht="15.6" x14ac:dyDescent="0.3">
      <c r="A589" s="71">
        <v>717</v>
      </c>
      <c r="B589" s="36" t="s">
        <v>705</v>
      </c>
      <c r="C589" s="36" t="s">
        <v>2176</v>
      </c>
      <c r="D589" s="38">
        <v>81038647774</v>
      </c>
      <c r="E589" s="98">
        <v>1038647774</v>
      </c>
      <c r="F589" s="98" t="s">
        <v>2177</v>
      </c>
      <c r="G589" s="131">
        <v>186282967</v>
      </c>
      <c r="H589" s="45">
        <v>26451</v>
      </c>
      <c r="I589" s="227"/>
      <c r="J589" s="98"/>
      <c r="K589" s="36"/>
    </row>
    <row r="590" spans="1:11" s="1" customFormat="1" ht="15.6" x14ac:dyDescent="0.3">
      <c r="A590" s="71">
        <v>719</v>
      </c>
      <c r="B590" s="36" t="s">
        <v>699</v>
      </c>
      <c r="C590" s="36" t="s">
        <v>2178</v>
      </c>
      <c r="D590" s="38">
        <v>81098676024</v>
      </c>
      <c r="E590" s="98">
        <v>1098676024</v>
      </c>
      <c r="F590" s="98" t="s">
        <v>2179</v>
      </c>
      <c r="G590" s="131">
        <v>186282967</v>
      </c>
      <c r="H590" s="45">
        <v>29261</v>
      </c>
      <c r="I590" s="227"/>
      <c r="J590" s="98"/>
      <c r="K590" s="36"/>
    </row>
    <row r="591" spans="1:11" s="1" customFormat="1" ht="15.6" x14ac:dyDescent="0.3">
      <c r="A591" s="71">
        <v>721</v>
      </c>
      <c r="B591" s="36" t="s">
        <v>699</v>
      </c>
      <c r="C591" s="36" t="s">
        <v>2180</v>
      </c>
      <c r="D591" s="38">
        <v>81289025487</v>
      </c>
      <c r="E591" s="98">
        <v>1289025487</v>
      </c>
      <c r="F591" s="98" t="s">
        <v>2181</v>
      </c>
      <c r="G591" s="131">
        <v>186282967</v>
      </c>
      <c r="H591" s="45">
        <v>34314</v>
      </c>
      <c r="I591" s="227"/>
      <c r="J591" s="98"/>
      <c r="K591" s="36"/>
    </row>
    <row r="592" spans="1:11" s="1" customFormat="1" ht="15.6" x14ac:dyDescent="0.3">
      <c r="A592" s="71">
        <v>722</v>
      </c>
      <c r="B592" s="36" t="s">
        <v>699</v>
      </c>
      <c r="C592" s="36" t="s">
        <v>2182</v>
      </c>
      <c r="D592" s="38">
        <v>81099974309</v>
      </c>
      <c r="E592" s="98">
        <v>1099974309</v>
      </c>
      <c r="F592" s="98" t="s">
        <v>2183</v>
      </c>
      <c r="G592" s="131">
        <v>186282967</v>
      </c>
      <c r="H592" s="45">
        <v>29896</v>
      </c>
      <c r="I592" s="227"/>
      <c r="J592" s="98"/>
      <c r="K592" s="36"/>
    </row>
    <row r="593" spans="1:11" s="1" customFormat="1" ht="15.6" x14ac:dyDescent="0.3">
      <c r="A593" s="71">
        <v>724</v>
      </c>
      <c r="B593" s="36" t="s">
        <v>699</v>
      </c>
      <c r="C593" s="36" t="s">
        <v>2184</v>
      </c>
      <c r="D593" s="38">
        <v>81077136768</v>
      </c>
      <c r="E593" s="98">
        <v>1077136768</v>
      </c>
      <c r="F593" s="98" t="s">
        <v>2185</v>
      </c>
      <c r="G593" s="131">
        <v>186282967</v>
      </c>
      <c r="H593" s="45">
        <v>28412</v>
      </c>
      <c r="I593" s="227"/>
      <c r="J593" s="98"/>
      <c r="K593" s="36"/>
    </row>
    <row r="594" spans="1:11" s="1" customFormat="1" ht="15.6" x14ac:dyDescent="0.3">
      <c r="A594" s="71">
        <v>725</v>
      </c>
      <c r="B594" s="36" t="s">
        <v>705</v>
      </c>
      <c r="C594" s="36" t="s">
        <v>2186</v>
      </c>
      <c r="D594" s="38">
        <v>281305252245</v>
      </c>
      <c r="E594" s="98">
        <v>1305252245</v>
      </c>
      <c r="F594" s="98" t="s">
        <v>2187</v>
      </c>
      <c r="G594" s="131">
        <v>186282967</v>
      </c>
      <c r="H594" s="45">
        <v>32136</v>
      </c>
      <c r="I594" s="227"/>
      <c r="J594" s="98"/>
      <c r="K594" s="36"/>
    </row>
    <row r="595" spans="1:11" s="1" customFormat="1" ht="15.6" x14ac:dyDescent="0.3">
      <c r="A595" s="71">
        <v>726</v>
      </c>
      <c r="B595" s="36" t="s">
        <v>705</v>
      </c>
      <c r="C595" s="36" t="s">
        <v>2188</v>
      </c>
      <c r="D595" s="38">
        <v>81116693166</v>
      </c>
      <c r="E595" s="98">
        <v>1116693166</v>
      </c>
      <c r="F595" s="98" t="s">
        <v>2189</v>
      </c>
      <c r="G595" s="131">
        <v>186282967</v>
      </c>
      <c r="H595" s="45"/>
      <c r="I595" s="227"/>
      <c r="J595" s="98"/>
      <c r="K595" s="36"/>
    </row>
    <row r="596" spans="1:11" s="1" customFormat="1" ht="15.6" x14ac:dyDescent="0.3">
      <c r="A596" s="71">
        <v>728</v>
      </c>
      <c r="B596" s="36" t="s">
        <v>699</v>
      </c>
      <c r="C596" s="36" t="s">
        <v>2190</v>
      </c>
      <c r="D596" s="38">
        <v>411077462683</v>
      </c>
      <c r="E596" s="98">
        <v>1077462683</v>
      </c>
      <c r="F596" s="98" t="s">
        <v>2191</v>
      </c>
      <c r="G596" s="131">
        <v>186282967</v>
      </c>
      <c r="H596" s="45">
        <v>35841</v>
      </c>
      <c r="I596" s="227"/>
      <c r="J596" s="98"/>
      <c r="K596" s="36"/>
    </row>
    <row r="597" spans="1:11" s="1" customFormat="1" ht="15.6" x14ac:dyDescent="0.3">
      <c r="A597" s="71">
        <v>729</v>
      </c>
      <c r="B597" s="36" t="s">
        <v>705</v>
      </c>
      <c r="C597" s="36" t="s">
        <v>2192</v>
      </c>
      <c r="D597" s="38" t="s">
        <v>2193</v>
      </c>
      <c r="E597" s="98">
        <v>1366084480</v>
      </c>
      <c r="F597" s="98" t="s">
        <v>2194</v>
      </c>
      <c r="G597" s="131">
        <v>186282967</v>
      </c>
      <c r="H597" s="45">
        <v>34849</v>
      </c>
      <c r="I597" s="227"/>
      <c r="J597" s="98"/>
      <c r="K597" s="36"/>
    </row>
    <row r="598" spans="1:11" s="1" customFormat="1" ht="15.6" x14ac:dyDescent="0.3">
      <c r="A598" s="71">
        <v>730</v>
      </c>
      <c r="B598" s="36" t="s">
        <v>705</v>
      </c>
      <c r="C598" s="36" t="s">
        <v>2195</v>
      </c>
      <c r="D598" s="38" t="s">
        <v>2196</v>
      </c>
      <c r="E598" s="98">
        <v>1033670819</v>
      </c>
      <c r="F598" s="98" t="s">
        <v>2197</v>
      </c>
      <c r="G598" s="131">
        <v>186282967</v>
      </c>
      <c r="H598" s="45">
        <v>23147</v>
      </c>
      <c r="I598" s="227"/>
      <c r="J598" s="98"/>
      <c r="K598" s="36"/>
    </row>
    <row r="599" spans="1:11" s="1" customFormat="1" ht="15.6" x14ac:dyDescent="0.3">
      <c r="A599" s="71">
        <v>731</v>
      </c>
      <c r="B599" s="36" t="s">
        <v>699</v>
      </c>
      <c r="C599" s="36" t="s">
        <v>2198</v>
      </c>
      <c r="D599" s="38" t="s">
        <v>2199</v>
      </c>
      <c r="E599" s="262">
        <v>1024719236</v>
      </c>
      <c r="F599" s="98" t="s">
        <v>2200</v>
      </c>
      <c r="G599" s="131">
        <v>186282967</v>
      </c>
      <c r="H599" s="45"/>
      <c r="I599" s="227"/>
      <c r="J599" s="98"/>
      <c r="K599" s="36"/>
    </row>
    <row r="600" spans="1:11" s="1" customFormat="1" ht="15.6" x14ac:dyDescent="0.3">
      <c r="A600" s="71">
        <v>732</v>
      </c>
      <c r="B600" s="36" t="s">
        <v>699</v>
      </c>
      <c r="C600" s="36" t="s">
        <v>2201</v>
      </c>
      <c r="D600" s="38">
        <v>81353797744</v>
      </c>
      <c r="E600" s="262">
        <v>1353797744</v>
      </c>
      <c r="F600" s="98" t="s">
        <v>2202</v>
      </c>
      <c r="G600" s="131">
        <v>186282967</v>
      </c>
      <c r="H600" s="45">
        <v>32442</v>
      </c>
      <c r="I600" s="227"/>
      <c r="J600" s="98"/>
      <c r="K600" s="36"/>
    </row>
    <row r="601" spans="1:11" s="1" customFormat="1" ht="15.6" x14ac:dyDescent="0.3">
      <c r="A601" s="71">
        <v>733</v>
      </c>
      <c r="B601" s="36" t="s">
        <v>699</v>
      </c>
      <c r="C601" s="36" t="s">
        <v>2203</v>
      </c>
      <c r="D601" s="38" t="s">
        <v>2204</v>
      </c>
      <c r="E601" s="262">
        <v>1141786258</v>
      </c>
      <c r="F601" s="98" t="s">
        <v>2205</v>
      </c>
      <c r="G601" s="131">
        <v>186282967</v>
      </c>
      <c r="H601" s="45">
        <v>28236</v>
      </c>
      <c r="I601" s="227"/>
      <c r="J601" s="98"/>
      <c r="K601" s="36"/>
    </row>
    <row r="602" spans="1:11" s="1" customFormat="1" ht="15.6" x14ac:dyDescent="0.3">
      <c r="A602" s="71">
        <v>734</v>
      </c>
      <c r="B602" s="36" t="s">
        <v>699</v>
      </c>
      <c r="C602" s="36" t="s">
        <v>2206</v>
      </c>
      <c r="D602" s="38" t="s">
        <v>2207</v>
      </c>
      <c r="E602" s="262">
        <v>1024498457</v>
      </c>
      <c r="F602" s="98" t="s">
        <v>2208</v>
      </c>
      <c r="G602" s="131">
        <v>186282967</v>
      </c>
      <c r="H602" s="45">
        <v>32938</v>
      </c>
      <c r="I602" s="227"/>
      <c r="J602" s="98"/>
      <c r="K602" s="36"/>
    </row>
    <row r="603" spans="1:11" s="1" customFormat="1" ht="15.6" x14ac:dyDescent="0.3">
      <c r="A603" s="71">
        <v>737</v>
      </c>
      <c r="B603" s="36" t="s">
        <v>705</v>
      </c>
      <c r="C603" s="36" t="s">
        <v>2209</v>
      </c>
      <c r="D603" s="38" t="s">
        <v>2210</v>
      </c>
      <c r="E603" s="262">
        <v>1023104841</v>
      </c>
      <c r="F603" s="98" t="s">
        <v>2211</v>
      </c>
      <c r="G603" s="131">
        <v>186282967</v>
      </c>
      <c r="H603" s="45">
        <v>33519</v>
      </c>
      <c r="I603" s="227"/>
      <c r="J603" s="98"/>
      <c r="K603" s="36"/>
    </row>
    <row r="604" spans="1:11" s="1" customFormat="1" ht="15.6" x14ac:dyDescent="0.3">
      <c r="A604" s="71">
        <v>738</v>
      </c>
      <c r="B604" s="36" t="s">
        <v>699</v>
      </c>
      <c r="C604" s="36" t="s">
        <v>2212</v>
      </c>
      <c r="D604" s="38"/>
      <c r="E604" s="262"/>
      <c r="F604" s="98" t="s">
        <v>2213</v>
      </c>
      <c r="G604" s="131">
        <v>186282967</v>
      </c>
      <c r="H604" s="45">
        <v>30609</v>
      </c>
      <c r="I604" s="227"/>
      <c r="J604" s="98"/>
      <c r="K604" s="36"/>
    </row>
    <row r="605" spans="1:11" s="1" customFormat="1" ht="15.6" x14ac:dyDescent="0.3">
      <c r="A605" s="71">
        <v>740</v>
      </c>
      <c r="B605" s="36" t="s">
        <v>705</v>
      </c>
      <c r="C605" s="36" t="s">
        <v>2214</v>
      </c>
      <c r="D605" s="38" t="s">
        <v>2215</v>
      </c>
      <c r="E605" s="262">
        <v>1327234768</v>
      </c>
      <c r="F605" s="98" t="s">
        <v>2216</v>
      </c>
      <c r="G605" s="131">
        <v>186282967</v>
      </c>
      <c r="H605" s="45">
        <v>32706</v>
      </c>
      <c r="I605" s="227"/>
      <c r="J605" s="98"/>
      <c r="K605" s="36"/>
    </row>
    <row r="606" spans="1:11" s="1" customFormat="1" ht="15.6" x14ac:dyDescent="0.3">
      <c r="A606" s="71">
        <v>742</v>
      </c>
      <c r="B606" s="36" t="s">
        <v>699</v>
      </c>
      <c r="C606" s="36" t="s">
        <v>2217</v>
      </c>
      <c r="D606" s="277">
        <v>81121606420</v>
      </c>
      <c r="E606" s="253">
        <v>1121606420</v>
      </c>
      <c r="F606" s="253" t="s">
        <v>2218</v>
      </c>
      <c r="G606" s="131">
        <v>186282967</v>
      </c>
      <c r="H606" s="45">
        <v>30571</v>
      </c>
      <c r="I606" s="227"/>
      <c r="J606" s="98"/>
      <c r="K606" s="36"/>
    </row>
    <row r="607" spans="1:11" s="1" customFormat="1" ht="15.6" x14ac:dyDescent="0.3">
      <c r="A607" s="71">
        <v>743</v>
      </c>
      <c r="B607" s="36" t="s">
        <v>705</v>
      </c>
      <c r="C607" s="36" t="s">
        <v>2219</v>
      </c>
      <c r="D607" s="277">
        <v>81011289229</v>
      </c>
      <c r="E607" s="253">
        <v>1011289229</v>
      </c>
      <c r="F607" s="253" t="s">
        <v>2220</v>
      </c>
      <c r="G607" s="131">
        <v>186282967</v>
      </c>
      <c r="H607" s="45">
        <v>26836</v>
      </c>
      <c r="I607" s="227"/>
      <c r="J607" s="98"/>
      <c r="K607" s="36"/>
    </row>
    <row r="608" spans="1:11" s="1" customFormat="1" ht="15.6" x14ac:dyDescent="0.3">
      <c r="A608" s="71">
        <v>744</v>
      </c>
      <c r="B608" s="36" t="s">
        <v>705</v>
      </c>
      <c r="C608" s="36" t="s">
        <v>2221</v>
      </c>
      <c r="D608" s="277">
        <v>81076337934</v>
      </c>
      <c r="E608" s="253">
        <v>1076337934</v>
      </c>
      <c r="F608" s="253" t="s">
        <v>2222</v>
      </c>
      <c r="G608" s="131">
        <v>186282967</v>
      </c>
      <c r="H608" s="45">
        <v>29029</v>
      </c>
      <c r="I608" s="227"/>
      <c r="J608" s="98"/>
      <c r="K608" s="36"/>
    </row>
    <row r="609" spans="1:11" s="1" customFormat="1" ht="15.6" x14ac:dyDescent="0.3">
      <c r="A609" s="71">
        <v>745</v>
      </c>
      <c r="B609" s="36" t="s">
        <v>705</v>
      </c>
      <c r="C609" s="36" t="s">
        <v>2223</v>
      </c>
      <c r="D609" s="277">
        <v>81128061364</v>
      </c>
      <c r="E609" s="253">
        <v>1128061364</v>
      </c>
      <c r="F609" s="253" t="s">
        <v>2224</v>
      </c>
      <c r="G609" s="131">
        <v>186282967</v>
      </c>
      <c r="H609" s="45">
        <v>25203</v>
      </c>
      <c r="I609" s="227" t="s">
        <v>2225</v>
      </c>
      <c r="J609" s="98"/>
      <c r="K609" s="36"/>
    </row>
    <row r="610" spans="1:11" s="1" customFormat="1" ht="15.6" x14ac:dyDescent="0.3">
      <c r="A610" s="71">
        <v>746</v>
      </c>
      <c r="B610" s="36" t="s">
        <v>699</v>
      </c>
      <c r="C610" s="36" t="s">
        <v>2226</v>
      </c>
      <c r="D610" s="277">
        <v>81056245800</v>
      </c>
      <c r="E610" s="253">
        <v>1056245800</v>
      </c>
      <c r="F610" s="253" t="s">
        <v>2227</v>
      </c>
      <c r="G610" s="131">
        <v>186282967</v>
      </c>
      <c r="H610" s="45">
        <v>27219</v>
      </c>
      <c r="I610" s="227"/>
      <c r="J610" s="98"/>
      <c r="K610" s="36"/>
    </row>
    <row r="611" spans="1:11" s="1" customFormat="1" ht="15.6" x14ac:dyDescent="0.3">
      <c r="A611" s="71">
        <v>747</v>
      </c>
      <c r="B611" s="36" t="s">
        <v>699</v>
      </c>
      <c r="C611" s="36" t="s">
        <v>2228</v>
      </c>
      <c r="D611" s="277">
        <v>81246578893</v>
      </c>
      <c r="E611" s="253">
        <v>18</v>
      </c>
      <c r="F611" s="253" t="s">
        <v>2229</v>
      </c>
      <c r="G611" s="131">
        <v>186282967</v>
      </c>
      <c r="H611" s="45">
        <v>34987</v>
      </c>
      <c r="I611" s="227"/>
      <c r="J611" s="98"/>
      <c r="K611" s="36"/>
    </row>
    <row r="612" spans="1:11" s="1" customFormat="1" ht="15.6" x14ac:dyDescent="0.3">
      <c r="A612" s="71">
        <v>748</v>
      </c>
      <c r="B612" s="36" t="s">
        <v>705</v>
      </c>
      <c r="C612" s="36" t="s">
        <v>2230</v>
      </c>
      <c r="D612" s="38">
        <v>81055727959</v>
      </c>
      <c r="E612" s="98">
        <v>1055727959</v>
      </c>
      <c r="F612" s="253" t="s">
        <v>2231</v>
      </c>
      <c r="G612" s="131">
        <v>186282967</v>
      </c>
      <c r="H612" s="45">
        <v>28195</v>
      </c>
      <c r="I612" s="227"/>
      <c r="J612" s="98"/>
      <c r="K612" s="36"/>
    </row>
    <row r="613" spans="1:11" s="1" customFormat="1" ht="15.6" x14ac:dyDescent="0.3">
      <c r="A613" s="71">
        <v>749</v>
      </c>
      <c r="B613" s="36" t="s">
        <v>699</v>
      </c>
      <c r="C613" s="36" t="s">
        <v>2232</v>
      </c>
      <c r="D613" s="38">
        <v>281259701146</v>
      </c>
      <c r="E613" s="98">
        <v>1259701146</v>
      </c>
      <c r="F613" s="253" t="s">
        <v>2233</v>
      </c>
      <c r="G613" s="131">
        <v>186282967</v>
      </c>
      <c r="H613" s="45">
        <v>29728</v>
      </c>
      <c r="I613" s="227"/>
      <c r="J613" s="98"/>
      <c r="K613" s="36"/>
    </row>
    <row r="614" spans="1:11" s="1" customFormat="1" ht="15.6" x14ac:dyDescent="0.3">
      <c r="A614" s="71">
        <v>750</v>
      </c>
      <c r="B614" s="36" t="s">
        <v>705</v>
      </c>
      <c r="C614" s="36" t="s">
        <v>2234</v>
      </c>
      <c r="D614" s="38">
        <v>8301158754</v>
      </c>
      <c r="E614" s="98">
        <v>301158754</v>
      </c>
      <c r="F614" s="253" t="s">
        <v>2235</v>
      </c>
      <c r="G614" s="131">
        <v>186282967</v>
      </c>
      <c r="H614" s="45">
        <v>21495</v>
      </c>
      <c r="I614" s="227"/>
      <c r="J614" s="98"/>
      <c r="K614" s="36"/>
    </row>
    <row r="615" spans="1:11" s="1" customFormat="1" ht="15.6" x14ac:dyDescent="0.3">
      <c r="A615" s="71">
        <v>756</v>
      </c>
      <c r="B615" s="36" t="s">
        <v>705</v>
      </c>
      <c r="C615" s="36" t="s">
        <v>2236</v>
      </c>
      <c r="D615" s="38">
        <v>81195137773</v>
      </c>
      <c r="E615" s="98">
        <v>1195137773</v>
      </c>
      <c r="F615" s="253" t="s">
        <v>2237</v>
      </c>
      <c r="G615" s="131">
        <v>186282967</v>
      </c>
      <c r="H615" s="45">
        <v>33703</v>
      </c>
      <c r="I615" s="227"/>
      <c r="J615" s="98"/>
      <c r="K615" s="36"/>
    </row>
    <row r="616" spans="1:11" s="1" customFormat="1" ht="15.6" x14ac:dyDescent="0.3">
      <c r="A616" s="71">
        <v>757</v>
      </c>
      <c r="B616" s="36" t="s">
        <v>699</v>
      </c>
      <c r="C616" s="36" t="s">
        <v>2238</v>
      </c>
      <c r="D616" s="38">
        <v>81068314721</v>
      </c>
      <c r="E616" s="98">
        <v>1068314721</v>
      </c>
      <c r="F616" s="98" t="s">
        <v>2239</v>
      </c>
      <c r="G616" s="131">
        <v>186282967</v>
      </c>
      <c r="H616" s="45">
        <v>30537</v>
      </c>
      <c r="I616" s="227"/>
      <c r="J616" s="98"/>
      <c r="K616" s="36"/>
    </row>
    <row r="617" spans="1:11" s="1" customFormat="1" ht="15.6" x14ac:dyDescent="0.3">
      <c r="A617" s="71">
        <v>758</v>
      </c>
      <c r="B617" s="36" t="s">
        <v>699</v>
      </c>
      <c r="C617" s="36" t="s">
        <v>2240</v>
      </c>
      <c r="D617" s="38" t="s">
        <v>2241</v>
      </c>
      <c r="E617" s="98">
        <v>1158957884</v>
      </c>
      <c r="F617" s="98" t="s">
        <v>2242</v>
      </c>
      <c r="G617" s="131">
        <v>186282967</v>
      </c>
      <c r="H617" s="45">
        <v>32862</v>
      </c>
      <c r="I617" s="227"/>
      <c r="J617" s="98"/>
      <c r="K617" s="36"/>
    </row>
    <row r="618" spans="1:11" s="1" customFormat="1" ht="15.6" x14ac:dyDescent="0.3">
      <c r="A618" s="71">
        <v>759</v>
      </c>
      <c r="B618" s="36" t="s">
        <v>699</v>
      </c>
      <c r="C618" s="38" t="s">
        <v>2243</v>
      </c>
      <c r="D618" s="38">
        <v>81093742764</v>
      </c>
      <c r="E618" s="98">
        <v>1093742764</v>
      </c>
      <c r="F618" s="98" t="s">
        <v>2244</v>
      </c>
      <c r="G618" s="131">
        <v>186282967</v>
      </c>
      <c r="H618" s="45">
        <v>30240</v>
      </c>
      <c r="I618" s="227"/>
      <c r="J618" s="98"/>
      <c r="K618" s="36"/>
    </row>
    <row r="619" spans="1:11" s="173" customFormat="1" ht="15.6" x14ac:dyDescent="0.3">
      <c r="A619" s="71">
        <v>760</v>
      </c>
      <c r="B619" s="71" t="s">
        <v>705</v>
      </c>
      <c r="C619" s="71" t="s">
        <v>2245</v>
      </c>
      <c r="D619" s="71">
        <v>81340564015</v>
      </c>
      <c r="E619" s="180">
        <v>1340564015</v>
      </c>
      <c r="F619" s="180" t="s">
        <v>2246</v>
      </c>
      <c r="G619" s="181">
        <v>186282967</v>
      </c>
      <c r="H619" s="102">
        <v>32000</v>
      </c>
      <c r="I619" s="219" t="s">
        <v>2247</v>
      </c>
      <c r="J619" s="180"/>
      <c r="K619" s="71"/>
    </row>
    <row r="620" spans="1:11" s="1" customFormat="1" ht="15.6" x14ac:dyDescent="0.3">
      <c r="A620" s="71">
        <v>761</v>
      </c>
      <c r="B620" s="36" t="s">
        <v>699</v>
      </c>
      <c r="C620" s="36" t="s">
        <v>2248</v>
      </c>
      <c r="D620" s="38">
        <v>81147713362</v>
      </c>
      <c r="E620" s="98">
        <v>1147713362</v>
      </c>
      <c r="F620" s="98" t="s">
        <v>2249</v>
      </c>
      <c r="G620" s="131">
        <v>186282967</v>
      </c>
      <c r="H620" s="45"/>
      <c r="I620" s="227"/>
      <c r="J620" s="98"/>
      <c r="K620" s="36"/>
    </row>
    <row r="621" spans="1:11" s="1" customFormat="1" ht="15.6" x14ac:dyDescent="0.3">
      <c r="A621" s="71">
        <v>764</v>
      </c>
      <c r="B621" s="36" t="s">
        <v>699</v>
      </c>
      <c r="C621" s="36" t="s">
        <v>2250</v>
      </c>
      <c r="D621" s="38">
        <v>81132966534</v>
      </c>
      <c r="E621" s="98">
        <v>1132966534</v>
      </c>
      <c r="F621" s="98" t="s">
        <v>2251</v>
      </c>
      <c r="G621" s="131">
        <v>186282967</v>
      </c>
      <c r="H621" s="45">
        <v>31501</v>
      </c>
      <c r="I621" s="227"/>
      <c r="J621" s="98"/>
      <c r="K621" s="36"/>
    </row>
    <row r="622" spans="1:11" s="1" customFormat="1" ht="15.6" x14ac:dyDescent="0.3">
      <c r="A622" s="71">
        <v>765</v>
      </c>
      <c r="B622" s="36" t="s">
        <v>705</v>
      </c>
      <c r="C622" s="36" t="s">
        <v>2252</v>
      </c>
      <c r="D622" s="38">
        <v>431032524369</v>
      </c>
      <c r="E622" s="98">
        <v>1032524369</v>
      </c>
      <c r="F622" s="98" t="s">
        <v>2253</v>
      </c>
      <c r="G622" s="131">
        <v>186282967</v>
      </c>
      <c r="H622" s="45">
        <v>34889</v>
      </c>
      <c r="I622" s="227"/>
      <c r="J622" s="98"/>
      <c r="K622" s="36"/>
    </row>
    <row r="623" spans="1:11" s="1" customFormat="1" ht="15.6" x14ac:dyDescent="0.3">
      <c r="A623" s="71">
        <v>767</v>
      </c>
      <c r="B623" s="36" t="s">
        <v>705</v>
      </c>
      <c r="C623" s="36" t="s">
        <v>2254</v>
      </c>
      <c r="D623" s="38">
        <v>381047936743</v>
      </c>
      <c r="E623" s="98">
        <v>1047936743</v>
      </c>
      <c r="F623" s="98" t="s">
        <v>2255</v>
      </c>
      <c r="G623" s="131">
        <v>186282967</v>
      </c>
      <c r="H623" s="45">
        <v>30812</v>
      </c>
      <c r="I623" s="227" t="s">
        <v>2256</v>
      </c>
      <c r="J623" s="98"/>
      <c r="K623" s="36"/>
    </row>
    <row r="624" spans="1:11" s="1" customFormat="1" ht="15.6" x14ac:dyDescent="0.3">
      <c r="A624" s="71">
        <v>768</v>
      </c>
      <c r="B624" s="36" t="s">
        <v>705</v>
      </c>
      <c r="C624" s="36" t="s">
        <v>2257</v>
      </c>
      <c r="D624" s="38">
        <v>421005358830</v>
      </c>
      <c r="E624" s="98">
        <v>1005358830</v>
      </c>
      <c r="F624" s="98" t="s">
        <v>2258</v>
      </c>
      <c r="G624" s="131">
        <v>186282967</v>
      </c>
      <c r="H624" s="45">
        <v>33052</v>
      </c>
      <c r="I624" s="227" t="s">
        <v>2259</v>
      </c>
      <c r="J624" s="98"/>
      <c r="K624" s="36"/>
    </row>
    <row r="625" spans="1:11" s="1" customFormat="1" ht="15.6" x14ac:dyDescent="0.3">
      <c r="A625" s="71">
        <v>769</v>
      </c>
      <c r="B625" s="36" t="s">
        <v>705</v>
      </c>
      <c r="C625" s="36" t="s">
        <v>2260</v>
      </c>
      <c r="D625" s="38">
        <v>8301158754</v>
      </c>
      <c r="E625" s="98">
        <v>301158754</v>
      </c>
      <c r="F625" s="98" t="s">
        <v>2235</v>
      </c>
      <c r="G625" s="131">
        <v>186282967</v>
      </c>
      <c r="H625" s="45">
        <v>21495</v>
      </c>
      <c r="I625" s="227"/>
      <c r="J625" s="98"/>
      <c r="K625" s="36"/>
    </row>
    <row r="626" spans="1:11" s="1" customFormat="1" ht="15.6" x14ac:dyDescent="0.3">
      <c r="A626" s="71">
        <v>770</v>
      </c>
      <c r="B626" s="42" t="s">
        <v>699</v>
      </c>
      <c r="C626" s="42" t="s">
        <v>2261</v>
      </c>
      <c r="D626" s="42" t="s">
        <v>2262</v>
      </c>
      <c r="E626" s="132">
        <v>1019929959</v>
      </c>
      <c r="F626" s="132" t="s">
        <v>2263</v>
      </c>
      <c r="G626" s="134">
        <v>186282967</v>
      </c>
      <c r="H626" s="135">
        <v>32106</v>
      </c>
      <c r="I626" s="228" t="s">
        <v>2264</v>
      </c>
      <c r="J626" s="132"/>
      <c r="K626" s="42"/>
    </row>
    <row r="627" spans="1:11" s="1" customFormat="1" ht="15.6" x14ac:dyDescent="0.3">
      <c r="A627" s="71">
        <v>771</v>
      </c>
      <c r="B627" s="42" t="s">
        <v>705</v>
      </c>
      <c r="C627" s="42" t="s">
        <v>2265</v>
      </c>
      <c r="D627" s="42">
        <v>81181682257</v>
      </c>
      <c r="E627" s="132">
        <v>1181682257</v>
      </c>
      <c r="F627" s="132" t="s">
        <v>2266</v>
      </c>
      <c r="G627" s="134">
        <v>186282967</v>
      </c>
      <c r="H627" s="135">
        <v>32388</v>
      </c>
      <c r="I627" s="228" t="s">
        <v>2267</v>
      </c>
      <c r="J627" s="132"/>
      <c r="K627" s="42"/>
    </row>
    <row r="628" spans="1:11" s="1" customFormat="1" ht="15.6" x14ac:dyDescent="0.3">
      <c r="A628" s="71">
        <v>772</v>
      </c>
      <c r="B628" s="42" t="s">
        <v>699</v>
      </c>
      <c r="C628" s="42" t="s">
        <v>2268</v>
      </c>
      <c r="D628" s="42" t="s">
        <v>2269</v>
      </c>
      <c r="E628" s="132">
        <v>1025174527</v>
      </c>
      <c r="F628" s="132" t="s">
        <v>2270</v>
      </c>
      <c r="G628" s="134">
        <v>186282967</v>
      </c>
      <c r="H628" s="135">
        <v>32112</v>
      </c>
      <c r="I628" s="228" t="s">
        <v>2267</v>
      </c>
      <c r="J628" s="132"/>
      <c r="K628" s="42"/>
    </row>
    <row r="629" spans="1:11" s="1" customFormat="1" ht="15.6" x14ac:dyDescent="0.3">
      <c r="A629" s="71">
        <v>773</v>
      </c>
      <c r="B629" s="42" t="s">
        <v>705</v>
      </c>
      <c r="C629" s="42" t="s">
        <v>2271</v>
      </c>
      <c r="D629" s="42">
        <v>81054689049</v>
      </c>
      <c r="E629" s="132">
        <v>1054689049</v>
      </c>
      <c r="F629" s="132" t="s">
        <v>2272</v>
      </c>
      <c r="G629" s="134">
        <v>186282967</v>
      </c>
      <c r="H629" s="135">
        <v>27285</v>
      </c>
      <c r="I629" s="228" t="s">
        <v>2267</v>
      </c>
      <c r="J629" s="132"/>
      <c r="K629" s="42"/>
    </row>
    <row r="630" spans="1:11" s="1" customFormat="1" ht="15.6" x14ac:dyDescent="0.3">
      <c r="A630" s="71">
        <v>774</v>
      </c>
      <c r="B630" s="42" t="s">
        <v>705</v>
      </c>
      <c r="C630" s="42" t="s">
        <v>2273</v>
      </c>
      <c r="D630" s="42" t="s">
        <v>2274</v>
      </c>
      <c r="E630" s="132">
        <v>1003811662</v>
      </c>
      <c r="F630" s="132" t="s">
        <v>2275</v>
      </c>
      <c r="G630" s="134">
        <v>186282967</v>
      </c>
      <c r="H630" s="135">
        <v>28472</v>
      </c>
      <c r="I630" s="228" t="s">
        <v>2267</v>
      </c>
      <c r="J630" s="132"/>
      <c r="K630" s="42"/>
    </row>
    <row r="631" spans="1:11" s="1" customFormat="1" ht="15.6" x14ac:dyDescent="0.3">
      <c r="A631" s="71">
        <v>775</v>
      </c>
      <c r="B631" s="42" t="s">
        <v>699</v>
      </c>
      <c r="C631" s="42" t="s">
        <v>2276</v>
      </c>
      <c r="D631" s="42">
        <v>81338195595</v>
      </c>
      <c r="E631" s="132">
        <v>1338195595</v>
      </c>
      <c r="F631" s="132" t="s">
        <v>2277</v>
      </c>
      <c r="G631" s="134">
        <v>186282967</v>
      </c>
      <c r="H631" s="135">
        <v>32261</v>
      </c>
      <c r="I631" s="228" t="s">
        <v>2267</v>
      </c>
      <c r="J631" s="132"/>
      <c r="K631" s="42"/>
    </row>
    <row r="632" spans="1:11" s="1" customFormat="1" ht="15.6" x14ac:dyDescent="0.3">
      <c r="A632" s="71">
        <v>776</v>
      </c>
      <c r="B632" s="42" t="s">
        <v>705</v>
      </c>
      <c r="C632" s="42" t="s">
        <v>2278</v>
      </c>
      <c r="D632" s="42">
        <v>8133402308</v>
      </c>
      <c r="E632" s="132">
        <v>8133402308</v>
      </c>
      <c r="F632" s="132" t="s">
        <v>2279</v>
      </c>
      <c r="G632" s="134">
        <v>186282967</v>
      </c>
      <c r="H632" s="135">
        <v>25157</v>
      </c>
      <c r="I632" s="228" t="s">
        <v>2267</v>
      </c>
      <c r="J632" s="132"/>
      <c r="K632" s="42"/>
    </row>
    <row r="633" spans="1:11" s="1" customFormat="1" ht="15.6" x14ac:dyDescent="0.3">
      <c r="A633" s="71">
        <v>777</v>
      </c>
      <c r="B633" s="42" t="s">
        <v>699</v>
      </c>
      <c r="C633" s="42" t="s">
        <v>2280</v>
      </c>
      <c r="D633" s="42" t="s">
        <v>2281</v>
      </c>
      <c r="E633" s="132">
        <v>1194604778</v>
      </c>
      <c r="F633" s="132" t="s">
        <v>2282</v>
      </c>
      <c r="G633" s="134">
        <v>186282967</v>
      </c>
      <c r="H633" s="135">
        <v>33879</v>
      </c>
      <c r="I633" s="228" t="s">
        <v>2267</v>
      </c>
      <c r="J633" s="132"/>
      <c r="K633" s="42"/>
    </row>
    <row r="634" spans="1:11" s="1" customFormat="1" ht="15.6" x14ac:dyDescent="0.3">
      <c r="A634" s="71">
        <v>778</v>
      </c>
      <c r="B634" s="42" t="s">
        <v>699</v>
      </c>
      <c r="C634" s="42" t="s">
        <v>2283</v>
      </c>
      <c r="D634" s="42">
        <v>81101533884</v>
      </c>
      <c r="E634" s="132">
        <v>1101533884</v>
      </c>
      <c r="F634" s="132" t="s">
        <v>2284</v>
      </c>
      <c r="G634" s="134">
        <v>186282967</v>
      </c>
      <c r="H634" s="135">
        <v>29554</v>
      </c>
      <c r="I634" s="228" t="s">
        <v>2267</v>
      </c>
      <c r="J634" s="132"/>
      <c r="K634" s="42"/>
    </row>
    <row r="635" spans="1:11" s="1" customFormat="1" ht="15.6" x14ac:dyDescent="0.3">
      <c r="A635" s="71">
        <v>779</v>
      </c>
      <c r="B635" s="42" t="s">
        <v>705</v>
      </c>
      <c r="C635" s="42" t="s">
        <v>2285</v>
      </c>
      <c r="D635" s="42">
        <v>28419968968</v>
      </c>
      <c r="E635" s="132">
        <v>419968968</v>
      </c>
      <c r="F635" s="132" t="s">
        <v>2279</v>
      </c>
      <c r="G635" s="134">
        <v>186282967</v>
      </c>
      <c r="H635" s="135">
        <v>25157</v>
      </c>
      <c r="I635" s="228" t="s">
        <v>2267</v>
      </c>
      <c r="J635" s="132"/>
      <c r="K635" s="42"/>
    </row>
    <row r="636" spans="1:11" s="1" customFormat="1" ht="15.6" x14ac:dyDescent="0.3">
      <c r="A636" s="71">
        <v>780</v>
      </c>
      <c r="B636" s="42" t="s">
        <v>705</v>
      </c>
      <c r="C636" s="42" t="s">
        <v>2286</v>
      </c>
      <c r="D636" s="42">
        <v>81367511827</v>
      </c>
      <c r="E636" s="132">
        <v>1367511827</v>
      </c>
      <c r="F636" s="132" t="s">
        <v>2287</v>
      </c>
      <c r="G636" s="134">
        <v>186282967</v>
      </c>
      <c r="H636" s="135">
        <v>32041</v>
      </c>
      <c r="I636" s="228" t="s">
        <v>2267</v>
      </c>
      <c r="J636" s="132"/>
      <c r="K636" s="42"/>
    </row>
    <row r="637" spans="1:11" s="1" customFormat="1" ht="15.6" x14ac:dyDescent="0.3">
      <c r="A637" s="71">
        <v>781</v>
      </c>
      <c r="B637" s="42" t="s">
        <v>699</v>
      </c>
      <c r="C637" s="42" t="s">
        <v>2288</v>
      </c>
      <c r="D637" s="42">
        <v>41028317746</v>
      </c>
      <c r="E637" s="132">
        <v>1028317746</v>
      </c>
      <c r="F637" s="132" t="s">
        <v>2289</v>
      </c>
      <c r="G637" s="134">
        <v>186282967</v>
      </c>
      <c r="H637" s="135">
        <v>33628</v>
      </c>
      <c r="I637" s="228" t="s">
        <v>2267</v>
      </c>
      <c r="J637" s="132"/>
      <c r="K637" s="42"/>
    </row>
    <row r="638" spans="1:11" s="1" customFormat="1" ht="15.6" x14ac:dyDescent="0.3">
      <c r="A638" s="71"/>
      <c r="B638" s="42" t="s">
        <v>699</v>
      </c>
      <c r="C638" s="42" t="s">
        <v>2290</v>
      </c>
      <c r="D638" s="42" t="s">
        <v>2291</v>
      </c>
      <c r="E638" s="132">
        <v>1037023884</v>
      </c>
      <c r="F638" s="132" t="s">
        <v>2292</v>
      </c>
      <c r="G638" s="134">
        <v>186282967</v>
      </c>
      <c r="H638" s="135">
        <v>35669</v>
      </c>
      <c r="I638" s="228" t="s">
        <v>2293</v>
      </c>
      <c r="J638" s="132"/>
      <c r="K638" s="42"/>
    </row>
    <row r="639" spans="1:11" s="7" customFormat="1" ht="15.6" x14ac:dyDescent="0.3">
      <c r="A639" s="71">
        <v>784</v>
      </c>
      <c r="B639" s="41" t="s">
        <v>699</v>
      </c>
      <c r="C639" s="41" t="s">
        <v>2294</v>
      </c>
      <c r="D639" s="42" t="s">
        <v>2295</v>
      </c>
      <c r="E639" s="132">
        <v>1024466087</v>
      </c>
      <c r="F639" s="132" t="s">
        <v>2296</v>
      </c>
      <c r="G639" s="133">
        <v>186282967</v>
      </c>
      <c r="H639" s="133"/>
      <c r="I639" s="132" t="s">
        <v>2297</v>
      </c>
      <c r="J639" s="132"/>
      <c r="K639" s="42"/>
    </row>
    <row r="640" spans="1:11" s="7" customFormat="1" ht="15.6" x14ac:dyDescent="0.3">
      <c r="A640" s="71">
        <v>785</v>
      </c>
      <c r="B640" s="41" t="s">
        <v>705</v>
      </c>
      <c r="C640" s="41" t="s">
        <v>2298</v>
      </c>
      <c r="D640" s="42" t="s">
        <v>2299</v>
      </c>
      <c r="E640" s="132">
        <v>1011634140</v>
      </c>
      <c r="F640" s="132" t="s">
        <v>559</v>
      </c>
      <c r="G640" s="133">
        <v>186282967</v>
      </c>
      <c r="H640" s="133"/>
      <c r="I640" s="132" t="s">
        <v>2297</v>
      </c>
      <c r="J640" s="132"/>
      <c r="K640" s="42"/>
    </row>
    <row r="641" spans="1:11" s="1" customFormat="1" ht="15.6" x14ac:dyDescent="0.3">
      <c r="A641" s="71">
        <v>790</v>
      </c>
      <c r="B641" s="42" t="s">
        <v>705</v>
      </c>
      <c r="C641" s="42" t="s">
        <v>2300</v>
      </c>
      <c r="D641" s="42" t="s">
        <v>2301</v>
      </c>
      <c r="E641" s="132">
        <v>493999101</v>
      </c>
      <c r="F641" s="132" t="s">
        <v>2302</v>
      </c>
      <c r="G641" s="42">
        <v>186282967</v>
      </c>
      <c r="H641" s="135">
        <v>23630</v>
      </c>
      <c r="I641" s="132" t="s">
        <v>2303</v>
      </c>
      <c r="J641" s="132"/>
      <c r="K641" s="42"/>
    </row>
    <row r="642" spans="1:11" s="3" customFormat="1" ht="15.6" x14ac:dyDescent="0.3">
      <c r="A642" s="71">
        <v>792</v>
      </c>
      <c r="B642" s="42" t="s">
        <v>699</v>
      </c>
      <c r="C642" s="42" t="s">
        <v>2304</v>
      </c>
      <c r="D642" s="42" t="s">
        <v>2305</v>
      </c>
      <c r="E642" s="132">
        <v>1035798755</v>
      </c>
      <c r="F642" s="132" t="s">
        <v>2306</v>
      </c>
      <c r="G642" s="42">
        <v>186282967</v>
      </c>
      <c r="H642" s="135">
        <v>34761</v>
      </c>
      <c r="I642" s="132" t="s">
        <v>2307</v>
      </c>
      <c r="J642" s="132"/>
      <c r="K642" s="42"/>
    </row>
    <row r="643" spans="1:11" s="3" customFormat="1" ht="15.6" x14ac:dyDescent="0.3">
      <c r="A643" s="71">
        <v>793</v>
      </c>
      <c r="B643" s="42" t="s">
        <v>699</v>
      </c>
      <c r="C643" s="42" t="s">
        <v>2308</v>
      </c>
      <c r="D643" s="42" t="s">
        <v>2309</v>
      </c>
      <c r="E643" s="132">
        <v>1041688978</v>
      </c>
      <c r="F643" s="132" t="s">
        <v>2310</v>
      </c>
      <c r="G643" s="42">
        <v>186282967</v>
      </c>
      <c r="H643" s="135">
        <v>36236</v>
      </c>
      <c r="I643" s="132" t="s">
        <v>2307</v>
      </c>
      <c r="J643" s="132"/>
      <c r="K643" s="42"/>
    </row>
    <row r="644" spans="1:11" s="3" customFormat="1" ht="15.6" x14ac:dyDescent="0.3">
      <c r="A644" s="71">
        <v>794</v>
      </c>
      <c r="B644" s="42" t="s">
        <v>699</v>
      </c>
      <c r="C644" s="42" t="s">
        <v>2311</v>
      </c>
      <c r="D644" s="42" t="s">
        <v>2312</v>
      </c>
      <c r="E644" s="132">
        <v>1027608925</v>
      </c>
      <c r="F644" s="132" t="s">
        <v>2313</v>
      </c>
      <c r="G644" s="42">
        <v>186282967</v>
      </c>
      <c r="H644" s="135">
        <v>34200</v>
      </c>
      <c r="I644" s="132" t="s">
        <v>2307</v>
      </c>
      <c r="J644" s="132"/>
      <c r="K644" s="42"/>
    </row>
    <row r="645" spans="1:11" s="3" customFormat="1" ht="15.6" x14ac:dyDescent="0.3">
      <c r="A645" s="71">
        <v>795</v>
      </c>
      <c r="B645" s="42" t="s">
        <v>699</v>
      </c>
      <c r="C645" s="42" t="s">
        <v>2314</v>
      </c>
      <c r="D645" s="278" t="s">
        <v>2315</v>
      </c>
      <c r="E645" s="132">
        <v>1029394857</v>
      </c>
      <c r="F645" s="132" t="s">
        <v>2316</v>
      </c>
      <c r="G645" s="42">
        <v>186282967</v>
      </c>
      <c r="H645" s="135"/>
      <c r="I645" s="132" t="s">
        <v>2317</v>
      </c>
      <c r="J645" s="132"/>
      <c r="K645" s="42"/>
    </row>
    <row r="646" spans="1:11" s="3" customFormat="1" ht="15.6" x14ac:dyDescent="0.3">
      <c r="A646" s="71">
        <v>796</v>
      </c>
      <c r="B646" s="42" t="s">
        <v>699</v>
      </c>
      <c r="C646" s="42" t="s">
        <v>2318</v>
      </c>
      <c r="D646" s="278" t="s">
        <v>2319</v>
      </c>
      <c r="E646" s="132">
        <v>1053280545</v>
      </c>
      <c r="F646" s="132" t="s">
        <v>2320</v>
      </c>
      <c r="G646" s="42">
        <v>186282967</v>
      </c>
      <c r="H646" s="135"/>
      <c r="I646" s="132" t="s">
        <v>2317</v>
      </c>
      <c r="J646" s="132"/>
      <c r="K646" s="42"/>
    </row>
    <row r="647" spans="1:11" s="3" customFormat="1" ht="15.6" x14ac:dyDescent="0.3">
      <c r="A647" s="71">
        <v>797</v>
      </c>
      <c r="B647" s="42" t="s">
        <v>705</v>
      </c>
      <c r="C647" s="42" t="s">
        <v>2321</v>
      </c>
      <c r="D647" s="278" t="s">
        <v>2322</v>
      </c>
      <c r="E647" s="136" t="s">
        <v>2323</v>
      </c>
      <c r="F647" s="132" t="s">
        <v>2324</v>
      </c>
      <c r="G647" s="42">
        <v>186282967</v>
      </c>
      <c r="H647" s="135"/>
      <c r="I647" s="132" t="s">
        <v>2317</v>
      </c>
      <c r="J647" s="132"/>
      <c r="K647" s="42"/>
    </row>
    <row r="648" spans="1:11" s="3" customFormat="1" ht="15.6" x14ac:dyDescent="0.3">
      <c r="A648" s="71">
        <v>798</v>
      </c>
      <c r="B648" s="42" t="s">
        <v>699</v>
      </c>
      <c r="C648" s="42" t="s">
        <v>2325</v>
      </c>
      <c r="D648" s="278" t="s">
        <v>2326</v>
      </c>
      <c r="E648" s="136" t="s">
        <v>2327</v>
      </c>
      <c r="F648" s="132" t="s">
        <v>2328</v>
      </c>
      <c r="G648" s="42">
        <v>186282967</v>
      </c>
      <c r="H648" s="135">
        <v>34393</v>
      </c>
      <c r="I648" s="132" t="s">
        <v>2329</v>
      </c>
      <c r="J648" s="132"/>
      <c r="K648" s="42"/>
    </row>
    <row r="649" spans="1:11" s="3" customFormat="1" ht="15.6" x14ac:dyDescent="0.3">
      <c r="A649" s="71">
        <v>799</v>
      </c>
      <c r="B649" s="42" t="s">
        <v>705</v>
      </c>
      <c r="C649" s="42" t="s">
        <v>2330</v>
      </c>
      <c r="D649" s="278" t="s">
        <v>2331</v>
      </c>
      <c r="E649" s="136" t="s">
        <v>2332</v>
      </c>
      <c r="F649" s="132" t="s">
        <v>2333</v>
      </c>
      <c r="G649" s="42">
        <v>186282967</v>
      </c>
      <c r="H649" s="135">
        <v>25816</v>
      </c>
      <c r="I649" s="132" t="s">
        <v>2329</v>
      </c>
      <c r="J649" s="132"/>
      <c r="K649" s="42"/>
    </row>
    <row r="650" spans="1:11" s="3" customFormat="1" ht="15.6" x14ac:dyDescent="0.3">
      <c r="A650" s="71">
        <v>800</v>
      </c>
      <c r="B650" s="42" t="s">
        <v>699</v>
      </c>
      <c r="C650" s="42" t="s">
        <v>2334</v>
      </c>
      <c r="D650" s="278" t="s">
        <v>2335</v>
      </c>
      <c r="E650" s="136" t="s">
        <v>2336</v>
      </c>
      <c r="F650" s="132" t="s">
        <v>2337</v>
      </c>
      <c r="G650" s="42">
        <v>186282967</v>
      </c>
      <c r="H650" s="135">
        <v>28975</v>
      </c>
      <c r="I650" s="132" t="s">
        <v>2338</v>
      </c>
      <c r="J650" s="132"/>
      <c r="K650" s="42"/>
    </row>
    <row r="651" spans="1:11" s="3" customFormat="1" ht="15.6" x14ac:dyDescent="0.3">
      <c r="A651" s="71">
        <v>802</v>
      </c>
      <c r="B651" s="38" t="s">
        <v>699</v>
      </c>
      <c r="C651" s="38" t="s">
        <v>2339</v>
      </c>
      <c r="D651" s="38">
        <v>81263640789</v>
      </c>
      <c r="E651" s="103" t="s">
        <v>2340</v>
      </c>
      <c r="F651" s="98" t="s">
        <v>2341</v>
      </c>
      <c r="G651" s="38">
        <v>186282967</v>
      </c>
      <c r="H651" s="94">
        <v>28684</v>
      </c>
      <c r="I651" s="98"/>
      <c r="J651" s="98"/>
      <c r="K651" s="38"/>
    </row>
    <row r="652" spans="1:11" s="3" customFormat="1" ht="15.6" x14ac:dyDescent="0.3">
      <c r="A652" s="71">
        <v>803</v>
      </c>
      <c r="B652" s="38" t="s">
        <v>699</v>
      </c>
      <c r="C652" s="38" t="s">
        <v>2342</v>
      </c>
      <c r="D652" s="38">
        <v>81226308624</v>
      </c>
      <c r="E652" s="103" t="s">
        <v>2343</v>
      </c>
      <c r="F652" s="98" t="s">
        <v>2344</v>
      </c>
      <c r="G652" s="38">
        <v>186282967</v>
      </c>
      <c r="H652" s="94">
        <v>30434</v>
      </c>
      <c r="I652" s="98"/>
      <c r="J652" s="98"/>
      <c r="K652" s="38"/>
    </row>
    <row r="653" spans="1:11" s="3" customFormat="1" ht="15.6" x14ac:dyDescent="0.3">
      <c r="A653" s="71">
        <v>804</v>
      </c>
      <c r="B653" s="38" t="s">
        <v>699</v>
      </c>
      <c r="C653" s="38" t="s">
        <v>2345</v>
      </c>
      <c r="D653" s="38">
        <v>81323434724</v>
      </c>
      <c r="E653" s="103" t="s">
        <v>2346</v>
      </c>
      <c r="F653" s="98" t="s">
        <v>2347</v>
      </c>
      <c r="G653" s="38">
        <v>186282967</v>
      </c>
      <c r="H653" s="94">
        <v>28279</v>
      </c>
      <c r="I653" s="98"/>
      <c r="J653" s="98"/>
      <c r="K653" s="38"/>
    </row>
    <row r="654" spans="1:11" s="3" customFormat="1" ht="15.6" x14ac:dyDescent="0.3">
      <c r="A654" s="71">
        <v>805</v>
      </c>
      <c r="B654" s="38" t="s">
        <v>699</v>
      </c>
      <c r="C654" s="38" t="s">
        <v>2348</v>
      </c>
      <c r="D654" s="268" t="s">
        <v>2172</v>
      </c>
      <c r="E654" s="103" t="s">
        <v>2349</v>
      </c>
      <c r="F654" s="98" t="s">
        <v>2173</v>
      </c>
      <c r="G654" s="38">
        <v>186282967</v>
      </c>
      <c r="H654" s="94">
        <v>31453</v>
      </c>
      <c r="I654" s="98"/>
      <c r="J654" s="98"/>
      <c r="K654" s="38"/>
    </row>
    <row r="655" spans="1:11" s="3" customFormat="1" ht="15.6" x14ac:dyDescent="0.3">
      <c r="A655" s="71">
        <v>807</v>
      </c>
      <c r="B655" s="38" t="s">
        <v>699</v>
      </c>
      <c r="C655" s="38" t="s">
        <v>2350</v>
      </c>
      <c r="D655" s="268" t="s">
        <v>2351</v>
      </c>
      <c r="E655" s="103" t="s">
        <v>2352</v>
      </c>
      <c r="F655" s="98" t="s">
        <v>2353</v>
      </c>
      <c r="G655" s="38">
        <v>186282967</v>
      </c>
      <c r="H655" s="94">
        <v>30120</v>
      </c>
      <c r="I655" s="98"/>
      <c r="J655" s="98"/>
      <c r="K655" s="38"/>
    </row>
    <row r="656" spans="1:11" s="3" customFormat="1" ht="15.6" x14ac:dyDescent="0.3">
      <c r="A656" s="71">
        <v>809</v>
      </c>
      <c r="B656" s="42" t="s">
        <v>699</v>
      </c>
      <c r="C656" s="42" t="s">
        <v>2354</v>
      </c>
      <c r="D656" s="278" t="s">
        <v>2355</v>
      </c>
      <c r="E656" s="136" t="s">
        <v>2356</v>
      </c>
      <c r="F656" s="132" t="s">
        <v>2357</v>
      </c>
      <c r="G656" s="42">
        <v>205946382</v>
      </c>
      <c r="H656" s="135">
        <v>33436</v>
      </c>
      <c r="I656" s="132"/>
      <c r="J656" s="132"/>
      <c r="K656" s="42"/>
    </row>
    <row r="657" spans="1:11" s="3" customFormat="1" ht="15.6" x14ac:dyDescent="0.3">
      <c r="A657" s="71">
        <v>811</v>
      </c>
      <c r="B657" s="38" t="s">
        <v>705</v>
      </c>
      <c r="C657" s="38" t="s">
        <v>2358</v>
      </c>
      <c r="D657" s="268" t="s">
        <v>2359</v>
      </c>
      <c r="E657" s="103" t="s">
        <v>2360</v>
      </c>
      <c r="F657" s="98" t="s">
        <v>2361</v>
      </c>
      <c r="G657" s="38">
        <v>186282967</v>
      </c>
      <c r="H657" s="94">
        <v>30241</v>
      </c>
      <c r="I657" s="98"/>
      <c r="J657" s="98"/>
      <c r="K657" s="38"/>
    </row>
    <row r="658" spans="1:11" s="3" customFormat="1" ht="15.6" x14ac:dyDescent="0.3">
      <c r="A658" s="71">
        <v>812</v>
      </c>
      <c r="B658" s="38" t="s">
        <v>705</v>
      </c>
      <c r="C658" s="38" t="s">
        <v>2362</v>
      </c>
      <c r="D658" s="268" t="s">
        <v>2363</v>
      </c>
      <c r="E658" s="103" t="s">
        <v>2364</v>
      </c>
      <c r="F658" s="98" t="s">
        <v>2365</v>
      </c>
      <c r="G658" s="38">
        <v>186282967</v>
      </c>
      <c r="H658" s="94">
        <v>30582</v>
      </c>
      <c r="I658" s="98"/>
      <c r="J658" s="98"/>
      <c r="K658" s="38"/>
    </row>
    <row r="659" spans="1:11" s="3" customFormat="1" ht="15.6" x14ac:dyDescent="0.3">
      <c r="A659" s="71">
        <v>813</v>
      </c>
      <c r="B659" s="38" t="s">
        <v>705</v>
      </c>
      <c r="C659" s="38" t="s">
        <v>2366</v>
      </c>
      <c r="D659" s="268" t="s">
        <v>2367</v>
      </c>
      <c r="E659" s="103" t="s">
        <v>2368</v>
      </c>
      <c r="F659" s="98" t="s">
        <v>2369</v>
      </c>
      <c r="G659" s="38">
        <v>186282967</v>
      </c>
      <c r="H659" s="94">
        <v>30660</v>
      </c>
      <c r="I659" s="98"/>
      <c r="J659" s="98"/>
      <c r="K659" s="38"/>
    </row>
    <row r="660" spans="1:11" s="173" customFormat="1" ht="15.6" x14ac:dyDescent="0.3">
      <c r="A660" s="71">
        <v>814</v>
      </c>
      <c r="B660" s="71" t="s">
        <v>699</v>
      </c>
      <c r="C660" s="71" t="s">
        <v>2370</v>
      </c>
      <c r="D660" s="290" t="s">
        <v>2371</v>
      </c>
      <c r="E660" s="291" t="s">
        <v>2372</v>
      </c>
      <c r="F660" s="180" t="s">
        <v>2373</v>
      </c>
      <c r="G660" s="38">
        <v>186282967</v>
      </c>
      <c r="H660" s="102">
        <v>32987</v>
      </c>
      <c r="I660" s="231">
        <v>3</v>
      </c>
      <c r="J660" s="176">
        <v>6000327</v>
      </c>
      <c r="K660" s="28" t="s">
        <v>26</v>
      </c>
    </row>
    <row r="661" spans="1:11" s="1" customFormat="1" ht="15.6" x14ac:dyDescent="0.3">
      <c r="A661" s="38">
        <v>852</v>
      </c>
      <c r="B661" s="36" t="s">
        <v>705</v>
      </c>
      <c r="C661" s="38" t="s">
        <v>802</v>
      </c>
      <c r="D661" s="38" t="s">
        <v>2374</v>
      </c>
      <c r="E661" s="103" t="s">
        <v>803</v>
      </c>
      <c r="F661" s="103" t="s">
        <v>804</v>
      </c>
      <c r="G661" s="92">
        <v>186282967</v>
      </c>
      <c r="H661" s="94">
        <v>28654</v>
      </c>
      <c r="I661" s="105"/>
      <c r="J661" s="230"/>
      <c r="K661" s="38" t="s">
        <v>712</v>
      </c>
    </row>
    <row r="662" spans="1:11" s="1" customFormat="1" ht="15.6" x14ac:dyDescent="0.3">
      <c r="A662" s="38">
        <v>948</v>
      </c>
      <c r="B662" s="38" t="s">
        <v>705</v>
      </c>
      <c r="C662" s="38" t="s">
        <v>2375</v>
      </c>
      <c r="D662" s="38">
        <v>81197397065</v>
      </c>
      <c r="E662" s="101">
        <v>1197397065</v>
      </c>
      <c r="F662" s="103" t="s">
        <v>2376</v>
      </c>
      <c r="G662" s="92">
        <v>186282967</v>
      </c>
      <c r="H662" s="94">
        <v>33956</v>
      </c>
      <c r="I662" s="105"/>
      <c r="J662" s="230"/>
      <c r="K662" s="38"/>
    </row>
    <row r="663" spans="1:11" s="1" customFormat="1" ht="15.6" x14ac:dyDescent="0.3">
      <c r="A663" s="71">
        <v>949</v>
      </c>
      <c r="B663" s="38" t="s">
        <v>699</v>
      </c>
      <c r="C663" s="38" t="s">
        <v>2377</v>
      </c>
      <c r="D663" s="38">
        <v>81147074879</v>
      </c>
      <c r="E663" s="101">
        <v>1147074879</v>
      </c>
      <c r="F663" s="103" t="s">
        <v>2378</v>
      </c>
      <c r="G663" s="92">
        <v>186282967</v>
      </c>
      <c r="H663" s="94">
        <v>32153</v>
      </c>
      <c r="I663" s="105"/>
      <c r="J663" s="230"/>
      <c r="K663" s="38" t="s">
        <v>712</v>
      </c>
    </row>
    <row r="664" spans="1:11" s="1" customFormat="1" ht="15.6" x14ac:dyDescent="0.3">
      <c r="A664" s="38">
        <v>950</v>
      </c>
      <c r="B664" s="38" t="s">
        <v>705</v>
      </c>
      <c r="C664" s="38" t="s">
        <v>796</v>
      </c>
      <c r="D664" s="38">
        <v>81247103909</v>
      </c>
      <c r="E664" s="101">
        <v>1247103909</v>
      </c>
      <c r="F664" s="103" t="s">
        <v>797</v>
      </c>
      <c r="G664" s="92">
        <v>186282967</v>
      </c>
      <c r="H664" s="94">
        <v>30677</v>
      </c>
      <c r="I664" s="105"/>
      <c r="J664" s="230"/>
      <c r="K664" s="38"/>
    </row>
    <row r="665" spans="1:11" s="1" customFormat="1" ht="15.6" x14ac:dyDescent="0.3">
      <c r="A665" s="38">
        <v>951</v>
      </c>
      <c r="B665" s="38" t="s">
        <v>705</v>
      </c>
      <c r="C665" s="38" t="s">
        <v>2379</v>
      </c>
      <c r="D665" s="38">
        <v>81189369105</v>
      </c>
      <c r="E665" s="101">
        <v>1189369105</v>
      </c>
      <c r="F665" s="103" t="s">
        <v>2380</v>
      </c>
      <c r="G665" s="92">
        <v>186282967</v>
      </c>
      <c r="H665" s="94">
        <v>32944</v>
      </c>
      <c r="I665" s="105"/>
      <c r="J665" s="230"/>
      <c r="K665" s="38"/>
    </row>
    <row r="666" spans="1:11" s="1" customFormat="1" ht="15.6" x14ac:dyDescent="0.3">
      <c r="A666" s="38">
        <v>953</v>
      </c>
      <c r="B666" s="38" t="s">
        <v>699</v>
      </c>
      <c r="C666" s="38" t="s">
        <v>2381</v>
      </c>
      <c r="D666" s="38">
        <v>81092899773</v>
      </c>
      <c r="E666" s="101">
        <v>1092899773</v>
      </c>
      <c r="F666" s="103" t="s">
        <v>2382</v>
      </c>
      <c r="G666" s="92">
        <v>186282967</v>
      </c>
      <c r="H666" s="94">
        <v>30258</v>
      </c>
      <c r="I666" s="105"/>
      <c r="J666" s="230"/>
      <c r="K666" s="38"/>
    </row>
    <row r="667" spans="1:11" s="1" customFormat="1" ht="15.6" x14ac:dyDescent="0.3">
      <c r="A667" s="38">
        <v>954</v>
      </c>
      <c r="B667" s="38" t="s">
        <v>699</v>
      </c>
      <c r="C667" s="38" t="s">
        <v>2383</v>
      </c>
      <c r="D667" s="38">
        <v>81157513190</v>
      </c>
      <c r="E667" s="101">
        <v>1157513190</v>
      </c>
      <c r="F667" s="103" t="s">
        <v>2384</v>
      </c>
      <c r="G667" s="92">
        <v>186282967</v>
      </c>
      <c r="H667" s="94">
        <v>32604</v>
      </c>
      <c r="I667" s="105"/>
      <c r="J667" s="230"/>
      <c r="K667" s="38"/>
    </row>
    <row r="668" spans="1:11" s="1" customFormat="1" ht="15.6" x14ac:dyDescent="0.3">
      <c r="A668" s="38">
        <v>955</v>
      </c>
      <c r="B668" s="38" t="s">
        <v>699</v>
      </c>
      <c r="C668" s="38" t="s">
        <v>2385</v>
      </c>
      <c r="D668" s="38">
        <v>81144924513</v>
      </c>
      <c r="E668" s="101">
        <v>1144924513</v>
      </c>
      <c r="F668" s="103" t="s">
        <v>2386</v>
      </c>
      <c r="G668" s="92">
        <v>186282967</v>
      </c>
      <c r="H668" s="94">
        <v>32604</v>
      </c>
      <c r="I668" s="105"/>
      <c r="J668" s="230"/>
      <c r="K668" s="38"/>
    </row>
    <row r="669" spans="1:11" s="1" customFormat="1" ht="15.6" x14ac:dyDescent="0.3">
      <c r="A669" s="38">
        <v>956</v>
      </c>
      <c r="B669" s="38" t="s">
        <v>705</v>
      </c>
      <c r="C669" s="38" t="s">
        <v>2387</v>
      </c>
      <c r="D669" s="38">
        <v>81214457749</v>
      </c>
      <c r="E669" s="101">
        <v>1214457749</v>
      </c>
      <c r="F669" s="103" t="s">
        <v>2388</v>
      </c>
      <c r="G669" s="92">
        <v>186282967</v>
      </c>
      <c r="H669" s="94">
        <v>32944</v>
      </c>
      <c r="I669" s="105"/>
      <c r="J669" s="230" t="s">
        <v>1019</v>
      </c>
      <c r="K669" s="38"/>
    </row>
    <row r="670" spans="1:11" s="1" customFormat="1" ht="15.6" x14ac:dyDescent="0.3">
      <c r="A670" s="38">
        <v>957</v>
      </c>
      <c r="B670" s="38" t="s">
        <v>699</v>
      </c>
      <c r="C670" s="38" t="s">
        <v>2389</v>
      </c>
      <c r="D670" s="38">
        <v>81232660205</v>
      </c>
      <c r="E670" s="101">
        <v>1232660205</v>
      </c>
      <c r="F670" s="103" t="s">
        <v>2390</v>
      </c>
      <c r="G670" s="92">
        <v>186282967</v>
      </c>
      <c r="H670" s="94">
        <v>32604</v>
      </c>
      <c r="I670" s="105"/>
      <c r="J670" s="230"/>
      <c r="K670" s="38" t="s">
        <v>712</v>
      </c>
    </row>
    <row r="671" spans="1:11" s="1" customFormat="1" ht="15.6" x14ac:dyDescent="0.3">
      <c r="A671" s="38">
        <v>958</v>
      </c>
      <c r="B671" s="38" t="s">
        <v>699</v>
      </c>
      <c r="C671" s="38" t="s">
        <v>2391</v>
      </c>
      <c r="D671" s="92">
        <v>81188960994</v>
      </c>
      <c r="E671" s="101">
        <v>1188960994</v>
      </c>
      <c r="F671" s="103" t="s">
        <v>2392</v>
      </c>
      <c r="G671" s="92">
        <v>186282967</v>
      </c>
      <c r="H671" s="94">
        <v>29813</v>
      </c>
      <c r="I671" s="105"/>
      <c r="J671" s="98"/>
      <c r="K671" s="38"/>
    </row>
    <row r="672" spans="1:11" s="1" customFormat="1" ht="15.6" x14ac:dyDescent="0.3">
      <c r="A672" s="38">
        <v>959</v>
      </c>
      <c r="B672" s="38" t="s">
        <v>699</v>
      </c>
      <c r="C672" s="38" t="s">
        <v>2393</v>
      </c>
      <c r="D672" s="92">
        <v>81229316533</v>
      </c>
      <c r="E672" s="101">
        <v>1229316533</v>
      </c>
      <c r="F672" s="103" t="s">
        <v>2394</v>
      </c>
      <c r="G672" s="92">
        <v>186282967</v>
      </c>
      <c r="H672" s="94">
        <v>32604</v>
      </c>
      <c r="I672" s="105"/>
      <c r="J672" s="98"/>
      <c r="K672" s="38"/>
    </row>
    <row r="673" spans="1:11" s="1" customFormat="1" ht="15.6" x14ac:dyDescent="0.3">
      <c r="A673" s="38">
        <v>960</v>
      </c>
      <c r="B673" s="38" t="s">
        <v>699</v>
      </c>
      <c r="C673" s="38" t="s">
        <v>2395</v>
      </c>
      <c r="D673" s="92">
        <v>281251611346</v>
      </c>
      <c r="E673" s="101">
        <v>1251611346</v>
      </c>
      <c r="F673" s="103" t="s">
        <v>2396</v>
      </c>
      <c r="G673" s="92">
        <v>186282967</v>
      </c>
      <c r="H673" s="94">
        <v>32604</v>
      </c>
      <c r="I673" s="105"/>
      <c r="J673" s="230" t="s">
        <v>2397</v>
      </c>
      <c r="K673" s="38"/>
    </row>
    <row r="674" spans="1:11" s="1" customFormat="1" ht="15.6" x14ac:dyDescent="0.3">
      <c r="A674" s="38">
        <v>961</v>
      </c>
      <c r="B674" s="38" t="s">
        <v>705</v>
      </c>
      <c r="C674" s="38" t="s">
        <v>2398</v>
      </c>
      <c r="D674" s="92">
        <v>81204471092</v>
      </c>
      <c r="E674" s="101">
        <v>1204471092</v>
      </c>
      <c r="F674" s="103" t="s">
        <v>2399</v>
      </c>
      <c r="G674" s="92">
        <v>186282967</v>
      </c>
      <c r="H674" s="94">
        <v>32944</v>
      </c>
      <c r="I674" s="105"/>
      <c r="J674" s="227" t="s">
        <v>2397</v>
      </c>
      <c r="K674" s="38"/>
    </row>
    <row r="675" spans="1:11" s="1" customFormat="1" ht="15.6" x14ac:dyDescent="0.3">
      <c r="A675" s="38">
        <v>962</v>
      </c>
      <c r="B675" s="38" t="s">
        <v>705</v>
      </c>
      <c r="C675" s="38" t="s">
        <v>2400</v>
      </c>
      <c r="D675" s="92">
        <v>461079255281</v>
      </c>
      <c r="E675" s="101">
        <v>1079255281</v>
      </c>
      <c r="F675" s="103" t="s">
        <v>2401</v>
      </c>
      <c r="G675" s="92">
        <v>186282967</v>
      </c>
      <c r="H675" s="94">
        <v>28769</v>
      </c>
      <c r="I675" s="105"/>
      <c r="J675" s="230"/>
      <c r="K675" s="38"/>
    </row>
    <row r="676" spans="1:11" s="1" customFormat="1" ht="15.6" x14ac:dyDescent="0.3">
      <c r="A676" s="38">
        <v>963</v>
      </c>
      <c r="B676" s="38" t="s">
        <v>705</v>
      </c>
      <c r="C676" s="38" t="s">
        <v>2402</v>
      </c>
      <c r="D676" s="92">
        <v>481053710200</v>
      </c>
      <c r="E676" s="103">
        <v>1053710200</v>
      </c>
      <c r="F676" s="103" t="s">
        <v>2403</v>
      </c>
      <c r="G676" s="92">
        <v>186282967</v>
      </c>
      <c r="H676" s="94">
        <v>35248</v>
      </c>
      <c r="I676" s="105"/>
      <c r="J676" s="230"/>
      <c r="K676" s="38"/>
    </row>
    <row r="677" spans="1:11" s="1" customFormat="1" ht="15.6" x14ac:dyDescent="0.3">
      <c r="A677" s="38">
        <v>965</v>
      </c>
      <c r="B677" s="38" t="s">
        <v>705</v>
      </c>
      <c r="C677" s="38" t="s">
        <v>2404</v>
      </c>
      <c r="D677" s="92">
        <v>81124409720</v>
      </c>
      <c r="E677" s="101">
        <v>1124409720</v>
      </c>
      <c r="F677" s="103" t="s">
        <v>2405</v>
      </c>
      <c r="G677" s="92">
        <v>186282967</v>
      </c>
      <c r="H677" s="94">
        <v>31268</v>
      </c>
      <c r="I677" s="105"/>
      <c r="J677" s="230"/>
      <c r="K677" s="38"/>
    </row>
    <row r="678" spans="1:11" s="1" customFormat="1" ht="15.6" x14ac:dyDescent="0.3">
      <c r="A678" s="38">
        <v>969</v>
      </c>
      <c r="B678" s="38" t="s">
        <v>705</v>
      </c>
      <c r="C678" s="38" t="s">
        <v>2406</v>
      </c>
      <c r="D678" s="92">
        <v>81126029216</v>
      </c>
      <c r="E678" s="101">
        <v>1126029216</v>
      </c>
      <c r="F678" s="103" t="s">
        <v>2407</v>
      </c>
      <c r="G678" s="92">
        <v>186282967</v>
      </c>
      <c r="H678" s="94">
        <v>31350</v>
      </c>
      <c r="I678" s="105"/>
      <c r="J678" s="230"/>
      <c r="K678" s="38"/>
    </row>
    <row r="679" spans="1:11" s="1" customFormat="1" ht="15.6" x14ac:dyDescent="0.3">
      <c r="A679" s="38">
        <v>987</v>
      </c>
      <c r="B679" s="38" t="s">
        <v>705</v>
      </c>
      <c r="C679" s="38" t="s">
        <v>2408</v>
      </c>
      <c r="D679" s="92">
        <v>81215136850</v>
      </c>
      <c r="E679" s="101">
        <v>1215136850</v>
      </c>
      <c r="F679" s="103" t="s">
        <v>2409</v>
      </c>
      <c r="G679" s="92">
        <v>186282967</v>
      </c>
      <c r="H679" s="94">
        <v>33956</v>
      </c>
      <c r="I679" s="105"/>
      <c r="J679" s="230"/>
      <c r="K679" s="38"/>
    </row>
    <row r="680" spans="1:11" s="1" customFormat="1" ht="15.6" x14ac:dyDescent="0.3">
      <c r="A680" s="38">
        <v>988</v>
      </c>
      <c r="B680" s="38" t="s">
        <v>705</v>
      </c>
      <c r="C680" s="38" t="s">
        <v>2410</v>
      </c>
      <c r="D680" s="92">
        <v>81027485704</v>
      </c>
      <c r="E680" s="101">
        <v>1027485704</v>
      </c>
      <c r="F680" s="101" t="s">
        <v>2411</v>
      </c>
      <c r="G680" s="92">
        <v>186282967</v>
      </c>
      <c r="H680" s="94">
        <v>28111</v>
      </c>
      <c r="I680" s="105"/>
      <c r="J680" s="230"/>
      <c r="K680" s="38"/>
    </row>
    <row r="681" spans="1:11" s="1" customFormat="1" ht="15.6" x14ac:dyDescent="0.3">
      <c r="A681" s="38">
        <v>9001</v>
      </c>
      <c r="B681" s="38" t="s">
        <v>699</v>
      </c>
      <c r="C681" s="38" t="s">
        <v>2412</v>
      </c>
      <c r="D681" s="92">
        <v>171010454776</v>
      </c>
      <c r="E681" s="101">
        <v>1010454776</v>
      </c>
      <c r="F681" s="103" t="s">
        <v>2413</v>
      </c>
      <c r="G681" s="92">
        <v>186282967</v>
      </c>
      <c r="H681" s="94">
        <v>32153</v>
      </c>
      <c r="I681" s="105"/>
      <c r="J681" s="230"/>
      <c r="K681" s="38"/>
    </row>
    <row r="682" spans="1:11" s="1" customFormat="1" ht="15.6" x14ac:dyDescent="0.3">
      <c r="A682" s="38">
        <v>9040</v>
      </c>
      <c r="B682" s="38" t="s">
        <v>699</v>
      </c>
      <c r="C682" s="38" t="s">
        <v>2414</v>
      </c>
      <c r="D682" s="92">
        <v>80507407632</v>
      </c>
      <c r="E682" s="103" t="s">
        <v>2415</v>
      </c>
      <c r="F682" s="103" t="s">
        <v>2416</v>
      </c>
      <c r="G682" s="92">
        <v>186282967</v>
      </c>
      <c r="H682" s="94">
        <v>23991</v>
      </c>
      <c r="I682" s="105"/>
      <c r="J682" s="230"/>
      <c r="K682" s="38"/>
    </row>
    <row r="683" spans="1:11" s="2" customFormat="1" ht="15.6" x14ac:dyDescent="0.3">
      <c r="A683" s="71">
        <v>20000</v>
      </c>
      <c r="B683" s="38" t="s">
        <v>699</v>
      </c>
      <c r="C683" s="38" t="s">
        <v>2417</v>
      </c>
      <c r="D683" s="92">
        <v>81123221468</v>
      </c>
      <c r="E683" s="103" t="s">
        <v>2418</v>
      </c>
      <c r="F683" s="103" t="s">
        <v>2419</v>
      </c>
      <c r="G683" s="92">
        <v>186282967</v>
      </c>
      <c r="H683" s="94">
        <v>31455</v>
      </c>
      <c r="I683" s="105"/>
      <c r="J683" s="238" t="s">
        <v>927</v>
      </c>
      <c r="K683" s="21" t="s">
        <v>928</v>
      </c>
    </row>
    <row r="684" spans="1:11" s="1" customFormat="1" ht="15.6" x14ac:dyDescent="0.3">
      <c r="A684" s="21">
        <v>20127</v>
      </c>
      <c r="B684" s="21" t="s">
        <v>699</v>
      </c>
      <c r="C684" s="21" t="s">
        <v>925</v>
      </c>
      <c r="D684" s="99">
        <v>81256412572</v>
      </c>
      <c r="E684" s="245">
        <v>1256412572</v>
      </c>
      <c r="F684" s="245" t="s">
        <v>926</v>
      </c>
      <c r="G684" s="92">
        <v>186282967</v>
      </c>
      <c r="H684" s="87">
        <v>27068</v>
      </c>
      <c r="I684" s="213"/>
      <c r="J684" s="98" t="s">
        <v>2420</v>
      </c>
      <c r="K684" s="38" t="s">
        <v>2421</v>
      </c>
    </row>
    <row r="685" spans="1:11" s="1" customFormat="1" ht="15.6" x14ac:dyDescent="0.3">
      <c r="A685" s="21"/>
      <c r="B685" s="21" t="s">
        <v>699</v>
      </c>
      <c r="C685" s="21" t="s">
        <v>2422</v>
      </c>
      <c r="D685" s="99">
        <v>411114931157</v>
      </c>
      <c r="E685" s="245" t="s">
        <v>2423</v>
      </c>
      <c r="F685" s="245" t="s">
        <v>2424</v>
      </c>
      <c r="G685" s="92">
        <v>186282967</v>
      </c>
      <c r="H685" s="87">
        <v>33194</v>
      </c>
      <c r="I685" s="213"/>
      <c r="J685" s="98"/>
      <c r="K685" s="38"/>
    </row>
    <row r="686" spans="1:11" s="1" customFormat="1" ht="15.6" x14ac:dyDescent="0.3">
      <c r="A686" s="21"/>
      <c r="B686" s="21" t="s">
        <v>705</v>
      </c>
      <c r="C686" s="21" t="s">
        <v>2425</v>
      </c>
      <c r="D686" s="99">
        <v>170051067400</v>
      </c>
      <c r="E686" s="245" t="s">
        <v>2426</v>
      </c>
      <c r="F686" s="245" t="s">
        <v>2427</v>
      </c>
      <c r="G686" s="92">
        <v>186282967</v>
      </c>
      <c r="H686" s="87">
        <v>22270</v>
      </c>
      <c r="I686" s="213"/>
      <c r="J686" s="98"/>
      <c r="K686" s="38"/>
    </row>
    <row r="687" spans="1:11" s="3" customFormat="1" ht="15.6" x14ac:dyDescent="0.3">
      <c r="A687" s="71"/>
      <c r="B687" s="39" t="s">
        <v>705</v>
      </c>
      <c r="C687" s="39" t="s">
        <v>2428</v>
      </c>
      <c r="D687" s="39" t="s">
        <v>2429</v>
      </c>
      <c r="E687" s="127">
        <v>1301105728</v>
      </c>
      <c r="F687" s="127" t="s">
        <v>2430</v>
      </c>
      <c r="G687" s="39">
        <v>182521791</v>
      </c>
      <c r="H687" s="96">
        <v>34612</v>
      </c>
      <c r="I687" s="127"/>
      <c r="J687" s="127"/>
      <c r="K687" s="39"/>
    </row>
    <row r="688" spans="1:11" s="1" customFormat="1" ht="15.6" x14ac:dyDescent="0.3">
      <c r="A688" s="21"/>
      <c r="B688" s="21" t="s">
        <v>699</v>
      </c>
      <c r="C688" s="21" t="s">
        <v>2431</v>
      </c>
      <c r="D688" s="99">
        <v>81096814533</v>
      </c>
      <c r="E688" s="245">
        <v>1096814533</v>
      </c>
      <c r="F688" s="245" t="s">
        <v>2432</v>
      </c>
      <c r="G688" s="92">
        <v>186282967</v>
      </c>
      <c r="H688" s="87">
        <v>29966</v>
      </c>
      <c r="I688" s="213"/>
      <c r="J688" s="98"/>
      <c r="K688" s="38"/>
    </row>
    <row r="689" spans="1:10" s="1" customFormat="1" ht="15.6" x14ac:dyDescent="0.3">
      <c r="A689" s="21"/>
      <c r="B689" s="21" t="s">
        <v>699</v>
      </c>
      <c r="C689" s="21" t="s">
        <v>2433</v>
      </c>
      <c r="D689" s="99">
        <v>81250844671</v>
      </c>
      <c r="E689" s="245">
        <v>1250844671</v>
      </c>
      <c r="F689" s="245" t="s">
        <v>2434</v>
      </c>
      <c r="G689" s="92">
        <v>186282967</v>
      </c>
      <c r="H689" s="87">
        <v>33068</v>
      </c>
      <c r="I689" s="213"/>
      <c r="J689" s="98"/>
    </row>
    <row r="690" spans="1:10" s="1" customFormat="1" ht="15.6" x14ac:dyDescent="0.3">
      <c r="A690" s="21"/>
      <c r="B690" s="21"/>
      <c r="C690" s="21" t="s">
        <v>2435</v>
      </c>
      <c r="D690" s="99">
        <v>171034078825</v>
      </c>
      <c r="E690" s="245" t="s">
        <v>2436</v>
      </c>
      <c r="F690" s="245" t="s">
        <v>2437</v>
      </c>
      <c r="G690" s="92">
        <v>186282967</v>
      </c>
      <c r="H690" s="87">
        <v>34398</v>
      </c>
      <c r="I690" s="213"/>
      <c r="J690" s="98"/>
    </row>
    <row r="691" spans="1:10" s="1" customFormat="1" ht="15.6" x14ac:dyDescent="0.3">
      <c r="A691" s="21"/>
      <c r="B691" s="21"/>
      <c r="C691" s="21" t="s">
        <v>2438</v>
      </c>
      <c r="D691" s="99">
        <v>201029148244</v>
      </c>
      <c r="E691" s="245">
        <v>1029148244</v>
      </c>
      <c r="F691" s="245" t="s">
        <v>2439</v>
      </c>
      <c r="G691" s="92">
        <v>186282967</v>
      </c>
      <c r="H691" s="87">
        <v>34873</v>
      </c>
      <c r="I691" s="213" t="s">
        <v>2440</v>
      </c>
      <c r="J691" s="98"/>
    </row>
    <row r="692" spans="1:10" s="1" customFormat="1" ht="15.6" x14ac:dyDescent="0.3">
      <c r="A692" s="21"/>
      <c r="B692" s="21"/>
      <c r="C692" s="21" t="s">
        <v>2441</v>
      </c>
      <c r="D692" s="21">
        <v>81160433193</v>
      </c>
      <c r="E692" s="237">
        <v>1160433193</v>
      </c>
      <c r="F692" s="245" t="s">
        <v>2442</v>
      </c>
      <c r="G692" s="92">
        <v>186282967</v>
      </c>
      <c r="H692" s="87">
        <v>28900</v>
      </c>
      <c r="I692" s="213" t="s">
        <v>2443</v>
      </c>
      <c r="J692" s="98"/>
    </row>
    <row r="693" spans="1:10" s="1" customFormat="1" ht="15.6" x14ac:dyDescent="0.3">
      <c r="A693" s="21"/>
      <c r="B693" s="21"/>
      <c r="C693" s="21" t="s">
        <v>2444</v>
      </c>
      <c r="D693" s="21">
        <v>81010432090</v>
      </c>
      <c r="E693" s="237" t="s">
        <v>2445</v>
      </c>
      <c r="F693" s="245" t="s">
        <v>2446</v>
      </c>
      <c r="G693" s="92">
        <v>186282967</v>
      </c>
      <c r="H693" s="87">
        <v>23854</v>
      </c>
      <c r="I693" s="213" t="s">
        <v>2447</v>
      </c>
      <c r="J693" s="98"/>
    </row>
    <row r="694" spans="1:10" s="3" customFormat="1" ht="15.6" x14ac:dyDescent="0.3">
      <c r="A694" s="71"/>
      <c r="B694" s="39"/>
      <c r="C694" s="39" t="s">
        <v>2448</v>
      </c>
      <c r="D694" s="39" t="s">
        <v>2449</v>
      </c>
      <c r="E694" s="127">
        <v>1334898407</v>
      </c>
      <c r="F694" s="127" t="s">
        <v>2450</v>
      </c>
      <c r="G694" s="39">
        <v>182521791</v>
      </c>
      <c r="H694" s="96">
        <v>33473</v>
      </c>
      <c r="I694" s="127"/>
      <c r="J694" s="127"/>
    </row>
    <row r="695" spans="1:10" s="1" customFormat="1" ht="15.6" x14ac:dyDescent="0.3">
      <c r="A695" s="21"/>
      <c r="B695" s="21"/>
      <c r="C695" s="21" t="s">
        <v>2451</v>
      </c>
      <c r="D695" s="279">
        <v>81020415010</v>
      </c>
      <c r="E695" s="237">
        <v>1020415010</v>
      </c>
      <c r="F695" s="245" t="s">
        <v>2452</v>
      </c>
      <c r="G695" s="92">
        <v>186282967</v>
      </c>
      <c r="H695" s="87">
        <v>28388</v>
      </c>
      <c r="I695" s="213"/>
      <c r="J695" s="98"/>
    </row>
    <row r="696" spans="1:10" s="7" customFormat="1" ht="15.6" x14ac:dyDescent="0.3">
      <c r="A696" s="35"/>
      <c r="B696" s="35"/>
      <c r="C696" s="35" t="s">
        <v>2453</v>
      </c>
      <c r="D696" s="280">
        <v>81081837026</v>
      </c>
      <c r="E696" s="232">
        <v>1081837026</v>
      </c>
      <c r="F696" s="238" t="s">
        <v>2454</v>
      </c>
      <c r="G696" s="131">
        <v>186282967</v>
      </c>
      <c r="H696" s="168">
        <v>29248</v>
      </c>
      <c r="I696" s="229"/>
      <c r="J696" s="230"/>
    </row>
    <row r="697" spans="1:10" s="7" customFormat="1" ht="15.6" x14ac:dyDescent="0.3">
      <c r="A697" s="36"/>
      <c r="B697" s="36"/>
      <c r="C697" s="36" t="s">
        <v>2455</v>
      </c>
      <c r="D697" s="36">
        <v>81147237557</v>
      </c>
      <c r="E697" s="230">
        <v>1147237557</v>
      </c>
      <c r="F697" s="230" t="s">
        <v>2456</v>
      </c>
      <c r="G697" s="36">
        <v>182521791</v>
      </c>
      <c r="H697" s="45">
        <v>32367</v>
      </c>
      <c r="I697" s="230" t="s">
        <v>2329</v>
      </c>
      <c r="J697" s="230"/>
    </row>
    <row r="698" spans="1:10" s="7" customFormat="1" ht="15.6" x14ac:dyDescent="0.3">
      <c r="A698" s="35"/>
      <c r="B698" s="35"/>
      <c r="C698" s="35" t="s">
        <v>2457</v>
      </c>
      <c r="D698" s="280">
        <v>81295366459</v>
      </c>
      <c r="E698" s="232">
        <v>1295366459</v>
      </c>
      <c r="F698" s="238" t="s">
        <v>2458</v>
      </c>
      <c r="G698" s="131">
        <v>186282967</v>
      </c>
      <c r="H698" s="168">
        <v>36761</v>
      </c>
      <c r="I698" s="229" t="s">
        <v>2459</v>
      </c>
      <c r="J698" s="230"/>
    </row>
    <row r="699" spans="1:10" s="7" customFormat="1" ht="15.6" x14ac:dyDescent="0.3">
      <c r="A699" s="36"/>
      <c r="B699" s="36"/>
      <c r="C699" s="36" t="s">
        <v>2460</v>
      </c>
      <c r="D699" s="36">
        <v>80490136578</v>
      </c>
      <c r="E699" s="263" t="s">
        <v>2461</v>
      </c>
      <c r="F699" s="230" t="s">
        <v>2462</v>
      </c>
      <c r="G699" s="36">
        <v>182521791</v>
      </c>
      <c r="H699" s="45">
        <v>24435</v>
      </c>
      <c r="I699" s="230" t="s">
        <v>2329</v>
      </c>
      <c r="J699" s="230"/>
    </row>
    <row r="700" spans="1:10" s="7" customFormat="1" ht="15.6" x14ac:dyDescent="0.3">
      <c r="A700" s="36"/>
      <c r="B700" s="36"/>
      <c r="C700" s="36" t="s">
        <v>2463</v>
      </c>
      <c r="D700" s="36">
        <v>81390475767</v>
      </c>
      <c r="E700" s="230">
        <v>1390475767</v>
      </c>
      <c r="F700" s="230" t="s">
        <v>2464</v>
      </c>
      <c r="G700" s="36">
        <v>182521791</v>
      </c>
      <c r="H700" s="45">
        <v>30501</v>
      </c>
      <c r="I700" s="230" t="s">
        <v>2329</v>
      </c>
      <c r="J700" s="230"/>
    </row>
    <row r="701" spans="1:10" s="7" customFormat="1" ht="15.6" x14ac:dyDescent="0.3">
      <c r="A701" s="35"/>
      <c r="B701" s="35"/>
      <c r="C701" s="35" t="s">
        <v>2465</v>
      </c>
      <c r="D701" s="280">
        <v>471005525565</v>
      </c>
      <c r="E701" s="232">
        <v>1005525565</v>
      </c>
      <c r="F701" s="238" t="s">
        <v>2466</v>
      </c>
      <c r="G701" s="131">
        <v>186282967</v>
      </c>
      <c r="H701" s="168">
        <v>28452</v>
      </c>
      <c r="I701" s="229" t="s">
        <v>2329</v>
      </c>
      <c r="J701" s="230"/>
    </row>
    <row r="702" spans="1:10" s="7" customFormat="1" ht="15.6" x14ac:dyDescent="0.3">
      <c r="A702" s="35"/>
      <c r="B702" s="35"/>
      <c r="C702" s="35" t="s">
        <v>2467</v>
      </c>
      <c r="D702" s="280">
        <v>81142771517</v>
      </c>
      <c r="E702" s="232">
        <v>1142771517</v>
      </c>
      <c r="F702" s="238" t="s">
        <v>2468</v>
      </c>
      <c r="G702" s="131">
        <v>186282967</v>
      </c>
      <c r="H702" s="168"/>
      <c r="I702" s="229"/>
      <c r="J702" s="230"/>
    </row>
    <row r="703" spans="1:10" s="7" customFormat="1" ht="15.6" x14ac:dyDescent="0.3">
      <c r="A703" s="35"/>
      <c r="B703" s="35"/>
      <c r="C703" s="35" t="s">
        <v>2469</v>
      </c>
      <c r="D703" s="280">
        <v>81347398269</v>
      </c>
      <c r="E703" s="232">
        <v>1347398269</v>
      </c>
      <c r="F703" s="238" t="s">
        <v>1538</v>
      </c>
      <c r="G703" s="131">
        <v>186282967</v>
      </c>
      <c r="H703" s="168"/>
      <c r="I703" s="229"/>
      <c r="J703" s="230"/>
    </row>
    <row r="704" spans="1:10" s="7" customFormat="1" ht="15.6" x14ac:dyDescent="0.3">
      <c r="A704" s="36"/>
      <c r="B704" s="36"/>
      <c r="C704" s="36" t="s">
        <v>2470</v>
      </c>
      <c r="D704" s="36">
        <v>81118955084</v>
      </c>
      <c r="E704" s="230">
        <v>1118955084</v>
      </c>
      <c r="F704" s="230" t="s">
        <v>2471</v>
      </c>
      <c r="G704" s="36">
        <v>182521791</v>
      </c>
      <c r="H704" s="45"/>
      <c r="I704" s="230"/>
      <c r="J704" s="230"/>
    </row>
    <row r="705" spans="1:10" s="7" customFormat="1" ht="15.6" x14ac:dyDescent="0.3">
      <c r="A705" s="35"/>
      <c r="B705" s="35"/>
      <c r="C705" s="35" t="s">
        <v>2472</v>
      </c>
      <c r="D705" s="280">
        <v>331016490336</v>
      </c>
      <c r="E705" s="232">
        <v>1016490336</v>
      </c>
      <c r="F705" s="238" t="s">
        <v>2473</v>
      </c>
      <c r="G705" s="131">
        <v>186282967</v>
      </c>
      <c r="H705" s="168"/>
      <c r="I705" s="229"/>
      <c r="J705" s="230"/>
    </row>
    <row r="706" spans="1:10" s="7" customFormat="1" ht="15.6" x14ac:dyDescent="0.3">
      <c r="A706" s="35"/>
      <c r="B706" s="35"/>
      <c r="C706" s="35" t="s">
        <v>2474</v>
      </c>
      <c r="D706" s="280">
        <v>461076723076</v>
      </c>
      <c r="E706" s="232">
        <v>1076723076</v>
      </c>
      <c r="F706" s="238" t="s">
        <v>2475</v>
      </c>
      <c r="G706" s="131">
        <v>186282967</v>
      </c>
      <c r="H706" s="168">
        <v>32628</v>
      </c>
      <c r="I706" s="229" t="s">
        <v>2476</v>
      </c>
      <c r="J706" s="230"/>
    </row>
    <row r="707" spans="1:10" s="7" customFormat="1" ht="15.6" x14ac:dyDescent="0.3">
      <c r="A707" s="35"/>
      <c r="B707" s="35"/>
      <c r="C707" s="35" t="s">
        <v>2477</v>
      </c>
      <c r="D707" s="280">
        <v>81187858632</v>
      </c>
      <c r="E707" s="232">
        <v>1187858632</v>
      </c>
      <c r="F707" s="238" t="s">
        <v>2478</v>
      </c>
      <c r="G707" s="131">
        <v>186282967</v>
      </c>
      <c r="H707" s="168">
        <v>32139</v>
      </c>
      <c r="I707" s="229" t="s">
        <v>2476</v>
      </c>
      <c r="J707" s="230"/>
    </row>
    <row r="708" spans="1:10" s="7" customFormat="1" ht="15.6" x14ac:dyDescent="0.3">
      <c r="A708" s="35"/>
      <c r="B708" s="35"/>
      <c r="C708" s="35" t="s">
        <v>2479</v>
      </c>
      <c r="D708" s="280">
        <v>171025189783</v>
      </c>
      <c r="E708" s="232">
        <v>1025189783</v>
      </c>
      <c r="F708" s="238" t="s">
        <v>2480</v>
      </c>
      <c r="G708" s="131">
        <v>186282967</v>
      </c>
      <c r="H708" s="168">
        <v>32077</v>
      </c>
      <c r="I708" s="229" t="s">
        <v>2476</v>
      </c>
      <c r="J708" s="230"/>
    </row>
    <row r="709" spans="1:10" s="7" customFormat="1" ht="15.6" x14ac:dyDescent="0.3">
      <c r="A709" s="36"/>
      <c r="B709" s="36"/>
      <c r="C709" s="36" t="s">
        <v>2481</v>
      </c>
      <c r="D709" s="36">
        <v>1144620173</v>
      </c>
      <c r="E709" s="230">
        <v>81144620173</v>
      </c>
      <c r="F709" s="230" t="s">
        <v>2482</v>
      </c>
      <c r="G709" s="36">
        <v>205946382</v>
      </c>
      <c r="H709" s="36"/>
      <c r="I709" s="230"/>
      <c r="J709" s="230"/>
    </row>
    <row r="710" spans="1:10" s="7" customFormat="1" ht="15.6" x14ac:dyDescent="0.3">
      <c r="A710" s="35"/>
      <c r="B710" s="35"/>
      <c r="C710" s="35" t="s">
        <v>2483</v>
      </c>
      <c r="D710" s="35">
        <v>81264592807</v>
      </c>
      <c r="E710" s="204">
        <v>1264592807</v>
      </c>
      <c r="F710" s="238" t="s">
        <v>2484</v>
      </c>
      <c r="G710" s="131">
        <v>186282967</v>
      </c>
      <c r="H710" s="168">
        <v>34622</v>
      </c>
      <c r="I710" s="229" t="s">
        <v>2485</v>
      </c>
      <c r="J710" s="230"/>
    </row>
    <row r="711" spans="1:10" s="7" customFormat="1" ht="15.6" x14ac:dyDescent="0.3">
      <c r="A711" s="35"/>
      <c r="B711" s="35"/>
      <c r="C711" s="35" t="s">
        <v>2486</v>
      </c>
      <c r="D711" s="35" t="s">
        <v>2487</v>
      </c>
      <c r="E711" s="204">
        <v>1055231894</v>
      </c>
      <c r="F711" s="238" t="s">
        <v>2488</v>
      </c>
      <c r="G711" s="131">
        <v>186282967</v>
      </c>
      <c r="H711" s="168">
        <v>34501</v>
      </c>
      <c r="I711" s="229" t="s">
        <v>2485</v>
      </c>
      <c r="J711" s="230"/>
    </row>
    <row r="712" spans="1:10" s="7" customFormat="1" ht="15.6" x14ac:dyDescent="0.3">
      <c r="A712" s="35"/>
      <c r="B712" s="35"/>
      <c r="C712" s="35" t="s">
        <v>2489</v>
      </c>
      <c r="D712" s="35" t="s">
        <v>2490</v>
      </c>
      <c r="E712" s="204">
        <v>1338365650</v>
      </c>
      <c r="F712" s="238" t="s">
        <v>2491</v>
      </c>
      <c r="G712" s="131">
        <v>186282967</v>
      </c>
      <c r="H712" s="168">
        <v>33486</v>
      </c>
      <c r="I712" s="229" t="s">
        <v>2485</v>
      </c>
      <c r="J712" s="230"/>
    </row>
    <row r="713" spans="1:10" s="7" customFormat="1" ht="15.6" x14ac:dyDescent="0.3">
      <c r="A713" s="35"/>
      <c r="B713" s="203"/>
      <c r="C713" s="35" t="s">
        <v>2492</v>
      </c>
      <c r="D713" s="35" t="s">
        <v>2493</v>
      </c>
      <c r="E713" s="204">
        <v>1394346572</v>
      </c>
      <c r="F713" s="238" t="s">
        <v>2494</v>
      </c>
      <c r="G713" s="131">
        <v>186282967</v>
      </c>
      <c r="H713" s="168">
        <v>32089</v>
      </c>
      <c r="I713" s="229" t="s">
        <v>2485</v>
      </c>
      <c r="J713" s="230"/>
    </row>
    <row r="714" spans="1:10" s="7" customFormat="1" ht="15.6" x14ac:dyDescent="0.3">
      <c r="A714" s="35"/>
      <c r="B714" s="35"/>
      <c r="C714" s="35" t="s">
        <v>2495</v>
      </c>
      <c r="D714" s="35" t="s">
        <v>2496</v>
      </c>
      <c r="E714" s="204">
        <v>1340564015</v>
      </c>
      <c r="F714" s="238" t="s">
        <v>2246</v>
      </c>
      <c r="G714" s="131">
        <v>186282967</v>
      </c>
      <c r="H714" s="168">
        <v>32000</v>
      </c>
      <c r="I714" s="229"/>
      <c r="J714" s="230"/>
    </row>
    <row r="715" spans="1:10" s="7" customFormat="1" ht="15.6" x14ac:dyDescent="0.3">
      <c r="A715" s="36"/>
      <c r="B715" s="36"/>
      <c r="C715" s="36" t="s">
        <v>2497</v>
      </c>
      <c r="D715" s="36">
        <v>81095633052</v>
      </c>
      <c r="E715" s="230">
        <v>1095633052</v>
      </c>
      <c r="F715" s="230" t="s">
        <v>2498</v>
      </c>
      <c r="G715" s="36">
        <v>182521791</v>
      </c>
      <c r="H715" s="45"/>
      <c r="I715" s="230"/>
      <c r="J715" s="230"/>
    </row>
    <row r="716" spans="1:10" s="7" customFormat="1" ht="15.6" x14ac:dyDescent="0.3">
      <c r="A716" s="35"/>
      <c r="B716" s="35"/>
      <c r="C716" s="35" t="s">
        <v>2499</v>
      </c>
      <c r="D716" s="43" t="s">
        <v>2500</v>
      </c>
      <c r="E716" s="204">
        <v>1006192249</v>
      </c>
      <c r="F716" s="238" t="s">
        <v>2501</v>
      </c>
      <c r="G716" s="131">
        <v>186282967</v>
      </c>
      <c r="H716" s="168"/>
      <c r="I716" s="229" t="s">
        <v>2502</v>
      </c>
      <c r="J716" s="230"/>
    </row>
    <row r="717" spans="1:10" s="7" customFormat="1" ht="15.6" x14ac:dyDescent="0.3">
      <c r="A717" s="35"/>
      <c r="B717" s="35"/>
      <c r="C717" s="35" t="s">
        <v>2503</v>
      </c>
      <c r="D717" s="281">
        <v>80474325073</v>
      </c>
      <c r="E717" s="232">
        <v>474325073</v>
      </c>
      <c r="F717" s="238" t="s">
        <v>2504</v>
      </c>
      <c r="G717" s="131">
        <v>186282967</v>
      </c>
      <c r="H717" s="168">
        <v>19957</v>
      </c>
      <c r="I717" s="229"/>
      <c r="J717" s="230"/>
    </row>
    <row r="718" spans="1:10" s="7" customFormat="1" ht="15.6" x14ac:dyDescent="0.3">
      <c r="A718" s="35"/>
      <c r="B718" s="35"/>
      <c r="C718" s="35" t="s">
        <v>2505</v>
      </c>
      <c r="D718" s="280">
        <v>281146055037</v>
      </c>
      <c r="E718" s="204">
        <v>1146055037</v>
      </c>
      <c r="F718" s="238" t="s">
        <v>2506</v>
      </c>
      <c r="G718" s="131">
        <v>186282967</v>
      </c>
      <c r="H718" s="168">
        <v>31114</v>
      </c>
      <c r="I718" s="229" t="s">
        <v>2507</v>
      </c>
      <c r="J718" s="230"/>
    </row>
    <row r="719" spans="1:10" s="7" customFormat="1" ht="15.6" x14ac:dyDescent="0.3">
      <c r="A719" s="35"/>
      <c r="B719" s="35"/>
      <c r="C719" s="35" t="s">
        <v>2508</v>
      </c>
      <c r="D719" s="280">
        <v>171017041985</v>
      </c>
      <c r="E719" s="204">
        <v>1017041985</v>
      </c>
      <c r="F719" s="238" t="s">
        <v>2509</v>
      </c>
      <c r="G719" s="131">
        <v>186282967</v>
      </c>
      <c r="H719" s="168">
        <v>43578</v>
      </c>
      <c r="I719" s="229" t="s">
        <v>2507</v>
      </c>
      <c r="J719" s="230"/>
    </row>
    <row r="720" spans="1:10" s="7" customFormat="1" ht="15.6" x14ac:dyDescent="0.3">
      <c r="A720" s="36"/>
      <c r="B720" s="36"/>
      <c r="C720" s="36" t="s">
        <v>2510</v>
      </c>
      <c r="D720" s="280">
        <v>151069366750</v>
      </c>
      <c r="E720" s="230">
        <v>1069366750</v>
      </c>
      <c r="F720" s="238" t="s">
        <v>2511</v>
      </c>
      <c r="G720" s="131">
        <v>186282967</v>
      </c>
      <c r="H720" s="45"/>
      <c r="I720" s="230"/>
      <c r="J720" s="230"/>
    </row>
    <row r="721" spans="3:11" s="7" customFormat="1" ht="15.6" x14ac:dyDescent="0.3">
      <c r="C721" s="36" t="s">
        <v>2512</v>
      </c>
      <c r="D721" s="280">
        <v>81063090764</v>
      </c>
      <c r="E721" s="230">
        <v>1063090764</v>
      </c>
      <c r="F721" s="238" t="s">
        <v>2513</v>
      </c>
      <c r="G721" s="131"/>
      <c r="H721" s="45"/>
      <c r="I721" s="230" t="s">
        <v>2514</v>
      </c>
      <c r="J721" s="230"/>
      <c r="K721" s="36"/>
    </row>
    <row r="722" spans="3:11" s="7" customFormat="1" ht="15.6" x14ac:dyDescent="0.3">
      <c r="C722" s="36" t="s">
        <v>2515</v>
      </c>
      <c r="D722" s="36">
        <v>81277854929</v>
      </c>
      <c r="E722" s="230">
        <v>1277854929</v>
      </c>
      <c r="F722" s="230" t="s">
        <v>2516</v>
      </c>
      <c r="G722" s="36">
        <v>186282967</v>
      </c>
      <c r="H722" s="45">
        <v>31473</v>
      </c>
      <c r="I722" s="230" t="s">
        <v>2502</v>
      </c>
      <c r="J722" s="230"/>
      <c r="K722" s="36"/>
    </row>
    <row r="723" spans="3:11" s="7" customFormat="1" ht="15.6" x14ac:dyDescent="0.3">
      <c r="C723" s="36" t="s">
        <v>2517</v>
      </c>
      <c r="D723" s="36">
        <v>81379832544</v>
      </c>
      <c r="E723" s="230">
        <v>1379832544</v>
      </c>
      <c r="F723" s="230" t="s">
        <v>2518</v>
      </c>
      <c r="G723" s="36">
        <v>186282967</v>
      </c>
      <c r="H723" s="45">
        <v>33676</v>
      </c>
      <c r="I723" s="230" t="s">
        <v>2502</v>
      </c>
      <c r="J723" s="230"/>
      <c r="K723" s="36"/>
    </row>
    <row r="724" spans="3:11" s="7" customFormat="1" ht="15.6" x14ac:dyDescent="0.3">
      <c r="C724" s="36" t="s">
        <v>2519</v>
      </c>
      <c r="D724" s="36">
        <v>411004644480</v>
      </c>
      <c r="E724" s="230">
        <v>1004644480</v>
      </c>
      <c r="F724" s="230" t="s">
        <v>2520</v>
      </c>
      <c r="G724" s="36">
        <v>186282967</v>
      </c>
      <c r="H724" s="45">
        <v>27717</v>
      </c>
      <c r="I724" s="230"/>
      <c r="J724" s="230"/>
      <c r="K724" s="36"/>
    </row>
    <row r="725" spans="3:11" s="7" customFormat="1" ht="15.6" x14ac:dyDescent="0.3">
      <c r="C725" s="36" t="s">
        <v>2521</v>
      </c>
      <c r="D725" s="36">
        <v>71039911016</v>
      </c>
      <c r="E725" s="230">
        <v>1039911016</v>
      </c>
      <c r="F725" s="230" t="s">
        <v>2522</v>
      </c>
      <c r="G725" s="36">
        <v>186282967</v>
      </c>
      <c r="H725" s="45"/>
      <c r="I725" s="230"/>
      <c r="J725" s="230"/>
      <c r="K725" s="36"/>
    </row>
    <row r="726" spans="3:11" s="7" customFormat="1" ht="15.6" x14ac:dyDescent="0.3">
      <c r="C726" s="36" t="s">
        <v>2523</v>
      </c>
      <c r="D726" s="171" t="s">
        <v>2524</v>
      </c>
      <c r="E726" s="263" t="s">
        <v>2525</v>
      </c>
      <c r="F726" s="230" t="s">
        <v>2526</v>
      </c>
      <c r="G726" s="36">
        <v>186282967</v>
      </c>
      <c r="H726" s="172" t="s">
        <v>2527</v>
      </c>
      <c r="I726" s="231">
        <v>3</v>
      </c>
      <c r="J726" s="176">
        <v>6000327</v>
      </c>
      <c r="K726" s="28" t="s">
        <v>26</v>
      </c>
    </row>
    <row r="727" spans="3:11" s="7" customFormat="1" ht="15.6" x14ac:dyDescent="0.3">
      <c r="C727" s="36" t="s">
        <v>2528</v>
      </c>
      <c r="D727" s="36">
        <v>81195363705</v>
      </c>
      <c r="E727" s="230">
        <v>1195363705</v>
      </c>
      <c r="F727" s="230" t="s">
        <v>455</v>
      </c>
      <c r="G727" s="36">
        <v>186282967</v>
      </c>
      <c r="H727" s="45">
        <v>28456</v>
      </c>
      <c r="I727" s="230"/>
      <c r="J727" s="230"/>
      <c r="K727" s="36"/>
    </row>
    <row r="728" spans="3:11" s="7" customFormat="1" ht="15.6" x14ac:dyDescent="0.3">
      <c r="C728" s="36" t="s">
        <v>2529</v>
      </c>
      <c r="D728" s="36">
        <v>81019118947</v>
      </c>
      <c r="E728" s="230">
        <v>1019118947</v>
      </c>
      <c r="F728" s="230" t="s">
        <v>2530</v>
      </c>
      <c r="G728" s="36">
        <v>186282967</v>
      </c>
      <c r="H728" s="45">
        <v>27249</v>
      </c>
      <c r="I728" s="230"/>
      <c r="J728" s="230"/>
      <c r="K728" s="36"/>
    </row>
    <row r="729" spans="3:11" s="7" customFormat="1" ht="15.6" x14ac:dyDescent="0.3">
      <c r="C729" s="36" t="s">
        <v>2531</v>
      </c>
      <c r="D729" s="171" t="s">
        <v>2532</v>
      </c>
      <c r="E729" s="230">
        <v>1316789113</v>
      </c>
      <c r="F729" s="230" t="s">
        <v>2533</v>
      </c>
      <c r="G729" s="36">
        <v>186282967</v>
      </c>
      <c r="H729" s="45">
        <v>35833</v>
      </c>
      <c r="I729" s="230" t="s">
        <v>2534</v>
      </c>
      <c r="J729" s="230"/>
      <c r="K729" s="36"/>
    </row>
    <row r="730" spans="3:11" s="7" customFormat="1" ht="15.6" x14ac:dyDescent="0.3">
      <c r="C730" s="36" t="s">
        <v>2535</v>
      </c>
      <c r="D730" s="171" t="s">
        <v>2536</v>
      </c>
      <c r="E730" s="230">
        <v>1352748730</v>
      </c>
      <c r="F730" s="230" t="s">
        <v>2537</v>
      </c>
      <c r="G730" s="36">
        <v>186282967</v>
      </c>
      <c r="H730" s="45">
        <v>36019</v>
      </c>
      <c r="I730" s="230" t="s">
        <v>2534</v>
      </c>
      <c r="J730" s="230"/>
      <c r="K730" s="36"/>
    </row>
    <row r="731" spans="3:11" s="7" customFormat="1" ht="15.6" x14ac:dyDescent="0.3">
      <c r="C731" s="36" t="s">
        <v>2538</v>
      </c>
      <c r="D731" s="36">
        <v>170060344741</v>
      </c>
      <c r="E731" s="263" t="s">
        <v>2539</v>
      </c>
      <c r="F731" s="230" t="s">
        <v>2540</v>
      </c>
      <c r="G731" s="36">
        <v>186282967</v>
      </c>
      <c r="H731" s="45">
        <v>35972</v>
      </c>
      <c r="I731" s="230" t="s">
        <v>2534</v>
      </c>
      <c r="J731" s="230"/>
      <c r="K731" s="36"/>
    </row>
    <row r="732" spans="3:11" s="7" customFormat="1" ht="15.6" x14ac:dyDescent="0.3">
      <c r="C732" s="36" t="s">
        <v>2541</v>
      </c>
      <c r="D732" s="36">
        <v>431034668170</v>
      </c>
      <c r="E732" s="230">
        <v>1034668170</v>
      </c>
      <c r="F732" s="230" t="s">
        <v>2542</v>
      </c>
      <c r="G732" s="36">
        <v>186282967</v>
      </c>
      <c r="H732" s="45">
        <v>35788</v>
      </c>
      <c r="I732" s="230" t="s">
        <v>2534</v>
      </c>
      <c r="J732" s="230"/>
      <c r="K732" s="36"/>
    </row>
    <row r="733" spans="3:11" s="7" customFormat="1" ht="15.6" x14ac:dyDescent="0.3">
      <c r="C733" s="36" t="s">
        <v>2543</v>
      </c>
      <c r="D733" s="171" t="s">
        <v>2544</v>
      </c>
      <c r="E733" s="230">
        <v>1290651855</v>
      </c>
      <c r="F733" s="230" t="s">
        <v>2545</v>
      </c>
      <c r="G733" s="36">
        <v>186282967</v>
      </c>
      <c r="H733" s="45">
        <v>36113</v>
      </c>
      <c r="I733" s="230" t="s">
        <v>2534</v>
      </c>
      <c r="J733" s="230"/>
      <c r="K733" s="36"/>
    </row>
    <row r="734" spans="3:11" s="7" customFormat="1" ht="15.6" x14ac:dyDescent="0.3">
      <c r="C734" s="36" t="s">
        <v>2546</v>
      </c>
      <c r="D734" s="36">
        <v>171035986691</v>
      </c>
      <c r="E734" s="230">
        <v>1035986691</v>
      </c>
      <c r="F734" s="230" t="s">
        <v>2547</v>
      </c>
      <c r="G734" s="36">
        <v>186282967</v>
      </c>
      <c r="H734" s="45">
        <v>35353</v>
      </c>
      <c r="I734" s="230" t="s">
        <v>2534</v>
      </c>
      <c r="J734" s="230"/>
      <c r="K734" s="36"/>
    </row>
    <row r="735" spans="3:11" s="7" customFormat="1" ht="15.6" x14ac:dyDescent="0.3">
      <c r="C735" s="36" t="s">
        <v>2548</v>
      </c>
      <c r="D735" s="171" t="s">
        <v>2549</v>
      </c>
      <c r="E735" s="230">
        <v>1017971723</v>
      </c>
      <c r="F735" s="230" t="s">
        <v>2550</v>
      </c>
      <c r="G735" s="36">
        <v>186282967</v>
      </c>
      <c r="H735" s="45">
        <v>31855</v>
      </c>
      <c r="I735" s="230" t="s">
        <v>2551</v>
      </c>
      <c r="J735" s="230"/>
      <c r="K735" s="36"/>
    </row>
    <row r="736" spans="3:11" s="7" customFormat="1" ht="15.6" x14ac:dyDescent="0.3">
      <c r="C736" s="36" t="s">
        <v>2552</v>
      </c>
      <c r="D736" s="36">
        <v>81286315248</v>
      </c>
      <c r="E736" s="230">
        <v>1286315248</v>
      </c>
      <c r="F736" s="230" t="s">
        <v>2553</v>
      </c>
      <c r="G736" s="36">
        <v>186282967</v>
      </c>
      <c r="H736" s="45">
        <v>31748</v>
      </c>
      <c r="I736" s="230" t="s">
        <v>2551</v>
      </c>
      <c r="J736" s="230"/>
      <c r="K736" s="36"/>
    </row>
    <row r="737" spans="1:169" s="7" customFormat="1" ht="15.6" x14ac:dyDescent="0.3">
      <c r="A737" s="36"/>
      <c r="B737" s="36"/>
      <c r="C737" s="36" t="s">
        <v>2554</v>
      </c>
      <c r="D737" s="171" t="s">
        <v>2555</v>
      </c>
      <c r="E737" s="230">
        <v>1016429880</v>
      </c>
      <c r="F737" s="230" t="s">
        <v>2556</v>
      </c>
      <c r="G737" s="36">
        <v>186282967</v>
      </c>
      <c r="H737" s="45">
        <v>28599</v>
      </c>
      <c r="I737" s="230" t="s">
        <v>2551</v>
      </c>
      <c r="J737" s="230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/>
      <c r="BZ737" s="36"/>
      <c r="CA737" s="36"/>
      <c r="CB737" s="36"/>
      <c r="CC737" s="36"/>
      <c r="CD737" s="36"/>
      <c r="CE737" s="36"/>
      <c r="CF737" s="36"/>
      <c r="CG737" s="36"/>
      <c r="CH737" s="36"/>
      <c r="CI737" s="36"/>
      <c r="CJ737" s="36"/>
      <c r="CK737" s="36"/>
      <c r="CL737" s="36"/>
      <c r="CM737" s="36"/>
      <c r="CN737" s="36"/>
      <c r="CO737" s="36"/>
      <c r="CP737" s="36"/>
      <c r="CQ737" s="36"/>
      <c r="CR737" s="36"/>
      <c r="CS737" s="36"/>
      <c r="CT737" s="36"/>
      <c r="CU737" s="36"/>
      <c r="CV737" s="36"/>
      <c r="CW737" s="36"/>
      <c r="CX737" s="36"/>
      <c r="CY737" s="36"/>
      <c r="CZ737" s="36"/>
      <c r="DA737" s="36"/>
      <c r="DB737" s="36"/>
      <c r="DC737" s="36"/>
      <c r="DD737" s="36"/>
      <c r="DE737" s="36"/>
      <c r="DF737" s="36"/>
      <c r="DG737" s="36"/>
      <c r="DH737" s="36"/>
      <c r="DI737" s="36"/>
      <c r="DJ737" s="36"/>
      <c r="DK737" s="36"/>
      <c r="DL737" s="36"/>
      <c r="DM737" s="36"/>
      <c r="DN737" s="36"/>
      <c r="DO737" s="36"/>
      <c r="DP737" s="36"/>
      <c r="DQ737" s="36"/>
      <c r="DR737" s="36"/>
      <c r="DS737" s="36"/>
      <c r="DT737" s="36"/>
      <c r="DU737" s="36"/>
      <c r="DV737" s="36"/>
      <c r="DW737" s="36"/>
      <c r="DX737" s="36"/>
      <c r="DY737" s="36"/>
      <c r="DZ737" s="36"/>
      <c r="EA737" s="36"/>
      <c r="EB737" s="36"/>
      <c r="EC737" s="36"/>
      <c r="ED737" s="36"/>
      <c r="EE737" s="36"/>
      <c r="EF737" s="36"/>
      <c r="EG737" s="36"/>
      <c r="EH737" s="36"/>
      <c r="EI737" s="36"/>
      <c r="EJ737" s="36"/>
      <c r="EK737" s="36"/>
      <c r="EL737" s="36"/>
      <c r="EM737" s="36"/>
      <c r="EN737" s="36"/>
      <c r="EO737" s="36"/>
      <c r="EP737" s="36"/>
      <c r="EQ737" s="36"/>
      <c r="ER737" s="36"/>
      <c r="ES737" s="36"/>
      <c r="ET737" s="36"/>
      <c r="EU737" s="36"/>
      <c r="EV737" s="36"/>
      <c r="EW737" s="36"/>
      <c r="EX737" s="36"/>
      <c r="EY737" s="36"/>
      <c r="EZ737" s="36"/>
      <c r="FA737" s="36"/>
      <c r="FB737" s="36"/>
      <c r="FC737" s="36"/>
      <c r="FD737" s="36"/>
      <c r="FE737" s="36"/>
      <c r="FF737" s="36"/>
      <c r="FG737" s="36"/>
      <c r="FH737" s="36"/>
      <c r="FI737" s="36"/>
      <c r="FJ737" s="36"/>
      <c r="FK737" s="36"/>
      <c r="FL737" s="36"/>
      <c r="FM737" s="36"/>
    </row>
    <row r="738" spans="1:169" s="7" customFormat="1" ht="15.6" x14ac:dyDescent="0.3">
      <c r="A738" s="36"/>
      <c r="B738" s="36"/>
      <c r="C738" s="36" t="s">
        <v>2557</v>
      </c>
      <c r="D738" s="281">
        <v>270040790131</v>
      </c>
      <c r="E738" s="263" t="s">
        <v>2558</v>
      </c>
      <c r="F738" s="230" t="s">
        <v>2559</v>
      </c>
      <c r="G738" s="36">
        <v>186282967</v>
      </c>
      <c r="H738" s="188">
        <v>21612</v>
      </c>
      <c r="I738" s="230" t="s">
        <v>2560</v>
      </c>
      <c r="J738" s="230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36"/>
      <c r="BV738" s="36"/>
      <c r="BW738" s="36"/>
      <c r="BX738" s="36"/>
      <c r="BY738" s="36"/>
      <c r="BZ738" s="36"/>
      <c r="CA738" s="36"/>
      <c r="CB738" s="36"/>
      <c r="CC738" s="36"/>
      <c r="CD738" s="36"/>
      <c r="CE738" s="36"/>
      <c r="CF738" s="36"/>
      <c r="CG738" s="36"/>
      <c r="CH738" s="36"/>
      <c r="CI738" s="36"/>
      <c r="CJ738" s="36"/>
      <c r="CK738" s="36"/>
      <c r="CL738" s="36"/>
      <c r="CM738" s="36"/>
      <c r="CN738" s="36"/>
      <c r="CO738" s="36"/>
      <c r="CP738" s="36"/>
      <c r="CQ738" s="36"/>
      <c r="CR738" s="36"/>
      <c r="CS738" s="36"/>
      <c r="CT738" s="36"/>
      <c r="CU738" s="36"/>
      <c r="CV738" s="36"/>
      <c r="CW738" s="36"/>
      <c r="CX738" s="36"/>
      <c r="CY738" s="36"/>
      <c r="CZ738" s="36"/>
      <c r="DA738" s="36"/>
      <c r="DB738" s="36"/>
      <c r="DC738" s="36"/>
      <c r="DD738" s="36"/>
      <c r="DE738" s="36"/>
      <c r="DF738" s="36"/>
      <c r="DG738" s="36"/>
      <c r="DH738" s="36"/>
      <c r="DI738" s="36"/>
      <c r="DJ738" s="36"/>
      <c r="DK738" s="36"/>
      <c r="DL738" s="36"/>
      <c r="DM738" s="36"/>
      <c r="DN738" s="36"/>
      <c r="DO738" s="36"/>
      <c r="DP738" s="36"/>
      <c r="DQ738" s="36"/>
      <c r="DR738" s="36"/>
      <c r="DS738" s="36"/>
      <c r="DT738" s="36"/>
      <c r="DU738" s="36"/>
      <c r="DV738" s="36"/>
      <c r="DW738" s="36"/>
      <c r="DX738" s="36"/>
      <c r="DY738" s="36"/>
      <c r="DZ738" s="36"/>
      <c r="EA738" s="36"/>
      <c r="EB738" s="36"/>
      <c r="EC738" s="36"/>
      <c r="ED738" s="36"/>
      <c r="EE738" s="36"/>
      <c r="EF738" s="36"/>
      <c r="EG738" s="36"/>
      <c r="EH738" s="36"/>
      <c r="EI738" s="36"/>
      <c r="EJ738" s="36"/>
      <c r="EK738" s="36"/>
      <c r="EL738" s="36"/>
      <c r="EM738" s="36"/>
      <c r="EN738" s="36"/>
      <c r="EO738" s="36"/>
      <c r="EP738" s="36"/>
      <c r="EQ738" s="36"/>
      <c r="ER738" s="36"/>
      <c r="ES738" s="36"/>
      <c r="ET738" s="36"/>
      <c r="EU738" s="36"/>
      <c r="EV738" s="36"/>
      <c r="EW738" s="36"/>
      <c r="EX738" s="36"/>
      <c r="EY738" s="36"/>
      <c r="EZ738" s="36"/>
      <c r="FA738" s="36"/>
      <c r="FB738" s="36"/>
      <c r="FC738" s="36"/>
      <c r="FD738" s="36"/>
      <c r="FE738" s="36"/>
      <c r="FF738" s="36"/>
      <c r="FG738" s="36"/>
      <c r="FH738" s="36"/>
      <c r="FI738" s="36"/>
      <c r="FJ738" s="36"/>
      <c r="FK738" s="36"/>
      <c r="FL738" s="36"/>
      <c r="FM738" s="36"/>
    </row>
    <row r="739" spans="1:169" s="7" customFormat="1" ht="15.6" x14ac:dyDescent="0.3">
      <c r="A739" s="36"/>
      <c r="B739" s="36"/>
      <c r="C739" s="36" t="s">
        <v>2561</v>
      </c>
      <c r="D739" s="36">
        <v>271015645829</v>
      </c>
      <c r="E739" s="230">
        <v>1015645829</v>
      </c>
      <c r="F739" s="230" t="s">
        <v>2562</v>
      </c>
      <c r="G739" s="36">
        <v>186282967</v>
      </c>
      <c r="H739" s="45"/>
      <c r="I739" s="230" t="s">
        <v>2563</v>
      </c>
      <c r="J739" s="230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36"/>
      <c r="BV739" s="36"/>
      <c r="BW739" s="36"/>
      <c r="BX739" s="36"/>
      <c r="BY739" s="36"/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CL739" s="36"/>
      <c r="CM739" s="36"/>
      <c r="CN739" s="36"/>
      <c r="CO739" s="36"/>
      <c r="CP739" s="36"/>
      <c r="CQ739" s="36"/>
      <c r="CR739" s="36"/>
      <c r="CS739" s="36"/>
      <c r="CT739" s="36"/>
      <c r="CU739" s="36"/>
      <c r="CV739" s="36"/>
      <c r="CW739" s="36"/>
      <c r="CX739" s="36"/>
      <c r="CY739" s="36"/>
      <c r="CZ739" s="36"/>
      <c r="DA739" s="36"/>
      <c r="DB739" s="36"/>
      <c r="DC739" s="36"/>
      <c r="DD739" s="36"/>
      <c r="DE739" s="36"/>
      <c r="DF739" s="36"/>
      <c r="DG739" s="36"/>
      <c r="DH739" s="36"/>
      <c r="DI739" s="36"/>
      <c r="DJ739" s="36"/>
      <c r="DK739" s="36"/>
      <c r="DL739" s="36"/>
      <c r="DM739" s="36"/>
      <c r="DN739" s="36"/>
      <c r="DO739" s="36"/>
      <c r="DP739" s="36"/>
      <c r="DQ739" s="36"/>
      <c r="DR739" s="36"/>
      <c r="DS739" s="36"/>
      <c r="DT739" s="36"/>
      <c r="DU739" s="36"/>
      <c r="DV739" s="36"/>
      <c r="DW739" s="36"/>
      <c r="DX739" s="36"/>
      <c r="DY739" s="36"/>
      <c r="DZ739" s="36"/>
      <c r="EA739" s="36"/>
      <c r="EB739" s="36"/>
      <c r="EC739" s="36"/>
      <c r="ED739" s="36"/>
      <c r="EE739" s="36"/>
      <c r="EF739" s="36"/>
      <c r="EG739" s="36"/>
      <c r="EH739" s="36"/>
      <c r="EI739" s="36"/>
      <c r="EJ739" s="36"/>
      <c r="EK739" s="36"/>
      <c r="EL739" s="36"/>
      <c r="EM739" s="36"/>
      <c r="EN739" s="36"/>
      <c r="EO739" s="36"/>
      <c r="EP739" s="36"/>
      <c r="EQ739" s="36"/>
      <c r="ER739" s="36"/>
      <c r="ES739" s="36"/>
      <c r="ET739" s="36"/>
      <c r="EU739" s="36"/>
      <c r="EV739" s="36"/>
      <c r="EW739" s="36"/>
      <c r="EX739" s="36"/>
      <c r="EY739" s="36"/>
      <c r="EZ739" s="36"/>
      <c r="FA739" s="36"/>
      <c r="FB739" s="36"/>
      <c r="FC739" s="36"/>
      <c r="FD739" s="36"/>
      <c r="FE739" s="36"/>
      <c r="FF739" s="36"/>
      <c r="FG739" s="36"/>
      <c r="FH739" s="36"/>
      <c r="FI739" s="36"/>
      <c r="FJ739" s="36"/>
      <c r="FK739" s="36"/>
      <c r="FL739" s="36"/>
      <c r="FM739" s="36"/>
    </row>
    <row r="740" spans="1:169" s="13" customFormat="1" ht="15.6" x14ac:dyDescent="0.3">
      <c r="A740" s="28"/>
      <c r="B740" s="28"/>
      <c r="C740" s="28" t="s">
        <v>2564</v>
      </c>
      <c r="D740" s="165" t="s">
        <v>2565</v>
      </c>
      <c r="E740" s="176">
        <v>1005367804</v>
      </c>
      <c r="F740" s="176" t="s">
        <v>2566</v>
      </c>
      <c r="G740" s="36">
        <v>186282967</v>
      </c>
      <c r="H740" s="188">
        <v>28902</v>
      </c>
      <c r="I740" s="176" t="s">
        <v>2567</v>
      </c>
      <c r="J740" s="176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</row>
    <row r="741" spans="1:169" s="7" customFormat="1" ht="15.6" x14ac:dyDescent="0.3">
      <c r="A741" s="27"/>
      <c r="B741" s="27"/>
      <c r="C741" s="27" t="s">
        <v>2568</v>
      </c>
      <c r="D741" s="282">
        <v>81280892847</v>
      </c>
      <c r="E741" s="206">
        <v>1280892847</v>
      </c>
      <c r="F741" s="206" t="s">
        <v>2569</v>
      </c>
      <c r="G741" s="27">
        <v>186282967</v>
      </c>
      <c r="H741" s="205">
        <v>31092</v>
      </c>
      <c r="I741" s="232" t="s">
        <v>2560</v>
      </c>
      <c r="J741" s="232"/>
      <c r="K741" s="35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</row>
    <row r="742" spans="1:169" s="7" customFormat="1" ht="15.6" x14ac:dyDescent="0.3">
      <c r="A742" s="27"/>
      <c r="B742" s="27"/>
      <c r="C742" s="27" t="s">
        <v>2570</v>
      </c>
      <c r="D742" s="283" t="s">
        <v>442</v>
      </c>
      <c r="E742" s="206">
        <v>1280923664</v>
      </c>
      <c r="F742" s="206" t="s">
        <v>443</v>
      </c>
      <c r="G742" s="27">
        <v>186282967</v>
      </c>
      <c r="H742" s="205">
        <v>35823</v>
      </c>
      <c r="I742" s="232" t="s">
        <v>2534</v>
      </c>
      <c r="J742" s="232"/>
      <c r="K742" s="35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</row>
    <row r="743" spans="1:169" s="7" customFormat="1" ht="15.6" x14ac:dyDescent="0.3">
      <c r="A743" s="35"/>
      <c r="B743" s="35"/>
      <c r="C743" s="35" t="s">
        <v>2571</v>
      </c>
      <c r="D743" s="35">
        <v>251005367804</v>
      </c>
      <c r="E743" s="232">
        <v>1005367804</v>
      </c>
      <c r="F743" s="232" t="s">
        <v>2566</v>
      </c>
      <c r="G743" s="27">
        <v>186282967</v>
      </c>
      <c r="H743" s="168">
        <v>28902</v>
      </c>
      <c r="I743" s="232" t="s">
        <v>2572</v>
      </c>
      <c r="J743" s="232"/>
      <c r="K743" s="35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</row>
    <row r="744" spans="1:169" s="7" customFormat="1" ht="15.6" x14ac:dyDescent="0.3">
      <c r="A744" s="35"/>
      <c r="B744" s="35"/>
      <c r="C744" s="35" t="s">
        <v>2573</v>
      </c>
      <c r="D744" s="35">
        <v>201038052541</v>
      </c>
      <c r="E744" s="232">
        <v>1038052541</v>
      </c>
      <c r="F744" s="232" t="s">
        <v>2574</v>
      </c>
      <c r="G744" s="27">
        <v>186282967</v>
      </c>
      <c r="H744" s="168">
        <v>31205</v>
      </c>
      <c r="I744" s="232" t="s">
        <v>2560</v>
      </c>
      <c r="J744" s="232"/>
      <c r="K744" s="35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</row>
    <row r="745" spans="1:169" s="7" customFormat="1" ht="15.6" x14ac:dyDescent="0.3">
      <c r="A745" s="27"/>
      <c r="B745" s="27"/>
      <c r="C745" s="27" t="s">
        <v>2575</v>
      </c>
      <c r="D745" s="282">
        <v>201024904896</v>
      </c>
      <c r="E745" s="206">
        <v>1024904896</v>
      </c>
      <c r="F745" s="206" t="s">
        <v>2576</v>
      </c>
      <c r="G745" s="27">
        <v>186282967</v>
      </c>
      <c r="H745" s="205">
        <v>33711</v>
      </c>
      <c r="I745" s="232" t="s">
        <v>2577</v>
      </c>
      <c r="J745" s="232"/>
      <c r="K745" s="35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</row>
    <row r="746" spans="1:169" s="7" customFormat="1" ht="15.6" x14ac:dyDescent="0.3">
      <c r="A746" s="27"/>
      <c r="B746" s="27"/>
      <c r="C746" s="27" t="s">
        <v>2578</v>
      </c>
      <c r="D746" s="282">
        <v>81092202787</v>
      </c>
      <c r="E746" s="206">
        <v>1092202787</v>
      </c>
      <c r="F746" s="206" t="s">
        <v>2579</v>
      </c>
      <c r="G746" s="27">
        <v>186282967</v>
      </c>
      <c r="H746" s="205"/>
      <c r="I746" s="232" t="s">
        <v>2502</v>
      </c>
      <c r="J746" s="232"/>
      <c r="K746" s="35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</row>
    <row r="747" spans="1:169" s="13" customFormat="1" ht="15.6" x14ac:dyDescent="0.3">
      <c r="A747" s="36"/>
      <c r="B747" s="36"/>
      <c r="C747" s="36"/>
      <c r="D747" s="36">
        <v>281337049047</v>
      </c>
      <c r="E747" s="230">
        <v>1337049047</v>
      </c>
      <c r="F747" s="230" t="s">
        <v>2580</v>
      </c>
      <c r="G747" s="36">
        <v>182521791</v>
      </c>
      <c r="H747" s="28"/>
      <c r="I747" s="176"/>
      <c r="J747" s="176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</row>
    <row r="748" spans="1:169" s="7" customFormat="1" ht="15.6" x14ac:dyDescent="0.3">
      <c r="A748" s="27"/>
      <c r="B748" s="27"/>
      <c r="C748" s="27" t="s">
        <v>2581</v>
      </c>
      <c r="D748" s="282">
        <v>81137055486</v>
      </c>
      <c r="E748" s="206">
        <v>1137055486</v>
      </c>
      <c r="F748" s="206" t="s">
        <v>2582</v>
      </c>
      <c r="G748" s="27">
        <v>186282967</v>
      </c>
      <c r="H748" s="205">
        <v>27681</v>
      </c>
      <c r="I748" s="232"/>
      <c r="J748" s="232"/>
      <c r="K748" s="35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</row>
    <row r="749" spans="1:169" s="13" customFormat="1" x14ac:dyDescent="0.3">
      <c r="A749" s="28"/>
      <c r="B749" s="28"/>
      <c r="C749" s="27" t="s">
        <v>2583</v>
      </c>
      <c r="D749" s="28">
        <v>81066364112</v>
      </c>
      <c r="E749" s="176">
        <v>1066364112</v>
      </c>
      <c r="F749" s="206" t="s">
        <v>461</v>
      </c>
      <c r="G749" s="28"/>
      <c r="H749" s="28"/>
      <c r="I749" s="176"/>
      <c r="J749" s="176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</row>
    <row r="750" spans="1:169" s="13" customFormat="1" x14ac:dyDescent="0.3">
      <c r="A750" s="28"/>
      <c r="B750" s="28"/>
      <c r="C750" s="28" t="s">
        <v>509</v>
      </c>
      <c r="D750" s="284">
        <v>171059099872</v>
      </c>
      <c r="E750" s="176">
        <v>1059099872</v>
      </c>
      <c r="F750" s="254" t="s">
        <v>510</v>
      </c>
      <c r="G750" s="27">
        <v>186282967</v>
      </c>
      <c r="H750" s="28"/>
      <c r="I750" s="176"/>
      <c r="J750" s="176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</row>
    <row r="751" spans="1:169" s="13" customFormat="1" x14ac:dyDescent="0.3">
      <c r="A751" s="28"/>
      <c r="B751" s="28"/>
      <c r="C751" s="28" t="s">
        <v>2584</v>
      </c>
      <c r="D751" s="165" t="s">
        <v>2585</v>
      </c>
      <c r="E751" s="176">
        <v>1394756602</v>
      </c>
      <c r="F751" s="176" t="s">
        <v>2586</v>
      </c>
      <c r="G751" s="28"/>
      <c r="H751" s="28"/>
      <c r="I751" s="176"/>
      <c r="J751" s="176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</row>
    <row r="752" spans="1:169" s="13" customFormat="1" x14ac:dyDescent="0.3">
      <c r="A752" s="28"/>
      <c r="B752" s="28"/>
      <c r="C752" s="28" t="s">
        <v>2587</v>
      </c>
      <c r="D752" s="285" t="s">
        <v>2588</v>
      </c>
      <c r="E752" s="176">
        <v>1107139142</v>
      </c>
      <c r="F752" s="255" t="s">
        <v>2589</v>
      </c>
      <c r="G752" s="27">
        <v>186282967</v>
      </c>
      <c r="H752" s="28"/>
      <c r="I752" s="176"/>
      <c r="J752" s="176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</row>
    <row r="753" spans="1:10" s="13" customFormat="1" x14ac:dyDescent="0.3">
      <c r="A753" s="28"/>
      <c r="B753" s="28"/>
      <c r="C753" s="28" t="s">
        <v>2590</v>
      </c>
      <c r="D753" s="165" t="s">
        <v>2591</v>
      </c>
      <c r="E753" s="176">
        <v>1014437858</v>
      </c>
      <c r="F753" s="176" t="s">
        <v>2592</v>
      </c>
      <c r="G753" s="27">
        <v>186282967</v>
      </c>
      <c r="H753" s="28"/>
      <c r="I753" s="176"/>
      <c r="J753" s="176"/>
    </row>
    <row r="754" spans="1:10" s="13" customFormat="1" x14ac:dyDescent="0.3">
      <c r="A754" s="28"/>
      <c r="B754" s="28"/>
      <c r="C754" s="28" t="s">
        <v>2593</v>
      </c>
      <c r="D754" s="165" t="s">
        <v>2594</v>
      </c>
      <c r="E754" s="176">
        <v>1040553674</v>
      </c>
      <c r="F754" s="176" t="s">
        <v>2595</v>
      </c>
      <c r="G754" s="28">
        <v>186282967</v>
      </c>
      <c r="H754" s="28"/>
      <c r="I754" s="176"/>
      <c r="J754" s="176"/>
    </row>
    <row r="755" spans="1:10" s="13" customFormat="1" x14ac:dyDescent="0.3">
      <c r="A755" s="28"/>
      <c r="B755" s="28"/>
      <c r="C755" s="28" t="s">
        <v>2596</v>
      </c>
      <c r="D755" s="165" t="s">
        <v>2597</v>
      </c>
      <c r="E755" s="176">
        <v>1204675196</v>
      </c>
      <c r="F755" s="176" t="s">
        <v>2598</v>
      </c>
      <c r="G755" s="28">
        <v>186282967</v>
      </c>
      <c r="H755" s="28"/>
      <c r="I755" s="176"/>
      <c r="J755" s="176"/>
    </row>
    <row r="756" spans="1:10" s="13" customFormat="1" x14ac:dyDescent="0.3">
      <c r="A756" s="28"/>
      <c r="B756" s="28"/>
      <c r="C756" s="28" t="s">
        <v>2599</v>
      </c>
      <c r="D756" s="165" t="s">
        <v>2600</v>
      </c>
      <c r="E756" s="176">
        <v>1215370660</v>
      </c>
      <c r="F756" s="176" t="s">
        <v>2601</v>
      </c>
      <c r="G756" s="28">
        <v>186282967</v>
      </c>
      <c r="H756" s="28"/>
      <c r="I756" s="176"/>
      <c r="J756" s="176"/>
    </row>
    <row r="757" spans="1:10" s="13" customFormat="1" x14ac:dyDescent="0.3">
      <c r="A757" s="28"/>
      <c r="B757" s="28"/>
      <c r="C757" s="28" t="s">
        <v>2602</v>
      </c>
      <c r="D757" s="165" t="s">
        <v>2603</v>
      </c>
      <c r="E757" s="176">
        <v>1076617618</v>
      </c>
      <c r="F757" s="176" t="s">
        <v>2604</v>
      </c>
      <c r="G757" s="28">
        <v>186282967</v>
      </c>
      <c r="H757" s="28"/>
      <c r="I757" s="176"/>
      <c r="J757" s="176"/>
    </row>
    <row r="758" spans="1:10" s="13" customFormat="1" x14ac:dyDescent="0.3">
      <c r="A758" s="28"/>
      <c r="B758" s="28"/>
      <c r="C758" s="28" t="s">
        <v>2605</v>
      </c>
      <c r="D758" s="165" t="s">
        <v>2606</v>
      </c>
      <c r="E758" s="176">
        <v>1419760875</v>
      </c>
      <c r="F758" s="176" t="s">
        <v>2607</v>
      </c>
      <c r="G758" s="28">
        <v>186282967</v>
      </c>
      <c r="H758" s="28"/>
      <c r="I758" s="176"/>
      <c r="J758" s="176"/>
    </row>
    <row r="759" spans="1:10" s="13" customFormat="1" ht="15.6" x14ac:dyDescent="0.3">
      <c r="A759" s="28"/>
      <c r="B759" s="28"/>
      <c r="C759" s="28" t="s">
        <v>2608</v>
      </c>
      <c r="D759" s="286">
        <v>251028023061</v>
      </c>
      <c r="E759" s="256">
        <v>1028023061</v>
      </c>
      <c r="F759" s="256" t="s">
        <v>2609</v>
      </c>
      <c r="G759" s="36">
        <v>182521791</v>
      </c>
      <c r="H759" s="28"/>
      <c r="I759" s="176"/>
      <c r="J759" s="176"/>
    </row>
    <row r="760" spans="1:10" s="13" customFormat="1" x14ac:dyDescent="0.3">
      <c r="A760" s="28"/>
      <c r="B760" s="28"/>
      <c r="C760" s="28" t="s">
        <v>2610</v>
      </c>
      <c r="D760" s="286" t="s">
        <v>2611</v>
      </c>
      <c r="E760" s="256">
        <v>1183145240</v>
      </c>
      <c r="F760" s="256" t="s">
        <v>2612</v>
      </c>
      <c r="G760" s="28">
        <v>186282967</v>
      </c>
      <c r="H760" s="28"/>
      <c r="I760" s="176"/>
      <c r="J760" s="176"/>
    </row>
    <row r="761" spans="1:10" s="13" customFormat="1" x14ac:dyDescent="0.3">
      <c r="A761" s="28"/>
      <c r="B761" s="28"/>
      <c r="C761" s="28" t="s">
        <v>2613</v>
      </c>
      <c r="D761" s="286" t="s">
        <v>2614</v>
      </c>
      <c r="E761" s="256">
        <v>1238884975</v>
      </c>
      <c r="F761" s="256" t="s">
        <v>2615</v>
      </c>
      <c r="G761" s="28">
        <v>186282967</v>
      </c>
      <c r="H761" s="28"/>
      <c r="I761" s="176"/>
      <c r="J761" s="176"/>
    </row>
    <row r="762" spans="1:10" s="13" customFormat="1" x14ac:dyDescent="0.3">
      <c r="A762" s="28"/>
      <c r="B762" s="28"/>
      <c r="C762" s="28" t="s">
        <v>2616</v>
      </c>
      <c r="D762" s="286" t="s">
        <v>2617</v>
      </c>
      <c r="E762" s="256">
        <v>1216231031</v>
      </c>
      <c r="F762" s="256" t="s">
        <v>2618</v>
      </c>
      <c r="G762" s="28">
        <v>186282967</v>
      </c>
      <c r="H762" s="28"/>
      <c r="I762" s="176"/>
      <c r="J762" s="176"/>
    </row>
    <row r="763" spans="1:10" s="13" customFormat="1" x14ac:dyDescent="0.3">
      <c r="A763" s="28"/>
      <c r="B763" s="28"/>
      <c r="C763" s="28" t="s">
        <v>2619</v>
      </c>
      <c r="D763" s="286" t="s">
        <v>2620</v>
      </c>
      <c r="E763" s="256">
        <v>1276422056</v>
      </c>
      <c r="F763" s="256" t="s">
        <v>2621</v>
      </c>
      <c r="G763" s="28">
        <v>186282967</v>
      </c>
      <c r="H763" s="28"/>
      <c r="I763" s="176"/>
      <c r="J763" s="176"/>
    </row>
    <row r="764" spans="1:10" s="13" customFormat="1" x14ac:dyDescent="0.3">
      <c r="A764" s="28"/>
      <c r="B764" s="28"/>
      <c r="C764" s="28" t="s">
        <v>2622</v>
      </c>
      <c r="D764" s="286" t="s">
        <v>2623</v>
      </c>
      <c r="E764" s="176">
        <v>1208802649</v>
      </c>
      <c r="F764" s="176" t="s">
        <v>2624</v>
      </c>
      <c r="G764" s="28">
        <v>186282967</v>
      </c>
      <c r="H764" s="28"/>
      <c r="I764" s="176"/>
      <c r="J764" s="176"/>
    </row>
    <row r="765" spans="1:10" s="13" customFormat="1" x14ac:dyDescent="0.3">
      <c r="A765" s="28"/>
      <c r="B765" s="28"/>
      <c r="C765" s="28" t="s">
        <v>2625</v>
      </c>
      <c r="D765" s="165" t="s">
        <v>2626</v>
      </c>
      <c r="E765" s="176">
        <v>1184433320</v>
      </c>
      <c r="F765" s="176" t="s">
        <v>2627</v>
      </c>
      <c r="G765" s="28">
        <v>186282967</v>
      </c>
      <c r="H765" s="28"/>
      <c r="I765" s="176"/>
      <c r="J765" s="176"/>
    </row>
    <row r="766" spans="1:10" s="13" customFormat="1" x14ac:dyDescent="0.3">
      <c r="A766" s="28"/>
      <c r="B766" s="28"/>
      <c r="C766" s="28" t="s">
        <v>2628</v>
      </c>
      <c r="D766" s="165" t="s">
        <v>2629</v>
      </c>
      <c r="E766" s="176">
        <v>1015972021</v>
      </c>
      <c r="F766" s="176" t="s">
        <v>2630</v>
      </c>
      <c r="G766" s="28">
        <v>186282967</v>
      </c>
      <c r="H766" s="28"/>
      <c r="I766" s="176"/>
      <c r="J766" s="176"/>
    </row>
    <row r="767" spans="1:10" s="13" customFormat="1" x14ac:dyDescent="0.3">
      <c r="A767" s="28"/>
      <c r="B767" s="28"/>
      <c r="C767" s="28" t="s">
        <v>2631</v>
      </c>
      <c r="D767" s="165" t="s">
        <v>2632</v>
      </c>
      <c r="E767" s="176">
        <v>1246001240</v>
      </c>
      <c r="F767" s="176" t="s">
        <v>2633</v>
      </c>
      <c r="G767" s="28">
        <v>186282967</v>
      </c>
      <c r="H767" s="28"/>
      <c r="I767" s="176"/>
      <c r="J767" s="176"/>
    </row>
    <row r="768" spans="1:10" s="13" customFormat="1" ht="15.6" x14ac:dyDescent="0.3">
      <c r="A768" s="28"/>
      <c r="B768" s="28"/>
      <c r="C768" s="28" t="s">
        <v>2634</v>
      </c>
      <c r="D768" s="165" t="s">
        <v>2635</v>
      </c>
      <c r="E768" s="176">
        <v>1090340993</v>
      </c>
      <c r="F768" s="176" t="s">
        <v>2636</v>
      </c>
      <c r="G768" s="36">
        <v>182521791</v>
      </c>
      <c r="H768" s="28"/>
      <c r="I768" s="176"/>
      <c r="J768" s="176"/>
    </row>
    <row r="769" spans="1:11" s="13" customFormat="1" x14ac:dyDescent="0.3">
      <c r="A769" s="28"/>
      <c r="B769" s="28"/>
      <c r="C769" s="28" t="s">
        <v>2637</v>
      </c>
      <c r="D769" s="165" t="s">
        <v>2638</v>
      </c>
      <c r="E769" s="176">
        <v>1217323592</v>
      </c>
      <c r="F769" s="176" t="s">
        <v>2639</v>
      </c>
      <c r="G769" s="28">
        <v>186282967</v>
      </c>
      <c r="H769" s="28"/>
      <c r="I769" s="176">
        <v>3</v>
      </c>
      <c r="J769" s="176">
        <v>6000327</v>
      </c>
      <c r="K769" s="28" t="s">
        <v>26</v>
      </c>
    </row>
    <row r="770" spans="1:11" x14ac:dyDescent="0.3">
      <c r="A770" s="29"/>
      <c r="B770" s="29"/>
      <c r="C770" s="29" t="s">
        <v>2640</v>
      </c>
      <c r="D770" s="288" t="s">
        <v>2641</v>
      </c>
      <c r="E770" s="220">
        <v>1034009154</v>
      </c>
      <c r="F770" s="220" t="s">
        <v>2642</v>
      </c>
      <c r="G770" s="29">
        <v>186282967</v>
      </c>
      <c r="H770" s="29"/>
      <c r="I770" s="295">
        <v>3</v>
      </c>
      <c r="J770" s="220">
        <v>6000327</v>
      </c>
      <c r="K770" s="29" t="s">
        <v>26</v>
      </c>
    </row>
    <row r="771" spans="1:11" s="13" customFormat="1" x14ac:dyDescent="0.3">
      <c r="A771" s="28"/>
      <c r="B771" s="28"/>
      <c r="C771" s="28" t="s">
        <v>2643</v>
      </c>
      <c r="D771" s="165" t="s">
        <v>2644</v>
      </c>
      <c r="E771" s="176">
        <v>1217108071</v>
      </c>
      <c r="F771" s="176" t="s">
        <v>2645</v>
      </c>
      <c r="G771" s="28">
        <v>186282967</v>
      </c>
      <c r="H771" s="28"/>
      <c r="I771" s="231">
        <v>3</v>
      </c>
      <c r="J771" s="176">
        <v>6000327</v>
      </c>
      <c r="K771" s="28" t="s">
        <v>26</v>
      </c>
    </row>
    <row r="772" spans="1:11" s="13" customFormat="1" x14ac:dyDescent="0.3">
      <c r="A772" s="28"/>
      <c r="B772" s="28"/>
      <c r="C772" s="28" t="s">
        <v>2646</v>
      </c>
      <c r="D772" s="165" t="s">
        <v>2647</v>
      </c>
      <c r="E772" s="231" t="s">
        <v>2648</v>
      </c>
      <c r="F772" s="176" t="s">
        <v>2649</v>
      </c>
      <c r="G772" s="28">
        <v>186282967</v>
      </c>
      <c r="H772" s="28"/>
      <c r="I772" s="176">
        <v>3</v>
      </c>
      <c r="J772" s="176">
        <v>6000317</v>
      </c>
      <c r="K772" s="28" t="s">
        <v>2650</v>
      </c>
    </row>
    <row r="773" spans="1:11" s="13" customFormat="1" x14ac:dyDescent="0.3">
      <c r="A773" s="28"/>
      <c r="B773" s="28"/>
      <c r="C773" s="28" t="s">
        <v>2651</v>
      </c>
      <c r="D773" s="165" t="s">
        <v>2652</v>
      </c>
      <c r="E773" s="176">
        <v>1141249780</v>
      </c>
      <c r="F773" s="176" t="s">
        <v>2653</v>
      </c>
      <c r="G773" s="28">
        <v>186282967</v>
      </c>
      <c r="H773" s="28"/>
      <c r="I773" s="176"/>
      <c r="J773" s="176"/>
      <c r="K773" s="28"/>
    </row>
    <row r="774" spans="1:11" s="13" customFormat="1" x14ac:dyDescent="0.3">
      <c r="A774" s="28"/>
      <c r="B774" s="28"/>
      <c r="C774" s="28" t="s">
        <v>2654</v>
      </c>
      <c r="D774" s="165" t="s">
        <v>2655</v>
      </c>
      <c r="E774" s="176">
        <v>1094866634</v>
      </c>
      <c r="F774" s="176" t="s">
        <v>2656</v>
      </c>
      <c r="G774" s="28">
        <v>186282967</v>
      </c>
      <c r="H774" s="28"/>
      <c r="I774" s="176"/>
      <c r="J774" s="176"/>
      <c r="K774" s="28"/>
    </row>
    <row r="775" spans="1:11" s="13" customFormat="1" x14ac:dyDescent="0.3">
      <c r="A775" s="28"/>
      <c r="B775" s="28"/>
      <c r="C775" s="28" t="s">
        <v>2657</v>
      </c>
      <c r="D775" s="165" t="s">
        <v>2658</v>
      </c>
      <c r="E775" s="176">
        <v>1004320740</v>
      </c>
      <c r="F775" s="176" t="s">
        <v>2659</v>
      </c>
      <c r="G775" s="28">
        <v>186282967</v>
      </c>
      <c r="H775" s="28"/>
      <c r="I775" s="176"/>
      <c r="J775" s="176"/>
      <c r="K775" s="28"/>
    </row>
    <row r="776" spans="1:11" s="13" customFormat="1" x14ac:dyDescent="0.3">
      <c r="A776" s="28"/>
      <c r="B776" s="28"/>
      <c r="C776" s="28" t="s">
        <v>2660</v>
      </c>
      <c r="D776" s="165" t="s">
        <v>2661</v>
      </c>
      <c r="E776" s="176">
        <v>1004509635</v>
      </c>
      <c r="F776" s="176" t="s">
        <v>2662</v>
      </c>
      <c r="G776" s="28">
        <v>186282967</v>
      </c>
      <c r="H776" s="28"/>
      <c r="I776" s="176"/>
      <c r="J776" s="176"/>
      <c r="K776" s="28"/>
    </row>
    <row r="777" spans="1:11" s="13" customFormat="1" x14ac:dyDescent="0.3">
      <c r="A777" s="28"/>
      <c r="B777" s="28"/>
      <c r="C777" s="28" t="s">
        <v>2663</v>
      </c>
      <c r="D777" s="165" t="s">
        <v>2664</v>
      </c>
      <c r="E777" s="176">
        <v>1026275719</v>
      </c>
      <c r="F777" s="176" t="s">
        <v>2665</v>
      </c>
      <c r="G777" s="28">
        <v>186282967</v>
      </c>
      <c r="H777" s="28"/>
      <c r="I777" s="176"/>
      <c r="J777" s="176"/>
      <c r="K777" s="28"/>
    </row>
    <row r="778" spans="1:11" s="13" customFormat="1" x14ac:dyDescent="0.3">
      <c r="A778" s="28"/>
      <c r="B778" s="28"/>
      <c r="C778" s="28" t="s">
        <v>647</v>
      </c>
      <c r="D778" s="165" t="s">
        <v>648</v>
      </c>
      <c r="E778" s="176">
        <v>1206320329</v>
      </c>
      <c r="F778" s="176" t="s">
        <v>649</v>
      </c>
      <c r="G778" s="28">
        <v>186282967</v>
      </c>
      <c r="H778" s="28"/>
      <c r="I778" s="176"/>
      <c r="J778" s="176"/>
      <c r="K778" s="28"/>
    </row>
    <row r="779" spans="1:11" s="13" customFormat="1" x14ac:dyDescent="0.3">
      <c r="A779" s="28"/>
      <c r="B779" s="28"/>
      <c r="C779" s="28" t="s">
        <v>1701</v>
      </c>
      <c r="D779" s="165" t="s">
        <v>2666</v>
      </c>
      <c r="E779" s="176">
        <v>1097832564</v>
      </c>
      <c r="F779" s="255" t="s">
        <v>1703</v>
      </c>
      <c r="G779" s="28">
        <v>186282967</v>
      </c>
      <c r="H779" s="28"/>
      <c r="I779" s="176"/>
      <c r="J779" s="176"/>
      <c r="K779" s="28"/>
    </row>
    <row r="780" spans="1:11" s="13" customFormat="1" x14ac:dyDescent="0.3">
      <c r="A780" s="28"/>
      <c r="B780" s="28"/>
      <c r="C780" s="28" t="s">
        <v>2667</v>
      </c>
      <c r="D780" s="165" t="s">
        <v>2655</v>
      </c>
      <c r="E780" s="176">
        <v>1094866634</v>
      </c>
      <c r="F780" s="176" t="s">
        <v>2656</v>
      </c>
      <c r="G780" s="28">
        <v>186282967</v>
      </c>
      <c r="H780" s="28"/>
      <c r="I780" s="176"/>
      <c r="J780" s="176"/>
      <c r="K780" s="28"/>
    </row>
    <row r="781" spans="1:11" s="13" customFormat="1" ht="15.6" x14ac:dyDescent="0.3">
      <c r="A781" s="36"/>
      <c r="B781" s="36"/>
      <c r="C781" s="28" t="s">
        <v>2668</v>
      </c>
      <c r="D781" s="287" t="s">
        <v>2669</v>
      </c>
      <c r="E781" s="176">
        <v>1398237989</v>
      </c>
      <c r="F781" s="176" t="s">
        <v>2670</v>
      </c>
      <c r="G781" s="206">
        <v>182521791</v>
      </c>
      <c r="H781" s="207">
        <v>32177</v>
      </c>
      <c r="I781" s="230"/>
      <c r="J781" s="230"/>
      <c r="K781" s="28"/>
    </row>
    <row r="782" spans="1:11" s="13" customFormat="1" x14ac:dyDescent="0.3">
      <c r="A782" s="28"/>
      <c r="B782" s="28"/>
      <c r="C782" s="28" t="s">
        <v>2671</v>
      </c>
      <c r="D782" s="165" t="s">
        <v>2672</v>
      </c>
      <c r="E782" s="176">
        <v>1285794680</v>
      </c>
      <c r="F782" s="176" t="s">
        <v>2673</v>
      </c>
      <c r="G782" s="28">
        <v>186282967</v>
      </c>
      <c r="H782" s="208">
        <v>34416</v>
      </c>
      <c r="I782" s="176"/>
      <c r="J782" s="176"/>
      <c r="K782" s="28"/>
    </row>
    <row r="783" spans="1:11" s="13" customFormat="1" x14ac:dyDescent="0.3">
      <c r="A783" s="28"/>
      <c r="B783" s="28"/>
      <c r="C783" s="27" t="s">
        <v>2674</v>
      </c>
      <c r="D783" s="165" t="s">
        <v>2675</v>
      </c>
      <c r="E783" s="176" t="s">
        <v>2676</v>
      </c>
      <c r="F783" s="176" t="s">
        <v>2677</v>
      </c>
      <c r="G783" s="28">
        <v>186282967</v>
      </c>
      <c r="H783" s="28"/>
      <c r="I783" s="176">
        <v>3</v>
      </c>
      <c r="J783" s="176">
        <v>6000326</v>
      </c>
      <c r="K783" s="28" t="s">
        <v>78</v>
      </c>
    </row>
    <row r="784" spans="1:11" s="13" customFormat="1" ht="15.6" x14ac:dyDescent="0.3">
      <c r="A784" s="28"/>
      <c r="B784" s="28"/>
      <c r="C784" s="28" t="s">
        <v>1348</v>
      </c>
      <c r="D784" s="165" t="s">
        <v>2678</v>
      </c>
      <c r="E784" s="176" t="s">
        <v>1349</v>
      </c>
      <c r="F784" s="176" t="s">
        <v>1350</v>
      </c>
      <c r="G784" s="28">
        <v>186282967</v>
      </c>
      <c r="H784" s="177">
        <v>35074</v>
      </c>
      <c r="I784" s="230">
        <v>6000327</v>
      </c>
      <c r="J784" s="230" t="s">
        <v>26</v>
      </c>
      <c r="K784" s="28"/>
    </row>
    <row r="785" spans="3:11" s="13" customFormat="1" ht="15" customHeight="1" x14ac:dyDescent="0.3">
      <c r="C785" s="28" t="s">
        <v>2679</v>
      </c>
      <c r="D785" s="165" t="s">
        <v>2680</v>
      </c>
      <c r="E785" s="176">
        <v>1025932627</v>
      </c>
      <c r="F785" s="176" t="s">
        <v>2681</v>
      </c>
      <c r="G785" s="28">
        <v>186282967</v>
      </c>
      <c r="H785" s="178">
        <v>36184</v>
      </c>
      <c r="I785" s="230">
        <v>6000327</v>
      </c>
      <c r="J785" s="230" t="s">
        <v>26</v>
      </c>
      <c r="K785" s="28"/>
    </row>
    <row r="786" spans="3:11" s="13" customFormat="1" x14ac:dyDescent="0.3">
      <c r="C786" s="28" t="s">
        <v>2682</v>
      </c>
      <c r="D786" s="165" t="s">
        <v>2683</v>
      </c>
      <c r="E786" s="176">
        <v>1334444494</v>
      </c>
      <c r="F786" s="176" t="s">
        <v>2684</v>
      </c>
      <c r="G786" s="28">
        <v>186282967</v>
      </c>
      <c r="H786" s="177">
        <v>33262</v>
      </c>
      <c r="I786" s="176"/>
      <c r="J786" s="176"/>
      <c r="K786" s="28"/>
    </row>
    <row r="787" spans="3:11" x14ac:dyDescent="0.3">
      <c r="C787" s="294" t="s">
        <v>2646</v>
      </c>
      <c r="D787" s="288" t="s">
        <v>2647</v>
      </c>
      <c r="E787" s="220" t="s">
        <v>2648</v>
      </c>
      <c r="F787" s="220" t="s">
        <v>2649</v>
      </c>
      <c r="G787" s="29">
        <v>186282967</v>
      </c>
      <c r="H787" s="29"/>
      <c r="I787" s="220"/>
      <c r="J787" s="220"/>
      <c r="K787" s="29"/>
    </row>
    <row r="788" spans="3:11" s="13" customFormat="1" x14ac:dyDescent="0.3">
      <c r="C788" s="47" t="s">
        <v>2640</v>
      </c>
      <c r="D788" s="165" t="s">
        <v>2641</v>
      </c>
      <c r="E788" s="176">
        <v>1034009154</v>
      </c>
      <c r="F788" s="176" t="s">
        <v>2642</v>
      </c>
      <c r="G788" s="28">
        <v>186282967</v>
      </c>
      <c r="H788" s="28"/>
      <c r="I788" s="176"/>
      <c r="J788" s="176"/>
      <c r="K788" s="28"/>
    </row>
    <row r="789" spans="3:11" s="13" customFormat="1" x14ac:dyDescent="0.3">
      <c r="C789" s="47" t="s">
        <v>2637</v>
      </c>
      <c r="D789" s="165" t="s">
        <v>2638</v>
      </c>
      <c r="E789" s="176">
        <v>1217323592</v>
      </c>
      <c r="F789" s="176" t="s">
        <v>2639</v>
      </c>
      <c r="G789" s="28">
        <v>186282967</v>
      </c>
      <c r="H789" s="28"/>
      <c r="I789" s="176"/>
      <c r="J789" s="176"/>
      <c r="K789" s="28"/>
    </row>
    <row r="790" spans="3:11" s="13" customFormat="1" ht="15.6" x14ac:dyDescent="0.3">
      <c r="C790" s="35" t="s">
        <v>2643</v>
      </c>
      <c r="D790" s="165" t="s">
        <v>2644</v>
      </c>
      <c r="E790" s="176">
        <v>1217108071</v>
      </c>
      <c r="F790" s="176" t="s">
        <v>2645</v>
      </c>
      <c r="G790" s="28">
        <v>186282967</v>
      </c>
      <c r="H790" s="28"/>
      <c r="I790" s="176"/>
      <c r="J790" s="176"/>
      <c r="K790" s="28"/>
    </row>
    <row r="791" spans="3:11" s="13" customFormat="1" x14ac:dyDescent="0.3">
      <c r="C791" s="28" t="s">
        <v>2685</v>
      </c>
      <c r="D791" s="165" t="s">
        <v>2686</v>
      </c>
      <c r="E791" s="176">
        <v>1120969637</v>
      </c>
      <c r="F791" s="176" t="s">
        <v>2687</v>
      </c>
      <c r="G791" s="28">
        <v>186282967</v>
      </c>
      <c r="H791" s="177">
        <v>32655</v>
      </c>
      <c r="I791" s="176"/>
      <c r="J791" s="176"/>
      <c r="K791" s="28"/>
    </row>
    <row r="792" spans="3:11" s="13" customFormat="1" x14ac:dyDescent="0.3">
      <c r="C792" s="28" t="s">
        <v>2688</v>
      </c>
      <c r="D792" s="165" t="s">
        <v>2689</v>
      </c>
      <c r="E792" s="176">
        <v>1404969890</v>
      </c>
      <c r="F792" s="176" t="s">
        <v>2690</v>
      </c>
      <c r="G792" s="28">
        <v>186282967</v>
      </c>
      <c r="H792" s="177">
        <v>35494</v>
      </c>
      <c r="I792" s="176"/>
      <c r="J792" s="176"/>
      <c r="K792" s="28"/>
    </row>
    <row r="793" spans="3:11" s="13" customFormat="1" x14ac:dyDescent="0.3">
      <c r="C793" s="28" t="s">
        <v>2691</v>
      </c>
      <c r="D793" s="165" t="s">
        <v>2692</v>
      </c>
      <c r="E793" s="176">
        <v>1049725935</v>
      </c>
      <c r="F793" s="176" t="s">
        <v>2693</v>
      </c>
      <c r="G793" s="28">
        <v>186282967</v>
      </c>
      <c r="H793" s="188">
        <v>37360</v>
      </c>
      <c r="I793" s="233">
        <v>3</v>
      </c>
      <c r="J793" s="233">
        <v>6000325</v>
      </c>
      <c r="K793" s="28" t="s">
        <v>2694</v>
      </c>
    </row>
    <row r="794" spans="3:11" s="13" customFormat="1" x14ac:dyDescent="0.3">
      <c r="C794" s="28" t="s">
        <v>2695</v>
      </c>
      <c r="D794" s="165" t="s">
        <v>2696</v>
      </c>
      <c r="E794" s="176">
        <v>1050313952</v>
      </c>
      <c r="F794" s="176" t="s">
        <v>2697</v>
      </c>
      <c r="G794" s="28">
        <v>186282967</v>
      </c>
      <c r="H794" s="28"/>
      <c r="I794" s="176"/>
      <c r="J794" s="176"/>
      <c r="K794" s="28"/>
    </row>
    <row r="795" spans="3:11" s="13" customFormat="1" x14ac:dyDescent="0.3">
      <c r="C795" s="28" t="s">
        <v>2698</v>
      </c>
      <c r="D795" s="165" t="s">
        <v>2699</v>
      </c>
      <c r="E795" s="176">
        <v>1087443945</v>
      </c>
      <c r="F795" s="176" t="s">
        <v>2700</v>
      </c>
      <c r="G795" s="28">
        <v>186282967</v>
      </c>
      <c r="H795" s="28"/>
      <c r="I795" s="176"/>
      <c r="J795" s="176"/>
      <c r="K795" s="28"/>
    </row>
    <row r="796" spans="3:11" s="13" customFormat="1" x14ac:dyDescent="0.3">
      <c r="C796" s="28" t="s">
        <v>2701</v>
      </c>
      <c r="D796" s="165" t="s">
        <v>2702</v>
      </c>
      <c r="E796" s="176">
        <v>1015027302</v>
      </c>
      <c r="F796" s="176" t="s">
        <v>2703</v>
      </c>
      <c r="G796" s="28">
        <v>186282967</v>
      </c>
      <c r="H796" s="188">
        <v>35807</v>
      </c>
      <c r="I796" s="233">
        <v>3</v>
      </c>
      <c r="J796" s="233">
        <v>6000325</v>
      </c>
      <c r="K796" s="28" t="s">
        <v>151</v>
      </c>
    </row>
    <row r="797" spans="3:11" s="13" customFormat="1" x14ac:dyDescent="0.3">
      <c r="C797" s="28" t="s">
        <v>2704</v>
      </c>
      <c r="D797" s="165" t="s">
        <v>2705</v>
      </c>
      <c r="E797" s="176">
        <v>1182440271</v>
      </c>
      <c r="F797" s="176" t="s">
        <v>2706</v>
      </c>
      <c r="G797" s="28">
        <v>186282967</v>
      </c>
      <c r="H797" s="28"/>
      <c r="I797" s="176"/>
      <c r="J797" s="176"/>
      <c r="K797" s="28"/>
    </row>
    <row r="798" spans="3:11" s="28" customFormat="1" x14ac:dyDescent="0.3">
      <c r="C798" s="28" t="s">
        <v>2707</v>
      </c>
      <c r="D798" s="165" t="s">
        <v>2708</v>
      </c>
      <c r="E798" s="176">
        <v>1155526482</v>
      </c>
      <c r="F798" s="176" t="s">
        <v>2709</v>
      </c>
      <c r="G798" s="28">
        <v>186282967</v>
      </c>
      <c r="H798" s="177">
        <v>32710</v>
      </c>
      <c r="I798" s="176"/>
      <c r="J798" s="239">
        <v>46658</v>
      </c>
    </row>
    <row r="799" spans="3:11" s="13" customFormat="1" x14ac:dyDescent="0.3">
      <c r="C799" s="28" t="s">
        <v>2710</v>
      </c>
      <c r="D799" s="165" t="s">
        <v>2711</v>
      </c>
      <c r="E799" s="176">
        <v>1226051067</v>
      </c>
      <c r="F799" s="176" t="s">
        <v>2712</v>
      </c>
      <c r="G799" s="28">
        <v>186282967</v>
      </c>
      <c r="H799" s="28"/>
      <c r="I799" s="176"/>
      <c r="J799" s="176"/>
      <c r="K799" s="28"/>
    </row>
    <row r="800" spans="3:11" s="13" customFormat="1" x14ac:dyDescent="0.3">
      <c r="C800" s="28" t="s">
        <v>2713</v>
      </c>
      <c r="D800" s="165" t="s">
        <v>2714</v>
      </c>
      <c r="E800" s="176">
        <v>1270996726</v>
      </c>
      <c r="F800" s="176" t="s">
        <v>2715</v>
      </c>
      <c r="G800" s="28">
        <v>186282967</v>
      </c>
      <c r="H800" s="28"/>
      <c r="I800" s="176"/>
      <c r="J800" s="176"/>
      <c r="K800" s="28"/>
    </row>
    <row r="801" spans="3:10" s="13" customFormat="1" x14ac:dyDescent="0.3">
      <c r="C801" s="28" t="s">
        <v>2716</v>
      </c>
      <c r="D801" s="165" t="s">
        <v>2717</v>
      </c>
      <c r="E801" s="176">
        <v>1026568648</v>
      </c>
      <c r="F801" s="176" t="s">
        <v>2718</v>
      </c>
      <c r="G801" s="28">
        <v>186282967</v>
      </c>
      <c r="H801" s="28"/>
      <c r="I801" s="176"/>
      <c r="J801" s="176"/>
    </row>
    <row r="802" spans="3:10" s="13" customFormat="1" x14ac:dyDescent="0.3">
      <c r="C802" s="28" t="s">
        <v>2719</v>
      </c>
      <c r="D802" s="165" t="s">
        <v>2720</v>
      </c>
      <c r="E802" s="176">
        <v>1201931110</v>
      </c>
      <c r="F802" s="176" t="s">
        <v>2721</v>
      </c>
      <c r="G802" s="28">
        <v>186282967</v>
      </c>
      <c r="H802" s="28"/>
      <c r="I802" s="176"/>
      <c r="J802" s="176"/>
    </row>
    <row r="803" spans="3:10" s="13" customFormat="1" x14ac:dyDescent="0.3">
      <c r="C803" s="28" t="s">
        <v>2722</v>
      </c>
      <c r="D803" s="165" t="s">
        <v>2723</v>
      </c>
      <c r="E803" s="176">
        <v>1189602006</v>
      </c>
      <c r="F803" s="176" t="s">
        <v>2724</v>
      </c>
      <c r="G803" s="166">
        <v>186282967</v>
      </c>
      <c r="H803" s="28"/>
      <c r="I803" s="176"/>
      <c r="J803" s="176"/>
    </row>
    <row r="804" spans="3:10" s="13" customFormat="1" x14ac:dyDescent="0.3">
      <c r="C804" s="28" t="s">
        <v>2725</v>
      </c>
      <c r="D804" s="165" t="s">
        <v>2726</v>
      </c>
      <c r="E804" s="176">
        <v>1114941682</v>
      </c>
      <c r="F804" s="176" t="s">
        <v>2727</v>
      </c>
      <c r="G804" s="166">
        <v>186282967</v>
      </c>
      <c r="H804" s="28"/>
      <c r="I804" s="176"/>
      <c r="J804" s="176"/>
    </row>
    <row r="805" spans="3:10" s="13" customFormat="1" x14ac:dyDescent="0.3">
      <c r="C805" s="28" t="s">
        <v>2728</v>
      </c>
      <c r="D805" s="165" t="s">
        <v>2729</v>
      </c>
      <c r="E805" s="176">
        <v>1113144556</v>
      </c>
      <c r="F805" s="176" t="s">
        <v>2730</v>
      </c>
      <c r="G805" s="166">
        <v>186282967</v>
      </c>
      <c r="H805" s="28"/>
      <c r="I805" s="176"/>
      <c r="J805" s="176"/>
    </row>
    <row r="806" spans="3:10" s="13" customFormat="1" x14ac:dyDescent="0.3">
      <c r="C806" s="28" t="s">
        <v>2731</v>
      </c>
      <c r="D806" s="165" t="s">
        <v>2732</v>
      </c>
      <c r="E806" s="176">
        <v>1162431902</v>
      </c>
      <c r="F806" s="176" t="s">
        <v>2733</v>
      </c>
      <c r="G806" s="166">
        <v>186282967</v>
      </c>
      <c r="H806" s="28"/>
      <c r="I806" s="176"/>
      <c r="J806" s="176"/>
    </row>
    <row r="807" spans="3:10" s="13" customFormat="1" x14ac:dyDescent="0.3">
      <c r="C807" s="28" t="s">
        <v>2734</v>
      </c>
      <c r="D807" s="165" t="s">
        <v>2735</v>
      </c>
      <c r="E807" s="176">
        <v>1000022475</v>
      </c>
      <c r="F807" s="176" t="s">
        <v>2736</v>
      </c>
      <c r="G807" s="166">
        <v>186282967</v>
      </c>
      <c r="H807" s="28"/>
      <c r="I807" s="176"/>
      <c r="J807" s="176"/>
    </row>
    <row r="808" spans="3:10" s="13" customFormat="1" x14ac:dyDescent="0.3">
      <c r="C808" s="28" t="s">
        <v>2737</v>
      </c>
      <c r="D808" s="165" t="s">
        <v>2738</v>
      </c>
      <c r="E808" s="176">
        <v>1009562393</v>
      </c>
      <c r="F808" s="176" t="s">
        <v>2739</v>
      </c>
      <c r="G808" s="166">
        <v>186282967</v>
      </c>
      <c r="H808" s="28"/>
      <c r="I808" s="176"/>
      <c r="J808" s="176"/>
    </row>
    <row r="809" spans="3:10" s="13" customFormat="1" x14ac:dyDescent="0.3">
      <c r="C809" s="28" t="s">
        <v>2740</v>
      </c>
      <c r="D809" s="165" t="s">
        <v>2741</v>
      </c>
      <c r="E809" s="176">
        <v>1166406070</v>
      </c>
      <c r="F809" s="176" t="s">
        <v>2742</v>
      </c>
      <c r="G809" s="166">
        <v>186282967</v>
      </c>
      <c r="H809" s="28"/>
      <c r="I809" s="176"/>
      <c r="J809" s="176"/>
    </row>
    <row r="810" spans="3:10" s="13" customFormat="1" x14ac:dyDescent="0.3">
      <c r="C810" s="28" t="s">
        <v>2743</v>
      </c>
      <c r="D810" s="165" t="s">
        <v>2744</v>
      </c>
      <c r="E810" s="176">
        <v>1246334878</v>
      </c>
      <c r="F810" s="176" t="s">
        <v>2745</v>
      </c>
      <c r="G810" s="166">
        <v>186282967</v>
      </c>
      <c r="H810" s="28"/>
      <c r="I810" s="176"/>
      <c r="J810" s="176"/>
    </row>
    <row r="811" spans="3:10" s="13" customFormat="1" x14ac:dyDescent="0.3">
      <c r="C811" s="28" t="s">
        <v>2746</v>
      </c>
      <c r="D811" s="165" t="s">
        <v>2747</v>
      </c>
      <c r="E811" s="176">
        <v>1246336494</v>
      </c>
      <c r="F811" s="176" t="s">
        <v>2748</v>
      </c>
      <c r="G811" s="166">
        <v>186282967</v>
      </c>
      <c r="H811" s="28"/>
      <c r="I811" s="176"/>
      <c r="J811" s="176"/>
    </row>
    <row r="812" spans="3:10" s="13" customFormat="1" x14ac:dyDescent="0.3">
      <c r="C812" s="28" t="s">
        <v>2749</v>
      </c>
      <c r="D812" s="165" t="s">
        <v>2750</v>
      </c>
      <c r="E812" s="176">
        <v>1075637521</v>
      </c>
      <c r="F812" s="176" t="s">
        <v>2751</v>
      </c>
      <c r="G812" s="166">
        <v>186282967</v>
      </c>
      <c r="H812" s="28"/>
      <c r="I812" s="176"/>
      <c r="J812" s="176"/>
    </row>
    <row r="813" spans="3:10" s="13" customFormat="1" x14ac:dyDescent="0.3">
      <c r="C813" s="28" t="s">
        <v>2752</v>
      </c>
      <c r="D813" s="165" t="s">
        <v>2753</v>
      </c>
      <c r="E813" s="176">
        <v>1147773784</v>
      </c>
      <c r="F813" s="176" t="s">
        <v>2754</v>
      </c>
      <c r="G813" s="166">
        <v>186282967</v>
      </c>
      <c r="H813" s="28"/>
      <c r="I813" s="176"/>
      <c r="J813" s="176"/>
    </row>
    <row r="814" spans="3:10" s="13" customFormat="1" x14ac:dyDescent="0.3">
      <c r="C814" s="28" t="s">
        <v>2755</v>
      </c>
      <c r="D814" s="165" t="s">
        <v>2756</v>
      </c>
      <c r="E814" s="176">
        <v>1442498281</v>
      </c>
      <c r="F814" s="176" t="s">
        <v>2757</v>
      </c>
      <c r="G814" s="166">
        <v>186282967</v>
      </c>
      <c r="H814" s="28"/>
      <c r="I814" s="176"/>
      <c r="J814" s="176"/>
    </row>
    <row r="815" spans="3:10" s="13" customFormat="1" x14ac:dyDescent="0.3">
      <c r="C815" s="28" t="s">
        <v>2758</v>
      </c>
      <c r="D815" s="165" t="s">
        <v>2759</v>
      </c>
      <c r="E815" s="176">
        <v>1427419835</v>
      </c>
      <c r="F815" s="176" t="s">
        <v>2760</v>
      </c>
      <c r="G815" s="166">
        <v>186282967</v>
      </c>
      <c r="H815" s="28"/>
      <c r="I815" s="176"/>
      <c r="J815" s="176"/>
    </row>
    <row r="816" spans="3:10" s="28" customFormat="1" x14ac:dyDescent="0.3">
      <c r="C816" s="28" t="s">
        <v>2761</v>
      </c>
      <c r="D816" s="285" t="s">
        <v>2762</v>
      </c>
      <c r="E816" s="176">
        <v>1377695615</v>
      </c>
      <c r="F816" s="255" t="s">
        <v>2763</v>
      </c>
      <c r="G816" s="166">
        <v>186282967</v>
      </c>
      <c r="I816" s="176"/>
      <c r="J816" s="176"/>
    </row>
    <row r="817" spans="3:11" s="28" customFormat="1" x14ac:dyDescent="0.3">
      <c r="C817" s="28" t="s">
        <v>2764</v>
      </c>
      <c r="D817" s="165" t="s">
        <v>2765</v>
      </c>
      <c r="E817" s="176">
        <v>1406867959</v>
      </c>
      <c r="F817" s="255" t="s">
        <v>2766</v>
      </c>
      <c r="G817" s="166">
        <v>186282967</v>
      </c>
      <c r="I817" s="176"/>
      <c r="J817" s="176"/>
    </row>
    <row r="818" spans="3:11" s="28" customFormat="1" x14ac:dyDescent="0.3">
      <c r="C818" s="28" t="s">
        <v>2767</v>
      </c>
      <c r="D818" s="165" t="s">
        <v>2768</v>
      </c>
      <c r="E818" s="176">
        <v>1455771925</v>
      </c>
      <c r="F818" s="176" t="s">
        <v>2769</v>
      </c>
      <c r="G818" s="166">
        <v>186282967</v>
      </c>
      <c r="I818" s="176"/>
      <c r="J818" s="176"/>
    </row>
    <row r="819" spans="3:11" s="13" customFormat="1" x14ac:dyDescent="0.3">
      <c r="C819" s="196" t="s">
        <v>2770</v>
      </c>
      <c r="D819" s="285" t="s">
        <v>2771</v>
      </c>
      <c r="E819" s="264">
        <v>1064042933</v>
      </c>
      <c r="F819" s="255" t="s">
        <v>2772</v>
      </c>
      <c r="G819" s="209">
        <v>186282967</v>
      </c>
      <c r="H819" s="28"/>
      <c r="I819" s="176"/>
      <c r="J819" s="176"/>
      <c r="K819" s="28"/>
    </row>
    <row r="820" spans="3:11" s="13" customFormat="1" x14ac:dyDescent="0.3">
      <c r="C820" s="28" t="s">
        <v>2773</v>
      </c>
      <c r="D820" s="165" t="s">
        <v>2774</v>
      </c>
      <c r="E820" s="176">
        <v>1033063662</v>
      </c>
      <c r="F820" s="176" t="s">
        <v>2775</v>
      </c>
      <c r="G820" s="166">
        <v>186282967</v>
      </c>
      <c r="H820" s="28"/>
      <c r="I820" s="176"/>
      <c r="J820" s="176"/>
      <c r="K820" s="28"/>
    </row>
    <row r="821" spans="3:11" s="13" customFormat="1" x14ac:dyDescent="0.3">
      <c r="C821" s="28" t="s">
        <v>2776</v>
      </c>
      <c r="D821" s="165" t="s">
        <v>2777</v>
      </c>
      <c r="E821" s="176">
        <v>1072534531</v>
      </c>
      <c r="F821" s="176" t="s">
        <v>2778</v>
      </c>
      <c r="G821" s="166">
        <v>186282967</v>
      </c>
      <c r="H821" s="28"/>
      <c r="I821" s="176"/>
      <c r="J821" s="176"/>
      <c r="K821" s="28"/>
    </row>
    <row r="822" spans="3:11" s="13" customFormat="1" x14ac:dyDescent="0.3">
      <c r="C822" s="28" t="s">
        <v>2779</v>
      </c>
      <c r="D822" s="285" t="s">
        <v>2780</v>
      </c>
      <c r="E822" s="176">
        <v>1030630053</v>
      </c>
      <c r="F822" s="255" t="s">
        <v>2781</v>
      </c>
      <c r="G822" s="166">
        <v>186282967</v>
      </c>
      <c r="H822" s="28"/>
      <c r="I822" s="176"/>
      <c r="J822" s="176"/>
      <c r="K822" s="28"/>
    </row>
    <row r="823" spans="3:11" s="13" customFormat="1" x14ac:dyDescent="0.3">
      <c r="C823" s="28" t="s">
        <v>2782</v>
      </c>
      <c r="D823" s="165" t="s">
        <v>2783</v>
      </c>
      <c r="E823" s="176">
        <v>1189285542</v>
      </c>
      <c r="F823" s="176" t="s">
        <v>2784</v>
      </c>
      <c r="G823" s="166">
        <v>186282967</v>
      </c>
      <c r="H823" s="28"/>
      <c r="I823" s="176"/>
      <c r="J823" s="176"/>
      <c r="K823" s="28"/>
    </row>
    <row r="824" spans="3:11" s="13" customFormat="1" x14ac:dyDescent="0.3">
      <c r="C824" s="28" t="s">
        <v>2785</v>
      </c>
      <c r="D824" s="285" t="s">
        <v>2786</v>
      </c>
      <c r="E824" s="176">
        <v>1024811152</v>
      </c>
      <c r="F824" s="255" t="s">
        <v>2787</v>
      </c>
      <c r="G824" s="166">
        <v>186282967</v>
      </c>
      <c r="H824" s="28"/>
      <c r="I824" s="176"/>
      <c r="J824" s="176"/>
      <c r="K824" s="28"/>
    </row>
    <row r="825" spans="3:11" s="13" customFormat="1" x14ac:dyDescent="0.3">
      <c r="C825" s="28" t="s">
        <v>2788</v>
      </c>
      <c r="D825" s="165" t="s">
        <v>2789</v>
      </c>
      <c r="E825" s="176">
        <v>1217099684</v>
      </c>
      <c r="F825" s="176" t="s">
        <v>2790</v>
      </c>
      <c r="G825" s="166">
        <v>186282967</v>
      </c>
      <c r="H825" s="28"/>
      <c r="I825" s="176">
        <v>3</v>
      </c>
      <c r="J825" s="176">
        <v>6000327</v>
      </c>
      <c r="K825" s="28"/>
    </row>
    <row r="826" spans="3:11" s="13" customFormat="1" x14ac:dyDescent="0.3">
      <c r="C826" s="28" t="s">
        <v>2791</v>
      </c>
      <c r="D826" s="165" t="s">
        <v>2792</v>
      </c>
      <c r="E826" s="176">
        <v>1136196937</v>
      </c>
      <c r="F826" s="176" t="s">
        <v>2793</v>
      </c>
      <c r="G826" s="166">
        <v>186282967</v>
      </c>
      <c r="H826" s="28"/>
      <c r="I826" s="176"/>
      <c r="J826" s="176"/>
      <c r="K826" s="28"/>
    </row>
    <row r="827" spans="3:11" s="13" customFormat="1" x14ac:dyDescent="0.3">
      <c r="C827" s="28" t="s">
        <v>2794</v>
      </c>
      <c r="D827" s="285" t="s">
        <v>2795</v>
      </c>
      <c r="E827" s="176">
        <v>1160369943</v>
      </c>
      <c r="F827" s="255" t="s">
        <v>2796</v>
      </c>
      <c r="G827" s="166">
        <v>186282967</v>
      </c>
      <c r="H827" s="28"/>
      <c r="I827" s="176"/>
      <c r="J827" s="176"/>
      <c r="K827" s="28"/>
    </row>
    <row r="828" spans="3:11" s="13" customFormat="1" x14ac:dyDescent="0.3">
      <c r="C828" s="28" t="s">
        <v>2797</v>
      </c>
      <c r="D828" s="165" t="s">
        <v>2798</v>
      </c>
      <c r="E828" s="176">
        <v>1312933260</v>
      </c>
      <c r="F828" s="176" t="s">
        <v>3064</v>
      </c>
      <c r="G828" s="166">
        <v>186282967</v>
      </c>
      <c r="H828" s="188">
        <v>30582</v>
      </c>
      <c r="I828" s="231">
        <v>5</v>
      </c>
      <c r="J828" s="176">
        <v>6100523</v>
      </c>
      <c r="K828" s="28" t="s">
        <v>223</v>
      </c>
    </row>
    <row r="829" spans="3:11" s="13" customFormat="1" x14ac:dyDescent="0.3">
      <c r="C829" s="28" t="s">
        <v>2799</v>
      </c>
      <c r="D829" s="165" t="s">
        <v>2800</v>
      </c>
      <c r="E829" s="176">
        <v>1037514793</v>
      </c>
      <c r="F829" s="176" t="s">
        <v>2801</v>
      </c>
      <c r="G829" s="166">
        <v>186282967</v>
      </c>
      <c r="H829" s="188"/>
      <c r="I829" s="231"/>
      <c r="J829" s="176"/>
      <c r="K829" s="28"/>
    </row>
    <row r="830" spans="3:11" s="13" customFormat="1" x14ac:dyDescent="0.3">
      <c r="C830" s="28" t="s">
        <v>2802</v>
      </c>
      <c r="D830" s="165" t="s">
        <v>2803</v>
      </c>
      <c r="E830" s="176">
        <v>1396951630</v>
      </c>
      <c r="F830" s="176" t="s">
        <v>2804</v>
      </c>
      <c r="G830" s="166">
        <v>186282967</v>
      </c>
      <c r="H830" s="188"/>
      <c r="I830" s="231">
        <v>5</v>
      </c>
      <c r="J830" s="176">
        <v>6100519</v>
      </c>
      <c r="K830" s="28" t="s">
        <v>2805</v>
      </c>
    </row>
    <row r="831" spans="3:11" s="13" customFormat="1" x14ac:dyDescent="0.3">
      <c r="C831" s="28" t="s">
        <v>2806</v>
      </c>
      <c r="D831" s="165" t="s">
        <v>2807</v>
      </c>
      <c r="E831" s="176">
        <v>1376994253</v>
      </c>
      <c r="F831" s="176" t="s">
        <v>2808</v>
      </c>
      <c r="G831" s="166">
        <v>186282967</v>
      </c>
      <c r="H831" s="188">
        <v>36025</v>
      </c>
      <c r="I831" s="231">
        <v>3</v>
      </c>
      <c r="J831" s="176">
        <v>6000327</v>
      </c>
      <c r="K831" s="28" t="s">
        <v>26</v>
      </c>
    </row>
    <row r="832" spans="3:11" s="13" customFormat="1" x14ac:dyDescent="0.3">
      <c r="C832" s="28" t="s">
        <v>2809</v>
      </c>
      <c r="D832" s="165" t="s">
        <v>2810</v>
      </c>
      <c r="E832" s="176">
        <v>1078492279</v>
      </c>
      <c r="F832" s="176" t="s">
        <v>2811</v>
      </c>
      <c r="G832" s="166">
        <v>186282967</v>
      </c>
      <c r="H832" s="188">
        <v>34792</v>
      </c>
      <c r="I832" s="231">
        <v>3</v>
      </c>
      <c r="J832" s="176">
        <v>6000327</v>
      </c>
      <c r="K832" s="28" t="s">
        <v>26</v>
      </c>
    </row>
    <row r="833" spans="3:11" s="13" customFormat="1" x14ac:dyDescent="0.3">
      <c r="C833" s="28" t="s">
        <v>2812</v>
      </c>
      <c r="D833" s="165" t="s">
        <v>2813</v>
      </c>
      <c r="E833" s="176">
        <v>1256058928</v>
      </c>
      <c r="F833" s="176" t="s">
        <v>2814</v>
      </c>
      <c r="G833" s="166">
        <v>186282967</v>
      </c>
      <c r="H833" s="188">
        <v>35478</v>
      </c>
      <c r="I833" s="231">
        <v>3</v>
      </c>
      <c r="J833" s="176">
        <v>6000327</v>
      </c>
      <c r="K833" s="28" t="s">
        <v>26</v>
      </c>
    </row>
    <row r="834" spans="3:11" s="13" customFormat="1" x14ac:dyDescent="0.3">
      <c r="C834" s="28" t="s">
        <v>2815</v>
      </c>
      <c r="D834" s="165" t="s">
        <v>2816</v>
      </c>
      <c r="E834" s="176">
        <v>1456302867</v>
      </c>
      <c r="F834" s="176" t="s">
        <v>2817</v>
      </c>
      <c r="G834" s="166">
        <v>186282967</v>
      </c>
      <c r="H834" s="188">
        <v>35744</v>
      </c>
      <c r="I834" s="231">
        <v>3</v>
      </c>
      <c r="J834" s="176">
        <v>6000327</v>
      </c>
      <c r="K834" s="28" t="s">
        <v>26</v>
      </c>
    </row>
    <row r="835" spans="3:11" s="13" customFormat="1" x14ac:dyDescent="0.3">
      <c r="C835" s="28" t="s">
        <v>2818</v>
      </c>
      <c r="D835" s="165" t="s">
        <v>2819</v>
      </c>
      <c r="E835" s="176">
        <v>1350128215</v>
      </c>
      <c r="F835" s="176" t="s">
        <v>2820</v>
      </c>
      <c r="G835" s="166">
        <v>205946382</v>
      </c>
      <c r="H835" s="188"/>
      <c r="I835" s="231"/>
      <c r="J835" s="176"/>
      <c r="K835" s="28"/>
    </row>
    <row r="836" spans="3:11" s="13" customFormat="1" x14ac:dyDescent="0.3">
      <c r="C836" s="28" t="s">
        <v>2821</v>
      </c>
      <c r="D836" s="165" t="s">
        <v>2822</v>
      </c>
      <c r="E836" s="176">
        <v>1247924163</v>
      </c>
      <c r="F836" s="176" t="s">
        <v>2823</v>
      </c>
      <c r="G836" s="166">
        <v>186282967</v>
      </c>
      <c r="H836" s="188">
        <v>32459</v>
      </c>
      <c r="I836" s="231">
        <v>4</v>
      </c>
      <c r="J836" s="176">
        <v>6100406</v>
      </c>
      <c r="K836" s="28" t="s">
        <v>2824</v>
      </c>
    </row>
    <row r="837" spans="3:11" s="13" customFormat="1" x14ac:dyDescent="0.3">
      <c r="C837" s="28" t="s">
        <v>2825</v>
      </c>
      <c r="D837" s="165" t="s">
        <v>2826</v>
      </c>
      <c r="E837" s="176">
        <v>1181765689</v>
      </c>
      <c r="F837" s="176" t="s">
        <v>2827</v>
      </c>
      <c r="G837" s="166">
        <v>186282967</v>
      </c>
      <c r="H837" s="188">
        <v>31745</v>
      </c>
      <c r="I837" s="231">
        <v>3</v>
      </c>
      <c r="J837" s="176">
        <v>6000327</v>
      </c>
      <c r="K837" s="28" t="s">
        <v>26</v>
      </c>
    </row>
    <row r="838" spans="3:11" s="13" customFormat="1" x14ac:dyDescent="0.3">
      <c r="C838" s="28" t="s">
        <v>2828</v>
      </c>
      <c r="D838" s="165" t="s">
        <v>2829</v>
      </c>
      <c r="E838" s="176">
        <v>1356162625</v>
      </c>
      <c r="F838" s="176" t="s">
        <v>2830</v>
      </c>
      <c r="G838" s="166">
        <v>186282967</v>
      </c>
      <c r="H838" s="188"/>
      <c r="I838" s="231">
        <v>3</v>
      </c>
      <c r="J838" s="176">
        <v>6000327</v>
      </c>
      <c r="K838" s="28" t="s">
        <v>26</v>
      </c>
    </row>
    <row r="839" spans="3:11" s="13" customFormat="1" x14ac:dyDescent="0.3">
      <c r="C839" s="28" t="s">
        <v>2831</v>
      </c>
      <c r="D839" s="165" t="s">
        <v>2832</v>
      </c>
      <c r="E839" s="176">
        <v>1024532950</v>
      </c>
      <c r="F839" s="176" t="s">
        <v>2833</v>
      </c>
      <c r="G839" s="166">
        <v>205946382</v>
      </c>
      <c r="H839" s="188">
        <v>34710</v>
      </c>
      <c r="I839" s="231"/>
      <c r="J839" s="176"/>
      <c r="K839" s="28"/>
    </row>
    <row r="840" spans="3:11" s="13" customFormat="1" x14ac:dyDescent="0.3">
      <c r="C840" s="28" t="s">
        <v>2834</v>
      </c>
      <c r="D840" s="165" t="s">
        <v>2835</v>
      </c>
      <c r="E840" s="176" t="s">
        <v>2836</v>
      </c>
      <c r="F840" s="176" t="s">
        <v>2837</v>
      </c>
      <c r="G840" s="166">
        <v>186282967</v>
      </c>
      <c r="H840" s="188"/>
      <c r="I840" s="231">
        <v>5</v>
      </c>
      <c r="J840" s="176">
        <v>6100523</v>
      </c>
      <c r="K840" s="28" t="s">
        <v>223</v>
      </c>
    </row>
    <row r="841" spans="3:11" s="13" customFormat="1" x14ac:dyDescent="0.3">
      <c r="C841" s="28" t="s">
        <v>2838</v>
      </c>
      <c r="D841" s="165" t="s">
        <v>2839</v>
      </c>
      <c r="E841" s="176">
        <v>1104321495</v>
      </c>
      <c r="F841" s="176" t="s">
        <v>2840</v>
      </c>
      <c r="G841" s="166">
        <v>186282967</v>
      </c>
      <c r="H841" s="188"/>
      <c r="I841" s="231"/>
      <c r="J841" s="176"/>
      <c r="K841" s="28"/>
    </row>
    <row r="842" spans="3:11" s="13" customFormat="1" x14ac:dyDescent="0.3">
      <c r="C842" s="28" t="s">
        <v>2841</v>
      </c>
      <c r="D842" s="165" t="s">
        <v>2842</v>
      </c>
      <c r="E842" s="176">
        <v>1083635338</v>
      </c>
      <c r="F842" s="176" t="s">
        <v>2843</v>
      </c>
      <c r="G842" s="166">
        <v>186282967</v>
      </c>
      <c r="H842" s="188"/>
      <c r="I842" s="231"/>
      <c r="J842" s="176"/>
      <c r="K842" s="28"/>
    </row>
    <row r="843" spans="3:11" s="13" customFormat="1" x14ac:dyDescent="0.3">
      <c r="C843" s="28" t="s">
        <v>2844</v>
      </c>
      <c r="D843" s="165" t="s">
        <v>2845</v>
      </c>
      <c r="E843" s="176">
        <v>1187340967</v>
      </c>
      <c r="F843" s="176" t="s">
        <v>2846</v>
      </c>
      <c r="G843" s="166">
        <v>186282967</v>
      </c>
      <c r="H843" s="188"/>
      <c r="I843" s="231"/>
      <c r="J843" s="176"/>
      <c r="K843" s="28"/>
    </row>
    <row r="844" spans="3:11" s="13" customFormat="1" x14ac:dyDescent="0.3">
      <c r="C844" s="28" t="s">
        <v>2847</v>
      </c>
      <c r="D844" s="165" t="s">
        <v>2848</v>
      </c>
      <c r="E844" s="176">
        <v>1158170239</v>
      </c>
      <c r="F844" s="176" t="s">
        <v>2849</v>
      </c>
      <c r="G844" s="166">
        <v>186282967</v>
      </c>
      <c r="H844" s="188"/>
      <c r="I844" s="231"/>
      <c r="J844" s="176"/>
      <c r="K844" s="28"/>
    </row>
    <row r="845" spans="3:11" s="13" customFormat="1" x14ac:dyDescent="0.3">
      <c r="C845" s="28" t="s">
        <v>2850</v>
      </c>
      <c r="D845" s="165" t="s">
        <v>2851</v>
      </c>
      <c r="E845" s="176">
        <v>1044513218</v>
      </c>
      <c r="F845" s="176" t="s">
        <v>2852</v>
      </c>
      <c r="G845" s="166">
        <v>186282967</v>
      </c>
      <c r="H845" s="188">
        <v>30997</v>
      </c>
      <c r="I845" s="231"/>
      <c r="J845" s="176"/>
      <c r="K845" s="28"/>
    </row>
    <row r="846" spans="3:11" s="13" customFormat="1" x14ac:dyDescent="0.3">
      <c r="C846" s="28" t="s">
        <v>2853</v>
      </c>
      <c r="D846" s="165" t="s">
        <v>2854</v>
      </c>
      <c r="E846" s="176">
        <v>1037427430</v>
      </c>
      <c r="F846" s="176" t="s">
        <v>2855</v>
      </c>
      <c r="G846" s="166">
        <v>186282967</v>
      </c>
      <c r="H846" s="188">
        <v>28515</v>
      </c>
      <c r="I846" s="231">
        <v>3</v>
      </c>
      <c r="J846" s="176">
        <v>6000327</v>
      </c>
      <c r="K846" s="28" t="s">
        <v>26</v>
      </c>
    </row>
    <row r="847" spans="3:11" s="13" customFormat="1" x14ac:dyDescent="0.3">
      <c r="C847" s="28" t="s">
        <v>2856</v>
      </c>
      <c r="D847" s="165" t="s">
        <v>2857</v>
      </c>
      <c r="E847" s="176">
        <v>1000391919</v>
      </c>
      <c r="F847" s="176" t="s">
        <v>2858</v>
      </c>
      <c r="G847" s="166">
        <v>186282967</v>
      </c>
      <c r="H847" s="188">
        <v>25956</v>
      </c>
      <c r="I847" s="231">
        <v>5</v>
      </c>
      <c r="J847" s="176">
        <v>6100523</v>
      </c>
      <c r="K847" s="28" t="s">
        <v>223</v>
      </c>
    </row>
    <row r="848" spans="3:11" s="13" customFormat="1" x14ac:dyDescent="0.3">
      <c r="C848" s="28" t="s">
        <v>2859</v>
      </c>
      <c r="D848" s="165" t="s">
        <v>2860</v>
      </c>
      <c r="E848" s="176">
        <v>1006615871</v>
      </c>
      <c r="F848" s="176" t="s">
        <v>2861</v>
      </c>
      <c r="G848" s="166">
        <v>186282967</v>
      </c>
      <c r="H848" s="188">
        <v>27932</v>
      </c>
      <c r="I848" s="231">
        <v>5</v>
      </c>
      <c r="J848" s="176">
        <v>6100519</v>
      </c>
      <c r="K848" s="28" t="s">
        <v>57</v>
      </c>
    </row>
    <row r="849" spans="3:11" s="13" customFormat="1" x14ac:dyDescent="0.3">
      <c r="C849" s="28" t="s">
        <v>2862</v>
      </c>
      <c r="D849" s="165" t="s">
        <v>2863</v>
      </c>
      <c r="E849" s="176">
        <v>1011229502</v>
      </c>
      <c r="F849" s="176" t="s">
        <v>2864</v>
      </c>
      <c r="G849" s="166">
        <v>186282967</v>
      </c>
      <c r="H849" s="188"/>
      <c r="I849" s="231">
        <v>5</v>
      </c>
      <c r="J849" s="176">
        <v>6100524</v>
      </c>
      <c r="K849" s="28" t="s">
        <v>2865</v>
      </c>
    </row>
    <row r="850" spans="3:11" s="13" customFormat="1" x14ac:dyDescent="0.3">
      <c r="C850" s="28" t="s">
        <v>2866</v>
      </c>
      <c r="D850" s="165" t="s">
        <v>2867</v>
      </c>
      <c r="E850" s="176">
        <v>1029227815</v>
      </c>
      <c r="F850" s="176" t="s">
        <v>2868</v>
      </c>
      <c r="G850" s="166">
        <v>186282967</v>
      </c>
      <c r="H850" s="188">
        <v>33836</v>
      </c>
      <c r="I850" s="231">
        <v>3</v>
      </c>
      <c r="J850" s="176">
        <v>6000327</v>
      </c>
      <c r="K850" s="28" t="s">
        <v>26</v>
      </c>
    </row>
    <row r="851" spans="3:11" s="13" customFormat="1" x14ac:dyDescent="0.3">
      <c r="C851" s="28" t="s">
        <v>2869</v>
      </c>
      <c r="D851" s="165" t="s">
        <v>474</v>
      </c>
      <c r="E851" s="176">
        <v>1041789213</v>
      </c>
      <c r="F851" s="176" t="s">
        <v>476</v>
      </c>
      <c r="G851" s="166">
        <v>186282967</v>
      </c>
      <c r="H851" s="188">
        <v>31390</v>
      </c>
      <c r="I851" s="231">
        <v>5</v>
      </c>
      <c r="J851" s="176">
        <v>6100519</v>
      </c>
      <c r="K851" s="28" t="s">
        <v>2870</v>
      </c>
    </row>
    <row r="852" spans="3:11" s="13" customFormat="1" x14ac:dyDescent="0.3">
      <c r="C852" s="28" t="s">
        <v>2871</v>
      </c>
      <c r="D852" s="165" t="s">
        <v>2872</v>
      </c>
      <c r="E852" s="176">
        <v>1083481754</v>
      </c>
      <c r="F852" s="176" t="s">
        <v>2873</v>
      </c>
      <c r="G852" s="166">
        <v>186282967</v>
      </c>
      <c r="H852" s="188">
        <v>33835</v>
      </c>
      <c r="I852" s="231">
        <v>3</v>
      </c>
      <c r="J852" s="176">
        <v>6000325</v>
      </c>
      <c r="K852" s="28" t="s">
        <v>2874</v>
      </c>
    </row>
    <row r="853" spans="3:11" s="13" customFormat="1" x14ac:dyDescent="0.3">
      <c r="C853" s="28" t="s">
        <v>2875</v>
      </c>
      <c r="D853" s="165" t="s">
        <v>2876</v>
      </c>
      <c r="E853" s="176">
        <v>1026225209</v>
      </c>
      <c r="F853" s="176" t="s">
        <v>2877</v>
      </c>
      <c r="G853" s="166">
        <v>186282967</v>
      </c>
      <c r="H853" s="188">
        <v>26918</v>
      </c>
      <c r="I853" s="231">
        <v>5</v>
      </c>
      <c r="J853" s="176">
        <v>6100523</v>
      </c>
      <c r="K853" s="28" t="s">
        <v>223</v>
      </c>
    </row>
    <row r="854" spans="3:11" s="13" customFormat="1" x14ac:dyDescent="0.3">
      <c r="C854" s="28" t="s">
        <v>2878</v>
      </c>
      <c r="D854" s="165" t="s">
        <v>2879</v>
      </c>
      <c r="E854" s="176">
        <v>1164679066</v>
      </c>
      <c r="F854" s="176" t="s">
        <v>2880</v>
      </c>
      <c r="G854" s="166">
        <v>186282967</v>
      </c>
      <c r="H854" s="188">
        <v>32955</v>
      </c>
      <c r="I854" s="231">
        <v>3</v>
      </c>
      <c r="J854" s="176">
        <v>6000320</v>
      </c>
      <c r="K854" s="28" t="s">
        <v>31</v>
      </c>
    </row>
    <row r="855" spans="3:11" s="13" customFormat="1" x14ac:dyDescent="0.3">
      <c r="C855" s="28" t="s">
        <v>2881</v>
      </c>
      <c r="D855" s="165" t="s">
        <v>2882</v>
      </c>
      <c r="E855" s="176" t="s">
        <v>2883</v>
      </c>
      <c r="F855" s="176" t="s">
        <v>2884</v>
      </c>
      <c r="G855" s="166">
        <v>186282967</v>
      </c>
      <c r="H855" s="188">
        <v>25561</v>
      </c>
      <c r="I855" s="231">
        <v>5</v>
      </c>
      <c r="J855" s="176">
        <v>6100519</v>
      </c>
      <c r="K855" s="28" t="s">
        <v>2885</v>
      </c>
    </row>
    <row r="856" spans="3:11" s="13" customFormat="1" x14ac:dyDescent="0.3">
      <c r="C856" s="28" t="s">
        <v>2886</v>
      </c>
      <c r="D856" s="165" t="s">
        <v>2887</v>
      </c>
      <c r="E856" s="176">
        <v>1400751404</v>
      </c>
      <c r="F856" s="176" t="s">
        <v>2888</v>
      </c>
      <c r="G856" s="166">
        <v>186282967</v>
      </c>
      <c r="H856" s="188">
        <v>29134</v>
      </c>
      <c r="I856" s="231">
        <v>5</v>
      </c>
      <c r="J856" s="176">
        <v>6100523</v>
      </c>
      <c r="K856" s="28" t="s">
        <v>643</v>
      </c>
    </row>
    <row r="857" spans="3:11" s="13" customFormat="1" x14ac:dyDescent="0.3">
      <c r="C857" s="28" t="s">
        <v>2889</v>
      </c>
      <c r="D857" s="165" t="s">
        <v>2890</v>
      </c>
      <c r="E857" s="176" t="s">
        <v>2891</v>
      </c>
      <c r="F857" s="176" t="s">
        <v>2892</v>
      </c>
      <c r="G857" s="166">
        <v>186282967</v>
      </c>
      <c r="H857" s="188">
        <v>26304</v>
      </c>
      <c r="I857" s="231">
        <v>3</v>
      </c>
      <c r="J857" s="176">
        <v>6000323</v>
      </c>
      <c r="K857" s="28" t="s">
        <v>2893</v>
      </c>
    </row>
    <row r="858" spans="3:11" s="13" customFormat="1" x14ac:dyDescent="0.3">
      <c r="C858" s="28" t="s">
        <v>2894</v>
      </c>
      <c r="D858" s="165" t="s">
        <v>2895</v>
      </c>
      <c r="E858" s="176">
        <v>1008361030</v>
      </c>
      <c r="F858" s="176" t="s">
        <v>2896</v>
      </c>
      <c r="G858" s="166">
        <v>186282967</v>
      </c>
      <c r="H858" s="188">
        <v>31125</v>
      </c>
      <c r="I858" s="231">
        <v>3</v>
      </c>
      <c r="J858" s="176">
        <v>6000325</v>
      </c>
      <c r="K858" s="28" t="s">
        <v>2874</v>
      </c>
    </row>
    <row r="859" spans="3:11" s="13" customFormat="1" x14ac:dyDescent="0.3">
      <c r="C859" s="28" t="s">
        <v>2897</v>
      </c>
      <c r="D859" s="165" t="s">
        <v>2898</v>
      </c>
      <c r="E859" s="176">
        <v>1128378636</v>
      </c>
      <c r="F859" s="176" t="s">
        <v>2899</v>
      </c>
      <c r="G859" s="166">
        <v>186282967</v>
      </c>
      <c r="H859" s="188">
        <v>31378</v>
      </c>
      <c r="I859" s="231">
        <v>3</v>
      </c>
      <c r="J859" s="176">
        <v>6000327</v>
      </c>
      <c r="K859" s="28" t="s">
        <v>26</v>
      </c>
    </row>
    <row r="860" spans="3:11" s="13" customFormat="1" x14ac:dyDescent="0.3">
      <c r="C860" s="28" t="s">
        <v>2900</v>
      </c>
      <c r="D860" s="165" t="s">
        <v>2901</v>
      </c>
      <c r="E860" s="176">
        <v>1089155270</v>
      </c>
      <c r="F860" s="176" t="s">
        <v>2902</v>
      </c>
      <c r="G860" s="166">
        <v>186282967</v>
      </c>
      <c r="H860" s="188"/>
      <c r="I860" s="231">
        <v>3</v>
      </c>
      <c r="J860" s="176">
        <v>6000320</v>
      </c>
      <c r="K860" s="28" t="s">
        <v>31</v>
      </c>
    </row>
    <row r="861" spans="3:11" s="13" customFormat="1" x14ac:dyDescent="0.3">
      <c r="C861" s="28" t="s">
        <v>2903</v>
      </c>
      <c r="D861" s="165" t="s">
        <v>2904</v>
      </c>
      <c r="E861" s="176">
        <v>1161514442</v>
      </c>
      <c r="F861" s="176" t="s">
        <v>2905</v>
      </c>
      <c r="G861" s="166">
        <v>186282967</v>
      </c>
      <c r="H861" s="188"/>
      <c r="I861" s="231">
        <v>3</v>
      </c>
      <c r="J861" s="176">
        <v>6000320</v>
      </c>
      <c r="K861" s="28" t="s">
        <v>31</v>
      </c>
    </row>
    <row r="862" spans="3:11" s="13" customFormat="1" x14ac:dyDescent="0.3">
      <c r="C862" s="28" t="s">
        <v>2906</v>
      </c>
      <c r="D862" s="165" t="s">
        <v>2907</v>
      </c>
      <c r="E862" s="176">
        <v>1166778512</v>
      </c>
      <c r="F862" s="176" t="s">
        <v>2908</v>
      </c>
      <c r="G862" s="166">
        <v>186282967</v>
      </c>
      <c r="H862" s="188"/>
      <c r="I862" s="231">
        <v>5</v>
      </c>
      <c r="J862" s="176">
        <v>6100523</v>
      </c>
      <c r="K862" s="28" t="s">
        <v>643</v>
      </c>
    </row>
    <row r="863" spans="3:11" s="13" customFormat="1" x14ac:dyDescent="0.3">
      <c r="C863" s="28" t="s">
        <v>2909</v>
      </c>
      <c r="D863" s="165" t="s">
        <v>2910</v>
      </c>
      <c r="E863" s="176" t="s">
        <v>2911</v>
      </c>
      <c r="F863" s="176" t="s">
        <v>2580</v>
      </c>
      <c r="G863" s="166">
        <v>186282967</v>
      </c>
      <c r="H863" s="188">
        <v>30428</v>
      </c>
      <c r="I863" s="231">
        <v>5</v>
      </c>
      <c r="J863" s="176">
        <v>6100523</v>
      </c>
      <c r="K863" s="28" t="s">
        <v>2912</v>
      </c>
    </row>
    <row r="864" spans="3:11" s="13" customFormat="1" x14ac:dyDescent="0.3">
      <c r="C864" s="28" t="s">
        <v>2913</v>
      </c>
      <c r="D864" s="165" t="s">
        <v>2914</v>
      </c>
      <c r="E864" s="176">
        <v>1283306935</v>
      </c>
      <c r="F864" s="176" t="s">
        <v>2915</v>
      </c>
      <c r="G864" s="166">
        <v>186282967</v>
      </c>
      <c r="H864" s="188">
        <v>44671</v>
      </c>
      <c r="I864" s="231">
        <v>3</v>
      </c>
      <c r="J864" s="176">
        <v>6000325</v>
      </c>
      <c r="K864" s="28" t="s">
        <v>151</v>
      </c>
    </row>
    <row r="865" spans="3:11" s="13" customFormat="1" x14ac:dyDescent="0.3">
      <c r="C865" s="28" t="s">
        <v>2916</v>
      </c>
      <c r="D865" s="165" t="s">
        <v>2917</v>
      </c>
      <c r="E865" s="176">
        <v>1349961800</v>
      </c>
      <c r="F865" s="176" t="s">
        <v>2918</v>
      </c>
      <c r="G865" s="166">
        <v>186282967</v>
      </c>
      <c r="H865" s="188">
        <v>37201</v>
      </c>
      <c r="I865" s="231">
        <v>3</v>
      </c>
      <c r="J865" s="176">
        <v>6000325</v>
      </c>
      <c r="K865" s="28" t="s">
        <v>151</v>
      </c>
    </row>
    <row r="866" spans="3:11" s="13" customFormat="1" x14ac:dyDescent="0.3">
      <c r="C866" s="28" t="s">
        <v>2919</v>
      </c>
      <c r="D866" s="165" t="s">
        <v>2920</v>
      </c>
      <c r="E866" s="176">
        <v>1377786147</v>
      </c>
      <c r="F866" s="176" t="s">
        <v>2921</v>
      </c>
      <c r="G866" s="166">
        <v>186282967</v>
      </c>
      <c r="H866" s="188">
        <v>37650</v>
      </c>
      <c r="I866" s="231">
        <v>3</v>
      </c>
      <c r="J866" s="176">
        <v>6000325</v>
      </c>
      <c r="K866" s="28" t="s">
        <v>151</v>
      </c>
    </row>
    <row r="867" spans="3:11" s="13" customFormat="1" x14ac:dyDescent="0.3">
      <c r="C867" s="28" t="s">
        <v>2922</v>
      </c>
      <c r="D867" s="165" t="s">
        <v>2923</v>
      </c>
      <c r="E867" s="176">
        <v>1392739103</v>
      </c>
      <c r="F867" s="176" t="s">
        <v>2924</v>
      </c>
      <c r="G867" s="166">
        <v>186282967</v>
      </c>
      <c r="H867" s="188">
        <v>34735</v>
      </c>
      <c r="I867" s="231">
        <v>3</v>
      </c>
      <c r="J867" s="176">
        <v>6000320</v>
      </c>
      <c r="K867" s="28" t="s">
        <v>31</v>
      </c>
    </row>
    <row r="868" spans="3:11" s="13" customFormat="1" x14ac:dyDescent="0.3">
      <c r="C868" s="28" t="s">
        <v>2925</v>
      </c>
      <c r="D868" s="165" t="s">
        <v>2926</v>
      </c>
      <c r="E868" s="176">
        <v>1030581552</v>
      </c>
      <c r="F868" s="176" t="s">
        <v>2927</v>
      </c>
      <c r="G868" s="166">
        <v>186282967</v>
      </c>
      <c r="H868" s="188">
        <v>36323</v>
      </c>
      <c r="I868" s="231">
        <v>3</v>
      </c>
      <c r="J868" s="176">
        <v>6000325</v>
      </c>
      <c r="K868" s="28" t="s">
        <v>151</v>
      </c>
    </row>
    <row r="869" spans="3:11" s="13" customFormat="1" x14ac:dyDescent="0.3">
      <c r="C869" s="28" t="s">
        <v>2928</v>
      </c>
      <c r="D869" s="165" t="s">
        <v>2929</v>
      </c>
      <c r="E869" s="176">
        <v>1290591938</v>
      </c>
      <c r="F869" s="176" t="s">
        <v>2930</v>
      </c>
      <c r="G869" s="166">
        <v>186282967</v>
      </c>
      <c r="H869" s="188">
        <v>34393</v>
      </c>
      <c r="I869" s="231">
        <v>3</v>
      </c>
      <c r="J869" s="176">
        <v>6000325</v>
      </c>
      <c r="K869" s="28" t="s">
        <v>151</v>
      </c>
    </row>
    <row r="870" spans="3:11" s="13" customFormat="1" x14ac:dyDescent="0.3">
      <c r="C870" s="28" t="s">
        <v>2931</v>
      </c>
      <c r="D870" s="165" t="s">
        <v>2932</v>
      </c>
      <c r="E870" s="176">
        <v>1080419327</v>
      </c>
      <c r="F870" s="176" t="s">
        <v>2933</v>
      </c>
      <c r="G870" s="166">
        <v>186282967</v>
      </c>
      <c r="H870" s="188">
        <v>35839</v>
      </c>
      <c r="I870" s="231">
        <v>3</v>
      </c>
      <c r="J870" s="176">
        <v>6000325</v>
      </c>
      <c r="K870" s="28" t="s">
        <v>151</v>
      </c>
    </row>
    <row r="871" spans="3:11" s="13" customFormat="1" x14ac:dyDescent="0.3">
      <c r="C871" s="28" t="s">
        <v>2934</v>
      </c>
      <c r="D871" s="165" t="s">
        <v>2935</v>
      </c>
      <c r="E871" s="176">
        <v>1259511118</v>
      </c>
      <c r="F871" s="176" t="s">
        <v>2936</v>
      </c>
      <c r="G871" s="166">
        <v>186282967</v>
      </c>
      <c r="H871" s="188">
        <v>35748</v>
      </c>
      <c r="I871" s="231">
        <v>3</v>
      </c>
      <c r="J871" s="176">
        <v>6000320</v>
      </c>
      <c r="K871" s="28" t="s">
        <v>31</v>
      </c>
    </row>
    <row r="872" spans="3:11" s="13" customFormat="1" x14ac:dyDescent="0.3">
      <c r="C872" s="28" t="s">
        <v>2937</v>
      </c>
      <c r="D872" s="165" t="s">
        <v>2938</v>
      </c>
      <c r="E872" s="176">
        <v>1087091816</v>
      </c>
      <c r="F872" s="176" t="s">
        <v>2939</v>
      </c>
      <c r="G872" s="166">
        <v>186282967</v>
      </c>
      <c r="H872" s="188">
        <v>36523</v>
      </c>
      <c r="I872" s="231">
        <v>3</v>
      </c>
      <c r="J872" s="176">
        <v>6000325</v>
      </c>
      <c r="K872" s="28" t="s">
        <v>151</v>
      </c>
    </row>
    <row r="873" spans="3:11" s="13" customFormat="1" x14ac:dyDescent="0.3">
      <c r="C873" s="28" t="s">
        <v>2940</v>
      </c>
      <c r="D873" s="165" t="s">
        <v>2941</v>
      </c>
      <c r="E873" s="176">
        <v>1058015054</v>
      </c>
      <c r="F873" s="176" t="s">
        <v>2942</v>
      </c>
      <c r="G873" s="166">
        <v>186282967</v>
      </c>
      <c r="H873" s="188">
        <v>33770</v>
      </c>
      <c r="I873" s="231">
        <v>3</v>
      </c>
      <c r="J873" s="176">
        <v>6000323</v>
      </c>
      <c r="K873" s="28" t="s">
        <v>2893</v>
      </c>
    </row>
    <row r="874" spans="3:11" s="13" customFormat="1" x14ac:dyDescent="0.3">
      <c r="C874" s="28" t="s">
        <v>2943</v>
      </c>
      <c r="D874" s="165" t="s">
        <v>2944</v>
      </c>
      <c r="E874" s="176">
        <v>1480248964</v>
      </c>
      <c r="F874" s="176" t="s">
        <v>2945</v>
      </c>
      <c r="G874" s="166">
        <v>186282967</v>
      </c>
      <c r="H874" s="188">
        <v>32403</v>
      </c>
      <c r="I874" s="231">
        <v>3</v>
      </c>
      <c r="J874" s="176">
        <v>6000323</v>
      </c>
      <c r="K874" s="28" t="s">
        <v>2946</v>
      </c>
    </row>
    <row r="875" spans="3:11" s="13" customFormat="1" x14ac:dyDescent="0.3">
      <c r="C875" s="28" t="s">
        <v>2947</v>
      </c>
      <c r="D875" s="165" t="s">
        <v>2948</v>
      </c>
      <c r="E875" s="176">
        <v>1162132313</v>
      </c>
      <c r="F875" s="176" t="s">
        <v>2949</v>
      </c>
      <c r="G875" s="166">
        <v>186282967</v>
      </c>
      <c r="H875" s="188">
        <v>32160</v>
      </c>
      <c r="I875" s="231">
        <v>5</v>
      </c>
      <c r="J875" s="176">
        <v>6100526</v>
      </c>
      <c r="K875" s="28" t="s">
        <v>2950</v>
      </c>
    </row>
    <row r="876" spans="3:11" s="13" customFormat="1" x14ac:dyDescent="0.3">
      <c r="C876" s="28" t="s">
        <v>2951</v>
      </c>
      <c r="D876" s="165" t="s">
        <v>2952</v>
      </c>
      <c r="E876" s="176">
        <v>1040157186</v>
      </c>
      <c r="F876" s="176" t="s">
        <v>2953</v>
      </c>
      <c r="G876" s="166">
        <v>186282967</v>
      </c>
      <c r="H876" s="188">
        <v>36125</v>
      </c>
      <c r="I876" s="231">
        <v>4</v>
      </c>
      <c r="J876" s="176">
        <v>6100407</v>
      </c>
      <c r="K876" s="28" t="s">
        <v>2954</v>
      </c>
    </row>
    <row r="877" spans="3:11" s="13" customFormat="1" x14ac:dyDescent="0.3">
      <c r="C877" s="28" t="s">
        <v>2955</v>
      </c>
      <c r="D877" s="165" t="s">
        <v>3016</v>
      </c>
      <c r="E877" s="176">
        <v>1059853793</v>
      </c>
      <c r="F877" s="176" t="s">
        <v>2956</v>
      </c>
      <c r="G877" s="166">
        <v>186282967</v>
      </c>
      <c r="H877" s="188">
        <v>36575</v>
      </c>
      <c r="I877" s="231">
        <v>4</v>
      </c>
      <c r="J877" s="176">
        <v>6100407</v>
      </c>
      <c r="K877" s="28" t="s">
        <v>2954</v>
      </c>
    </row>
    <row r="878" spans="3:11" s="13" customFormat="1" x14ac:dyDescent="0.3">
      <c r="C878" s="28" t="s">
        <v>2957</v>
      </c>
      <c r="D878" s="165" t="s">
        <v>2958</v>
      </c>
      <c r="E878" s="176">
        <v>1275101139</v>
      </c>
      <c r="F878" s="176" t="s">
        <v>2959</v>
      </c>
      <c r="G878" s="166">
        <v>186282967</v>
      </c>
      <c r="H878" s="188">
        <v>35806</v>
      </c>
      <c r="I878" s="231">
        <v>4</v>
      </c>
      <c r="J878" s="176">
        <v>6100407</v>
      </c>
      <c r="K878" s="28" t="s">
        <v>252</v>
      </c>
    </row>
    <row r="879" spans="3:11" s="13" customFormat="1" x14ac:dyDescent="0.3">
      <c r="C879" s="28" t="s">
        <v>2960</v>
      </c>
      <c r="D879" s="165" t="s">
        <v>2961</v>
      </c>
      <c r="E879" s="176">
        <v>1043743459</v>
      </c>
      <c r="F879" s="176" t="s">
        <v>2962</v>
      </c>
      <c r="G879" s="166">
        <v>186282967</v>
      </c>
      <c r="H879" s="188">
        <v>35067</v>
      </c>
      <c r="I879" s="231">
        <v>3</v>
      </c>
      <c r="J879" s="176">
        <v>6000327</v>
      </c>
      <c r="K879" s="28" t="s">
        <v>26</v>
      </c>
    </row>
    <row r="880" spans="3:11" s="13" customFormat="1" x14ac:dyDescent="0.3">
      <c r="C880" s="28" t="s">
        <v>2963</v>
      </c>
      <c r="D880" s="165" t="s">
        <v>2964</v>
      </c>
      <c r="E880" s="176">
        <v>1107299021</v>
      </c>
      <c r="F880" s="176" t="s">
        <v>2965</v>
      </c>
      <c r="G880" s="166">
        <v>186282967</v>
      </c>
      <c r="H880" s="188">
        <v>30891</v>
      </c>
      <c r="I880" s="231">
        <v>3</v>
      </c>
      <c r="J880" s="176">
        <v>6000320</v>
      </c>
      <c r="K880" s="28" t="s">
        <v>31</v>
      </c>
    </row>
    <row r="881" spans="3:11" s="13" customFormat="1" x14ac:dyDescent="0.3">
      <c r="C881" s="28" t="s">
        <v>2966</v>
      </c>
      <c r="D881" s="165" t="s">
        <v>2967</v>
      </c>
      <c r="E881" s="176">
        <v>1486622167</v>
      </c>
      <c r="F881" s="176" t="s">
        <v>2968</v>
      </c>
      <c r="G881" s="166">
        <v>186282967</v>
      </c>
      <c r="H881" s="188"/>
      <c r="I881" s="231"/>
      <c r="J881" s="176"/>
      <c r="K881" s="28" t="s">
        <v>2969</v>
      </c>
    </row>
    <row r="882" spans="3:11" s="13" customFormat="1" x14ac:dyDescent="0.3">
      <c r="C882" s="28" t="s">
        <v>2970</v>
      </c>
      <c r="D882" s="165" t="s">
        <v>2971</v>
      </c>
      <c r="E882" s="176">
        <v>1035033293</v>
      </c>
      <c r="F882" s="176" t="s">
        <v>2972</v>
      </c>
      <c r="G882" s="166">
        <v>186282967</v>
      </c>
      <c r="H882" s="188">
        <v>31281</v>
      </c>
      <c r="I882" s="231">
        <v>3</v>
      </c>
      <c r="J882" s="176">
        <v>6000320</v>
      </c>
      <c r="K882" s="28" t="s">
        <v>2973</v>
      </c>
    </row>
    <row r="883" spans="3:11" s="13" customFormat="1" x14ac:dyDescent="0.3">
      <c r="C883" s="28" t="s">
        <v>2974</v>
      </c>
      <c r="D883" s="165" t="s">
        <v>2975</v>
      </c>
      <c r="E883" s="176">
        <v>1151558707</v>
      </c>
      <c r="F883" s="176" t="s">
        <v>2976</v>
      </c>
      <c r="G883" s="166">
        <v>186282967</v>
      </c>
      <c r="H883" s="188"/>
      <c r="I883" s="231">
        <v>4</v>
      </c>
      <c r="J883" s="176">
        <v>6100406</v>
      </c>
      <c r="K883" s="28" t="s">
        <v>2977</v>
      </c>
    </row>
    <row r="884" spans="3:11" s="13" customFormat="1" x14ac:dyDescent="0.3">
      <c r="C884" s="28" t="s">
        <v>2978</v>
      </c>
      <c r="D884" s="165" t="s">
        <v>2979</v>
      </c>
      <c r="E884" s="176">
        <v>1155301489</v>
      </c>
      <c r="F884" s="176" t="s">
        <v>2980</v>
      </c>
      <c r="G884" s="166">
        <v>186282967</v>
      </c>
      <c r="H884" s="188">
        <v>31816</v>
      </c>
      <c r="I884" s="231">
        <v>3</v>
      </c>
      <c r="J884" s="176">
        <v>6000326</v>
      </c>
      <c r="K884" s="28" t="s">
        <v>451</v>
      </c>
    </row>
    <row r="885" spans="3:11" s="13" customFormat="1" x14ac:dyDescent="0.3">
      <c r="C885" s="28" t="s">
        <v>2981</v>
      </c>
      <c r="D885" s="165" t="s">
        <v>2982</v>
      </c>
      <c r="E885" s="176">
        <v>1174093019</v>
      </c>
      <c r="F885" s="176" t="s">
        <v>2983</v>
      </c>
      <c r="G885" s="166">
        <v>186282967</v>
      </c>
      <c r="H885" s="188">
        <v>28588</v>
      </c>
      <c r="I885" s="231">
        <v>5</v>
      </c>
      <c r="J885" s="176">
        <v>6100519</v>
      </c>
      <c r="K885" s="28" t="s">
        <v>57</v>
      </c>
    </row>
    <row r="886" spans="3:11" s="13" customFormat="1" x14ac:dyDescent="0.3">
      <c r="C886" s="28" t="s">
        <v>2984</v>
      </c>
      <c r="D886" s="165" t="s">
        <v>2985</v>
      </c>
      <c r="E886" s="176">
        <v>1167812671</v>
      </c>
      <c r="F886" s="176" t="s">
        <v>2986</v>
      </c>
      <c r="G886" s="166">
        <v>186282967</v>
      </c>
      <c r="H886" s="188">
        <v>32512</v>
      </c>
      <c r="I886" s="231">
        <v>4</v>
      </c>
      <c r="J886" s="176">
        <v>6100406</v>
      </c>
      <c r="K886" s="28" t="s">
        <v>2987</v>
      </c>
    </row>
    <row r="887" spans="3:11" s="13" customFormat="1" x14ac:dyDescent="0.3">
      <c r="C887" s="28" t="s">
        <v>2988</v>
      </c>
      <c r="D887" s="165" t="s">
        <v>2989</v>
      </c>
      <c r="E887" s="176">
        <v>1045758635</v>
      </c>
      <c r="F887" s="176" t="s">
        <v>2990</v>
      </c>
      <c r="G887" s="166">
        <v>186282967</v>
      </c>
      <c r="H887" s="188">
        <v>35523</v>
      </c>
      <c r="I887" s="231">
        <v>3</v>
      </c>
      <c r="J887" s="176">
        <v>6000317</v>
      </c>
      <c r="K887" s="28" t="s">
        <v>2991</v>
      </c>
    </row>
    <row r="888" spans="3:11" s="13" customFormat="1" x14ac:dyDescent="0.3">
      <c r="C888" s="28" t="s">
        <v>2998</v>
      </c>
      <c r="D888" s="165" t="s">
        <v>2999</v>
      </c>
      <c r="E888" s="176" t="s">
        <v>3000</v>
      </c>
      <c r="F888" s="176" t="s">
        <v>3001</v>
      </c>
      <c r="G888" s="166">
        <v>186282967</v>
      </c>
      <c r="H888" s="188">
        <v>26572</v>
      </c>
      <c r="I888" s="231">
        <v>3</v>
      </c>
      <c r="J888" s="176">
        <v>6000327</v>
      </c>
      <c r="K888" s="28" t="s">
        <v>26</v>
      </c>
    </row>
    <row r="889" spans="3:11" s="13" customFormat="1" x14ac:dyDescent="0.3">
      <c r="C889" s="28" t="s">
        <v>3008</v>
      </c>
      <c r="D889" s="165" t="s">
        <v>3015</v>
      </c>
      <c r="E889" s="176">
        <v>1070507362</v>
      </c>
      <c r="F889" s="176" t="s">
        <v>3009</v>
      </c>
      <c r="G889" s="166">
        <v>186282967</v>
      </c>
      <c r="H889" s="188">
        <v>31891</v>
      </c>
      <c r="I889" s="231">
        <v>3</v>
      </c>
      <c r="J889" s="176">
        <v>6000327</v>
      </c>
      <c r="K889" s="28" t="s">
        <v>26</v>
      </c>
    </row>
    <row r="890" spans="3:11" s="13" customFormat="1" x14ac:dyDescent="0.3">
      <c r="C890" s="28" t="s">
        <v>3010</v>
      </c>
      <c r="D890" s="165" t="s">
        <v>3014</v>
      </c>
      <c r="E890" s="176">
        <v>1088580116</v>
      </c>
      <c r="F890" s="176" t="s">
        <v>3011</v>
      </c>
      <c r="G890" s="166">
        <v>186282967</v>
      </c>
      <c r="H890" s="188">
        <v>33745</v>
      </c>
      <c r="I890" s="231">
        <v>3</v>
      </c>
      <c r="J890" s="176">
        <v>6000325</v>
      </c>
      <c r="K890" s="28" t="s">
        <v>151</v>
      </c>
    </row>
    <row r="891" spans="3:11" s="13" customFormat="1" x14ac:dyDescent="0.3">
      <c r="C891" s="28" t="s">
        <v>3012</v>
      </c>
      <c r="D891" s="165" t="s">
        <v>3013</v>
      </c>
      <c r="E891" s="176">
        <v>1484729354</v>
      </c>
      <c r="F891" s="176" t="s">
        <v>3017</v>
      </c>
      <c r="G891" s="166">
        <v>186282967</v>
      </c>
      <c r="H891" s="188">
        <v>35134</v>
      </c>
      <c r="I891" s="231">
        <v>3</v>
      </c>
      <c r="J891" s="176">
        <v>6000325</v>
      </c>
      <c r="K891" s="28" t="s">
        <v>151</v>
      </c>
    </row>
    <row r="892" spans="3:11" s="13" customFormat="1" x14ac:dyDescent="0.3">
      <c r="C892" s="28" t="s">
        <v>3018</v>
      </c>
      <c r="D892" s="165" t="s">
        <v>3019</v>
      </c>
      <c r="E892" s="176">
        <v>1083225918</v>
      </c>
      <c r="F892" s="176" t="s">
        <v>3020</v>
      </c>
      <c r="G892" s="166">
        <v>186282967</v>
      </c>
      <c r="H892" s="188">
        <v>33793</v>
      </c>
      <c r="I892" s="231">
        <v>3</v>
      </c>
      <c r="J892" s="176">
        <v>6000325</v>
      </c>
      <c r="K892" s="28" t="s">
        <v>151</v>
      </c>
    </row>
    <row r="893" spans="3:11" s="13" customFormat="1" x14ac:dyDescent="0.3">
      <c r="C893" s="28" t="s">
        <v>3021</v>
      </c>
      <c r="D893" s="165" t="s">
        <v>3022</v>
      </c>
      <c r="E893" s="176">
        <v>1047488015</v>
      </c>
      <c r="F893" s="176" t="s">
        <v>3023</v>
      </c>
      <c r="G893" s="166">
        <v>186282967</v>
      </c>
      <c r="H893" s="188">
        <v>34940</v>
      </c>
      <c r="I893" s="231">
        <v>3</v>
      </c>
      <c r="J893" s="176">
        <v>6000325</v>
      </c>
      <c r="K893" s="28" t="s">
        <v>151</v>
      </c>
    </row>
    <row r="894" spans="3:11" s="13" customFormat="1" x14ac:dyDescent="0.3">
      <c r="C894" s="28" t="s">
        <v>2998</v>
      </c>
      <c r="D894" s="165" t="s">
        <v>2999</v>
      </c>
      <c r="E894" s="176" t="s">
        <v>3000</v>
      </c>
      <c r="F894" s="176" t="s">
        <v>3001</v>
      </c>
      <c r="G894" s="166">
        <v>186282967</v>
      </c>
      <c r="H894" s="188">
        <v>26572</v>
      </c>
      <c r="I894" s="231">
        <v>3</v>
      </c>
      <c r="J894" s="176">
        <v>6000327</v>
      </c>
      <c r="K894" s="28" t="s">
        <v>26</v>
      </c>
    </row>
    <row r="895" spans="3:11" s="13" customFormat="1" x14ac:dyDescent="0.3">
      <c r="C895" s="28" t="s">
        <v>3027</v>
      </c>
      <c r="D895" s="165" t="s">
        <v>3028</v>
      </c>
      <c r="E895" s="176">
        <v>1229754649</v>
      </c>
      <c r="F895" s="176" t="s">
        <v>3029</v>
      </c>
      <c r="G895" s="166">
        <v>186282967</v>
      </c>
      <c r="H895" s="188">
        <v>34156</v>
      </c>
      <c r="I895" s="231">
        <v>3</v>
      </c>
      <c r="J895" s="176">
        <v>6000320</v>
      </c>
      <c r="K895" s="28" t="s">
        <v>31</v>
      </c>
    </row>
    <row r="896" spans="3:11" s="13" customFormat="1" x14ac:dyDescent="0.3">
      <c r="C896" s="28" t="s">
        <v>3030</v>
      </c>
      <c r="D896" s="165" t="s">
        <v>3032</v>
      </c>
      <c r="E896" s="176">
        <v>1487506281</v>
      </c>
      <c r="F896" s="176" t="s">
        <v>3031</v>
      </c>
      <c r="G896" s="166">
        <v>186282967</v>
      </c>
      <c r="H896" s="188">
        <v>35143</v>
      </c>
      <c r="I896" s="231">
        <v>5</v>
      </c>
      <c r="J896" s="176">
        <v>6100523</v>
      </c>
      <c r="K896" s="28" t="s">
        <v>223</v>
      </c>
    </row>
    <row r="897" spans="3:11" s="13" customFormat="1" x14ac:dyDescent="0.3">
      <c r="C897" s="28" t="s">
        <v>3033</v>
      </c>
      <c r="D897" s="165" t="s">
        <v>3034</v>
      </c>
      <c r="E897" s="176">
        <v>1056309134</v>
      </c>
      <c r="F897" s="176" t="s">
        <v>3035</v>
      </c>
      <c r="G897" s="166">
        <v>186282967</v>
      </c>
      <c r="H897" s="188">
        <v>33173</v>
      </c>
      <c r="I897" s="231">
        <v>3</v>
      </c>
      <c r="J897" s="176">
        <v>6000320</v>
      </c>
      <c r="K897" s="28" t="s">
        <v>2973</v>
      </c>
    </row>
    <row r="898" spans="3:11" s="13" customFormat="1" x14ac:dyDescent="0.3">
      <c r="C898" s="28" t="s">
        <v>3036</v>
      </c>
      <c r="D898" s="165" t="s">
        <v>3037</v>
      </c>
      <c r="E898" s="176">
        <v>1349742740</v>
      </c>
      <c r="F898" s="176" t="s">
        <v>3038</v>
      </c>
      <c r="G898" s="166">
        <v>186282967</v>
      </c>
      <c r="H898" s="188">
        <v>33791</v>
      </c>
      <c r="I898" s="231">
        <v>3</v>
      </c>
      <c r="J898" s="176">
        <v>6000320</v>
      </c>
      <c r="K898" s="28" t="s">
        <v>2973</v>
      </c>
    </row>
    <row r="899" spans="3:11" s="13" customFormat="1" x14ac:dyDescent="0.3">
      <c r="C899" s="28" t="s">
        <v>3039</v>
      </c>
      <c r="D899" s="165" t="s">
        <v>3040</v>
      </c>
      <c r="E899" s="176">
        <v>1131905796</v>
      </c>
      <c r="F899" s="176" t="s">
        <v>3041</v>
      </c>
      <c r="G899" s="166">
        <v>186282967</v>
      </c>
      <c r="H899" s="188">
        <v>31842</v>
      </c>
      <c r="I899" s="231">
        <v>5</v>
      </c>
      <c r="J899" s="176">
        <v>6100523</v>
      </c>
      <c r="K899" s="28" t="s">
        <v>643</v>
      </c>
    </row>
    <row r="900" spans="3:11" s="13" customFormat="1" x14ac:dyDescent="0.3">
      <c r="C900" s="28" t="s">
        <v>3042</v>
      </c>
      <c r="D900" s="165" t="s">
        <v>3043</v>
      </c>
      <c r="E900" s="176">
        <v>1059737648</v>
      </c>
      <c r="F900" s="176" t="s">
        <v>3044</v>
      </c>
      <c r="G900" s="166">
        <v>186282967</v>
      </c>
      <c r="H900" s="188">
        <v>36861</v>
      </c>
      <c r="I900" s="231">
        <v>3</v>
      </c>
      <c r="J900" s="176">
        <v>6000320</v>
      </c>
      <c r="K900" s="28" t="s">
        <v>3045</v>
      </c>
    </row>
    <row r="901" spans="3:11" s="13" customFormat="1" x14ac:dyDescent="0.3">
      <c r="C901" s="28" t="s">
        <v>3046</v>
      </c>
      <c r="D901" s="165" t="s">
        <v>3047</v>
      </c>
      <c r="E901" s="176">
        <v>1032261355</v>
      </c>
      <c r="F901" s="176" t="s">
        <v>3048</v>
      </c>
      <c r="G901" s="166">
        <v>186282967</v>
      </c>
      <c r="H901" s="188">
        <v>36878</v>
      </c>
      <c r="I901" s="231">
        <v>3</v>
      </c>
      <c r="J901" s="176">
        <v>6000320</v>
      </c>
      <c r="K901" s="28" t="s">
        <v>3045</v>
      </c>
    </row>
    <row r="902" spans="3:11" s="13" customFormat="1" x14ac:dyDescent="0.3">
      <c r="C902" s="28" t="s">
        <v>3049</v>
      </c>
      <c r="D902" s="165" t="s">
        <v>3050</v>
      </c>
      <c r="E902" s="176">
        <v>1393668683</v>
      </c>
      <c r="F902" s="176" t="s">
        <v>3051</v>
      </c>
      <c r="G902" s="166">
        <v>186282967</v>
      </c>
      <c r="H902" s="188">
        <v>36732</v>
      </c>
      <c r="I902" s="231">
        <v>3</v>
      </c>
      <c r="J902" s="176">
        <v>6000320</v>
      </c>
      <c r="K902" s="28" t="s">
        <v>3045</v>
      </c>
    </row>
    <row r="903" spans="3:11" s="13" customFormat="1" x14ac:dyDescent="0.3">
      <c r="C903" s="28" t="s">
        <v>3052</v>
      </c>
      <c r="D903" s="165" t="s">
        <v>3053</v>
      </c>
      <c r="E903" s="176">
        <v>1328630082</v>
      </c>
      <c r="F903" s="176" t="s">
        <v>3054</v>
      </c>
      <c r="G903" s="166">
        <v>186282967</v>
      </c>
      <c r="H903" s="188">
        <v>36749</v>
      </c>
      <c r="I903" s="231">
        <v>3</v>
      </c>
      <c r="J903" s="176">
        <v>6000320</v>
      </c>
      <c r="K903" s="28" t="s">
        <v>3045</v>
      </c>
    </row>
    <row r="904" spans="3:11" s="13" customFormat="1" x14ac:dyDescent="0.3">
      <c r="C904" s="28" t="s">
        <v>3055</v>
      </c>
      <c r="D904" s="165" t="s">
        <v>3056</v>
      </c>
      <c r="E904" s="176">
        <v>1061267106</v>
      </c>
      <c r="F904" s="176" t="s">
        <v>3057</v>
      </c>
      <c r="G904" s="166">
        <v>186282967</v>
      </c>
      <c r="H904" s="188">
        <v>36232</v>
      </c>
      <c r="I904" s="231">
        <v>3</v>
      </c>
      <c r="J904" s="176">
        <v>6000325</v>
      </c>
      <c r="K904" s="28" t="s">
        <v>151</v>
      </c>
    </row>
    <row r="905" spans="3:11" s="13" customFormat="1" x14ac:dyDescent="0.3">
      <c r="C905" s="28" t="s">
        <v>3058</v>
      </c>
      <c r="D905" s="165" t="s">
        <v>2702</v>
      </c>
      <c r="E905" s="176">
        <v>1015027302</v>
      </c>
      <c r="F905" s="176" t="s">
        <v>2703</v>
      </c>
      <c r="G905" s="166">
        <v>186282967</v>
      </c>
      <c r="H905" s="188">
        <v>35807</v>
      </c>
      <c r="I905" s="231">
        <v>3</v>
      </c>
      <c r="J905" s="176">
        <v>6000325</v>
      </c>
      <c r="K905" s="28" t="s">
        <v>151</v>
      </c>
    </row>
    <row r="906" spans="3:11" s="13" customFormat="1" x14ac:dyDescent="0.3">
      <c r="C906" s="28" t="s">
        <v>3059</v>
      </c>
      <c r="D906" s="165" t="s">
        <v>3063</v>
      </c>
      <c r="E906" s="176">
        <v>1447396781</v>
      </c>
      <c r="F906" s="176" t="s">
        <v>3060</v>
      </c>
      <c r="G906" s="166">
        <v>186282967</v>
      </c>
      <c r="H906" s="188">
        <v>35662</v>
      </c>
      <c r="I906" s="231">
        <v>3</v>
      </c>
      <c r="J906" s="176">
        <v>6000325</v>
      </c>
      <c r="K906" s="28" t="s">
        <v>151</v>
      </c>
    </row>
    <row r="907" spans="3:11" x14ac:dyDescent="0.3">
      <c r="C907" s="11" t="s">
        <v>3061</v>
      </c>
      <c r="D907" s="292" t="s">
        <v>3062</v>
      </c>
      <c r="E907" s="234">
        <v>1015645829</v>
      </c>
      <c r="F907" s="234" t="s">
        <v>2562</v>
      </c>
      <c r="G907" s="179">
        <v>186282967</v>
      </c>
      <c r="H907" s="289">
        <v>35246</v>
      </c>
      <c r="I907" s="293">
        <v>3</v>
      </c>
      <c r="J907" s="293">
        <v>6000325</v>
      </c>
      <c r="K907" s="46" t="s">
        <v>151</v>
      </c>
    </row>
  </sheetData>
  <mergeCells count="1">
    <mergeCell ref="J1:K1"/>
  </mergeCells>
  <hyperlinks>
    <hyperlink ref="D574" r:id="rId1" display="tel:081193274868"/>
    <hyperlink ref="K857" r:id="rId2" display="https://www.google.com/search?sca_esv=65b627a4699ea87d&amp;sxsrf=ACQVn08M9_A_zHY6gBqg5ubu5fIKVq48hQ:1713446193521&amp;q=DISC+JOCKEY&amp;spell=1&amp;sa=X&amp;ved=2ahUKEwiR-9K97MuFAxW6UKQEHcj1ClEQBSgAegQIBhAC"/>
  </hyperlinks>
  <pageMargins left="0.7" right="0.7" top="0.75" bottom="0.75" header="0.51180555555555496" footer="0.51180555555555496"/>
  <pageSetup paperSize="9" firstPageNumber="0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SOCIOS</vt:lpstr>
      <vt:lpstr>PUNTUALES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</dc:creator>
  <cp:keywords/>
  <dc:description/>
  <cp:lastModifiedBy>NURIA</cp:lastModifiedBy>
  <cp:revision>23</cp:revision>
  <dcterms:created xsi:type="dcterms:W3CDTF">2015-07-27T09:22:32Z</dcterms:created>
  <dcterms:modified xsi:type="dcterms:W3CDTF">2025-02-20T12:55:07Z</dcterms:modified>
  <cp:category/>
  <cp:contentStatus/>
</cp:coreProperties>
</file>
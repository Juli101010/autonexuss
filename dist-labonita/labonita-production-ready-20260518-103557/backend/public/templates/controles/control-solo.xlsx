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53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worksheets/sheet13.xml" ContentType="application/vnd.openxmlformats-officedocument.spreadsheetml.worksheet+xml"/>
  <Override PartName="/xl/worksheets/sheet42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68.xml" ContentType="application/vnd.openxmlformats-officedocument.spreadsheetml.worksheet+xml"/>
  <Default Extension="xml" ContentType="application/xml"/>
  <Override PartName="/xl/worksheets/sheet128.xml" ContentType="application/vnd.openxmlformats-officedocument.spreadsheetml.worksheet+xml"/>
  <Override PartName="/xl/worksheets/sheet157.xml" ContentType="application/vnd.openxmlformats-officedocument.spreadsheetml.worksheet+xml"/>
  <Override PartName="/xl/worksheets/sheet3.xml" ContentType="application/vnd.openxmlformats-officedocument.spreadsheetml.worksheet+xml"/>
  <Override PartName="/xl/worksheets/sheet9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64.xml" ContentType="application/vnd.openxmlformats-officedocument.spreadsheetml.worksheet+xml"/>
  <Override PartName="/xl/worksheets/sheet69.xml" ContentType="application/vnd.openxmlformats-officedocument.spreadsheetml.worksheet+xml"/>
  <Override PartName="/xl/worksheets/sheet8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76.xml" ContentType="application/vnd.openxmlformats-officedocument.spreadsheetml.worksheet+xml"/>
  <Override PartName="/xl/worksheets/sheet9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60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36.xml" ContentType="application/vnd.openxmlformats-officedocument.spreadsheetml.worksheet+xml"/>
  <Override PartName="/xl/worksheets/sheet54.xml" ContentType="application/vnd.openxmlformats-officedocument.spreadsheetml.worksheet+xml"/>
  <Override PartName="/xl/worksheets/sheet65.xml" ContentType="application/vnd.openxmlformats-officedocument.spreadsheetml.worksheet+xml"/>
  <Override PartName="/xl/worksheets/sheet83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25.xml" ContentType="application/vnd.openxmlformats-officedocument.spreadsheetml.worksheet+xml"/>
  <Override PartName="/xl/worksheets/sheet43.xml" ContentType="application/vnd.openxmlformats-officedocument.spreadsheetml.worksheet+xml"/>
  <Override PartName="/xl/worksheets/sheet72.xml" ContentType="application/vnd.openxmlformats-officedocument.spreadsheetml.worksheet+xml"/>
  <Override PartName="/xl/worksheets/sheet90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32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69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47.xml" ContentType="application/vnd.openxmlformats-officedocument.spreadsheetml.worksheet+xml"/>
  <Override PartName="/docProps/app.xml" ContentType="application/vnd.openxmlformats-officedocument.extended-properties+xml"/>
  <Override PartName="/xl/worksheets/sheet99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59.xml" ContentType="application/vnd.openxmlformats-officedocument.spreadsheetml.worksheet+xml"/>
  <Override PartName="/xl/worksheets/sheet77.xml" ContentType="application/vnd.openxmlformats-officedocument.spreadsheetml.worksheet+xml"/>
  <Override PartName="/xl/worksheets/sheet88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2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48.xml" ContentType="application/vnd.openxmlformats-officedocument.spreadsheetml.worksheet+xml"/>
  <Override PartName="/xl/worksheets/sheet66.xml" ContentType="application/vnd.openxmlformats-officedocument.spreadsheetml.worksheet+xml"/>
  <Override PartName="/xl/worksheets/sheet95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55.xml" ContentType="application/vnd.openxmlformats-officedocument.spreadsheetml.worksheet+xml"/>
  <Override PartName="/xl/worksheets/sheet64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30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worksheets/sheet91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worksheets/sheet159.xml" ContentType="application/vnd.openxmlformats-officedocument.spreadsheetml.worksheet+xml"/>
  <Default Extension="rels" ContentType="application/vnd.openxmlformats-package.relationships+xml"/>
  <Override PartName="/xl/worksheets/sheet5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66.xml" ContentType="application/vnd.openxmlformats-officedocument.spreadsheetml.worksheet+xml"/>
  <Override PartName="/xl/worksheets/sheet8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55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78.xml" ContentType="application/vnd.openxmlformats-officedocument.spreadsheetml.worksheet+xml"/>
  <Override PartName="/xl/worksheets/sheet96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62.xml" ContentType="application/vnd.openxmlformats-officedocument.spreadsheetml.worksheet+xml"/>
  <Override PartName="/xl/worksheets/sheet38.xml" ContentType="application/vnd.openxmlformats-officedocument.spreadsheetml.worksheet+xml"/>
  <Override PartName="/xl/worksheets/sheet67.xml" ContentType="application/vnd.openxmlformats-officedocument.spreadsheetml.worksheet+xml"/>
  <Override PartName="/xl/worksheets/sheet85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27.xml" ContentType="application/vnd.openxmlformats-officedocument.spreadsheetml.worksheet+xml"/>
  <Override PartName="/xl/worksheets/sheet45.xml" ContentType="application/vnd.openxmlformats-officedocument.spreadsheetml.worksheet+xml"/>
  <Override PartName="/xl/worksheets/sheet56.xml" ContentType="application/vnd.openxmlformats-officedocument.spreadsheetml.worksheet+xml"/>
  <Override PartName="/xl/worksheets/sheet74.xml" ContentType="application/vnd.openxmlformats-officedocument.spreadsheetml.worksheet+xml"/>
  <Override PartName="/xl/worksheets/sheet9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8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23.xml" ContentType="application/vnd.openxmlformats-officedocument.spreadsheetml.worksheet+xml"/>
  <Override PartName="/xl/worksheets/sheet41.xml" ContentType="application/vnd.openxmlformats-officedocument.spreadsheetml.worksheet+xml"/>
  <Override PartName="/xl/worksheets/sheet70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2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45.xml" ContentType="application/vnd.openxmlformats-officedocument.spreadsheetml.worksheet+xml"/>
  <Override PartName="/xl/worksheets/sheet68.xml" ContentType="application/vnd.openxmlformats-officedocument.spreadsheetml.worksheet+xml"/>
  <Override PartName="/xl/worksheets/sheet79.xml" ContentType="application/vnd.openxmlformats-officedocument.spreadsheetml.worksheet+xml"/>
  <Override PartName="/xl/worksheets/sheet97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57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7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 autoCompressPictures="0"/>
  <bookViews>
    <workbookView xWindow="15315" yWindow="825" windowWidth="36465" windowHeight="16440" tabRatio="903" firstSheet="146" activeTab="166"/>
  </bookViews>
  <sheets>
    <sheet name="Nueva plantilla 2019" sheetId="185" r:id="rId1"/>
    <sheet name="ADRMM" sheetId="316" r:id="rId2"/>
    <sheet name="ADRSM" sheetId="25" r:id="rId3"/>
    <sheet name="AINRV" sheetId="253" r:id="rId4"/>
    <sheet name="ALBAF" sheetId="335" r:id="rId5"/>
    <sheet name="ALBCP" sheetId="85" r:id="rId6"/>
    <sheet name="ALBRG" sheetId="355" r:id="rId7"/>
    <sheet name="ALBRS" sheetId="270" r:id="rId8"/>
    <sheet name="ALBVO" sheetId="63" r:id="rId9"/>
    <sheet name="ALEGL" sheetId="324" r:id="rId10"/>
    <sheet name="ALFP" sheetId="307" r:id="rId11"/>
    <sheet name="ANABG" sheetId="345" r:id="rId12"/>
    <sheet name="ANACF" sheetId="252" r:id="rId13"/>
    <sheet name="ANGN" sheetId="198" r:id="rId14"/>
    <sheet name="ANJK" sheetId="311" r:id="rId15"/>
    <sheet name="ANNACU" sheetId="232" r:id="rId16"/>
    <sheet name="ANDGUZ" sheetId="195" r:id="rId17"/>
    <sheet name="ANGRR" sheetId="33" r:id="rId18"/>
    <sheet name="ARALM" sheetId="305" r:id="rId19"/>
    <sheet name="ANTJAS" sheetId="93" r:id="rId20"/>
    <sheet name="ANTROV" sheetId="302" r:id="rId21"/>
    <sheet name="ANNFB" sheetId="30" r:id="rId22"/>
    <sheet name="ANNMCOL" sheetId="283" r:id="rId23"/>
    <sheet name="ARCP" sheetId="122" r:id="rId24"/>
    <sheet name="ARNAND" sheetId="220" r:id="rId25"/>
    <sheet name="AURCR" sheetId="354" r:id="rId26"/>
    <sheet name="BAIG" sheetId="372" r:id="rId27"/>
    <sheet name="BRUT" sheetId="374" r:id="rId28"/>
    <sheet name="CARS" sheetId="237" r:id="rId29"/>
    <sheet name="CARF" sheetId="378" r:id="rId30"/>
    <sheet name="CATAMC" sheetId="362" r:id="rId31"/>
    <sheet name="CECAM" sheetId="341" r:id="rId32"/>
    <sheet name="CESLOP" sheetId="146" r:id="rId33"/>
    <sheet name="CYNPM" sheetId="376" r:id="rId34"/>
    <sheet name="CLAG" sheetId="137" r:id="rId35"/>
    <sheet name="CLAGF" sheetId="347" r:id="rId36"/>
    <sheet name="CRIGB" sheetId="338" r:id="rId37"/>
    <sheet name="CRIGM" sheetId="101" r:id="rId38"/>
    <sheet name="DALBO" sheetId="361" r:id="rId39"/>
    <sheet name="DANPOC" sheetId="373" r:id="rId40"/>
    <sheet name="DAVPRI" sheetId="164" r:id="rId41"/>
    <sheet name="DAVMP" sheetId="264" r:id="rId42"/>
    <sheet name="DAVTI" sheetId="136" r:id="rId43"/>
    <sheet name="DESISTAN" sheetId="197" r:id="rId44"/>
    <sheet name="DIAPLA" sheetId="245" r:id="rId45"/>
    <sheet name="DIDGM" sheetId="299" r:id="rId46"/>
    <sheet name="DOMMS" sheetId="76" r:id="rId47"/>
    <sheet name="ELELALU" sheetId="174" r:id="rId48"/>
    <sheet name="ELICAU" sheetId="178" r:id="rId49"/>
    <sheet name="ELIMM" sheetId="375" r:id="rId50"/>
    <sheet name="EMIGF" sheetId="336" r:id="rId51"/>
    <sheet name="EMMAVL" sheetId="74" r:id="rId52"/>
    <sheet name="EMMD" sheetId="26" r:id="rId53"/>
    <sheet name="EULSG" sheetId="46" r:id="rId54"/>
    <sheet name="FATCT" sheetId="352" r:id="rId55"/>
    <sheet name="FINPM" sheetId="278" r:id="rId56"/>
    <sheet name="FRABM" sheetId="41" r:id="rId57"/>
    <sheet name="FRARD" sheetId="83" r:id="rId58"/>
    <sheet name="GEMBB" sheetId="134" r:id="rId59"/>
    <sheet name="GEORVARD" sheetId="190" r:id="rId60"/>
    <sheet name="GERCL" sheetId="340" r:id="rId61"/>
    <sheet name="GINBG" sheetId="260" r:id="rId62"/>
    <sheet name="GONCG" sheetId="42" r:id="rId63"/>
    <sheet name="GRETOR" sheetId="369" r:id="rId64"/>
    <sheet name="GUIVLL" sheetId="125" r:id="rId65"/>
    <sheet name="HECGC" sheetId="31" r:id="rId66"/>
    <sheet name="HELMR" sheetId="282" r:id="rId67"/>
    <sheet name="IANGL" sheetId="346" r:id="rId68"/>
    <sheet name="IGNM" sheetId="32" r:id="rId69"/>
    <sheet name="INEGB" sheetId="303" r:id="rId70"/>
    <sheet name="IVAD" sheetId="272" r:id="rId71"/>
    <sheet name="JACV" sheetId="279" r:id="rId72"/>
    <sheet name="JADM" sheetId="348" r:id="rId73"/>
    <sheet name="JEABB" sheetId="333" r:id="rId74"/>
    <sheet name="JESN" sheetId="241" r:id="rId75"/>
    <sheet name="JONGC" sheetId="356" r:id="rId76"/>
    <sheet name="JONGM" sheetId="349" r:id="rId77"/>
    <sheet name="JORVILA" sheetId="368" r:id="rId78"/>
    <sheet name="JORGA" sheetId="214" r:id="rId79"/>
    <sheet name="JORFDR" sheetId="171" r:id="rId80"/>
    <sheet name="JOAL" sheetId="14" r:id="rId81"/>
    <sheet name="JORAJ" sheetId="6" r:id="rId82"/>
    <sheet name="JORD" sheetId="124" r:id="rId83"/>
    <sheet name="JUABN" sheetId="47" r:id="rId84"/>
    <sheet name="JUACS" sheetId="98" r:id="rId85"/>
    <sheet name="JULCAP" sheetId="371" r:id="rId86"/>
    <sheet name="JORPA" sheetId="343" r:id="rId87"/>
    <sheet name="JOSLDLTC" sheetId="329" r:id="rId88"/>
    <sheet name="JUDBEL" sheetId="360" r:id="rId89"/>
    <sheet name="JUDO" sheetId="287" r:id="rId90"/>
    <sheet name="JULB" sheetId="130" r:id="rId91"/>
    <sheet name="JULNO" sheetId="301" r:id="rId92"/>
    <sheet name="KARSTETS" sheetId="173" r:id="rId93"/>
    <sheet name="KATS" sheetId="358" r:id="rId94"/>
    <sheet name="KRIMB" sheetId="72" r:id="rId95"/>
    <sheet name="LAIJR" sheetId="330" r:id="rId96"/>
    <sheet name="LAIM" sheetId="290" r:id="rId97"/>
    <sheet name="LARRG" sheetId="274" r:id="rId98"/>
    <sheet name="LAUARA" sheetId="233" r:id="rId99"/>
    <sheet name="LAUS" sheetId="285" r:id="rId100"/>
    <sheet name="LEIM" sheetId="262" r:id="rId101"/>
    <sheet name="LINVEL" sheetId="205" r:id="rId102"/>
    <sheet name="LISTRA" sheetId="177" r:id="rId103"/>
    <sheet name="LINMJ" sheetId="331" r:id="rId104"/>
    <sheet name="LUCDG" sheetId="292" r:id="rId105"/>
    <sheet name="LUIFM" sheetId="139" r:id="rId106"/>
    <sheet name="MACPONS" sheetId="194" r:id="rId107"/>
    <sheet name="MACT" sheetId="365" r:id="rId108"/>
    <sheet name="MANJZ" sheetId="337" r:id="rId109"/>
    <sheet name="MARCG" sheetId="96" r:id="rId110"/>
    <sheet name="MARDRS" sheetId="317" r:id="rId111"/>
    <sheet name="MARGC" sheetId="75" r:id="rId112"/>
    <sheet name="MARIGA" sheetId="109" r:id="rId113"/>
    <sheet name="MARMA" sheetId="155" r:id="rId114"/>
    <sheet name="MARLL" sheetId="294" r:id="rId115"/>
    <sheet name="MARRSA" sheetId="309" r:id="rId116"/>
    <sheet name="MARSS" sheetId="344" r:id="rId117"/>
    <sheet name="MARSVN" sheetId="57" r:id="rId118"/>
    <sheet name="MARTCAM" sheetId="184" r:id="rId119"/>
    <sheet name="MARVILL" sheetId="199" r:id="rId120"/>
    <sheet name="MAUDP" sheetId="126" r:id="rId121"/>
    <sheet name="MAUV" sheetId="5" r:id="rId122"/>
    <sheet name="MEREJ" sheetId="88" r:id="rId123"/>
    <sheet name="MEUGCAS" sheetId="69" r:id="rId124"/>
    <sheet name="MALR" sheetId="377" r:id="rId125"/>
    <sheet name="MIGGP" sheetId="273" r:id="rId126"/>
    <sheet name="MINCAS" sheetId="188" r:id="rId127"/>
    <sheet name="MONCL" sheetId="284" r:id="rId128"/>
    <sheet name="MONYMH" sheetId="313" r:id="rId129"/>
    <sheet name="NAHAG" sheetId="314" r:id="rId130"/>
    <sheet name="NEUCA" sheetId="79" r:id="rId131"/>
    <sheet name="NICAB" sheetId="64" r:id="rId132"/>
    <sheet name="NICV" sheetId="60" r:id="rId133"/>
    <sheet name="NOEMEN" sheetId="357" r:id="rId134"/>
    <sheet name="NURGLL" sheetId="334" r:id="rId135"/>
    <sheet name="OLGA" sheetId="308" r:id="rId136"/>
    <sheet name="ORIPLA" sheetId="210" r:id="rId137"/>
    <sheet name="OSKM" sheetId="209" r:id="rId138"/>
    <sheet name="PABR" sheetId="65" r:id="rId139"/>
    <sheet name="PABRG" sheetId="2" r:id="rId140"/>
    <sheet name="PATU" sheetId="7" r:id="rId141"/>
    <sheet name="PAUBAS" sheetId="179" r:id="rId142"/>
    <sheet name="PAUSS" sheetId="113" r:id="rId143"/>
    <sheet name="QUIVC" sheetId="342" r:id="rId144"/>
    <sheet name="RACAA" sheetId="18" r:id="rId145"/>
    <sheet name="RAPCAG" sheetId="325" r:id="rId146"/>
    <sheet name="RAQBA" sheetId="265" r:id="rId147"/>
    <sheet name="RICGAST" sheetId="204" r:id="rId148"/>
    <sheet name="ROCAH" sheetId="280" r:id="rId149"/>
    <sheet name="RUBPV" sheetId="297" r:id="rId150"/>
    <sheet name="SALVRIBA" sheetId="183" r:id="rId151"/>
    <sheet name="SALVSANCH" sheetId="191" r:id="rId152"/>
    <sheet name="SELA" sheetId="351" r:id="rId153"/>
    <sheet name="STIK" sheetId="68" r:id="rId154"/>
    <sheet name="SOFDEM" sheetId="221" r:id="rId155"/>
    <sheet name="SONEM" sheetId="140" r:id="rId156"/>
    <sheet name="SONG" sheetId="116" r:id="rId157"/>
    <sheet name="THAJUL" sheetId="229" r:id="rId158"/>
    <sheet name="THAPFA" sheetId="332" r:id="rId159"/>
    <sheet name="TIZC" sheetId="226" r:id="rId160"/>
    <sheet name="TOMT" sheetId="127" r:id="rId161"/>
    <sheet name="TOMZET" sheetId="181" r:id="rId162"/>
    <sheet name="TUPMD" sheetId="45" r:id="rId163"/>
    <sheet name="VANPER" sheetId="370" r:id="rId164"/>
    <sheet name="VICCA" sheetId="240" r:id="rId165"/>
    <sheet name="VICR" sheetId="37" r:id="rId166"/>
    <sheet name="XABE" sheetId="159" r:id="rId167"/>
    <sheet name="XAVGI" sheetId="56" r:id="rId168"/>
    <sheet name="XAVSAN" sheetId="367" r:id="rId169"/>
    <sheet name="XEVCA" sheetId="364" r:id="rId170"/>
    <sheet name="YOERS" sheetId="310" r:id="rId171"/>
    <sheet name="PUNTUALES" sheetId="15" r:id="rId172"/>
  </sheets>
  <calcPr calcId="125725" concurrentCalc="0"/>
  <extLs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44" i="15"/>
  <c r="G44"/>
  <c r="I44"/>
  <c r="J44"/>
  <c r="N44"/>
  <c r="K44"/>
  <c r="O42"/>
  <c r="G42"/>
  <c r="I42"/>
  <c r="J42"/>
  <c r="N42"/>
  <c r="K42"/>
  <c r="O40"/>
  <c r="G40"/>
  <c r="I40"/>
  <c r="J40"/>
  <c r="N40"/>
  <c r="K40"/>
  <c r="O38"/>
  <c r="G38"/>
  <c r="I38"/>
  <c r="J38"/>
  <c r="N38"/>
  <c r="K38"/>
  <c r="O36"/>
  <c r="G36"/>
  <c r="I36"/>
  <c r="J36"/>
  <c r="N36"/>
  <c r="K36"/>
  <c r="O34"/>
  <c r="G34"/>
  <c r="I34"/>
  <c r="J34"/>
  <c r="N34"/>
  <c r="K34"/>
  <c r="O32"/>
  <c r="G32"/>
  <c r="I32"/>
  <c r="J32"/>
  <c r="N32"/>
  <c r="K32"/>
  <c r="O30"/>
  <c r="G30"/>
  <c r="I30"/>
  <c r="J30"/>
  <c r="N30"/>
  <c r="K30"/>
  <c r="O28"/>
  <c r="G28"/>
  <c r="I28"/>
  <c r="J28"/>
  <c r="N28"/>
  <c r="K28"/>
  <c r="O26"/>
  <c r="G26"/>
  <c r="I26"/>
  <c r="J26"/>
  <c r="N26"/>
  <c r="K26"/>
  <c r="O24"/>
  <c r="G24"/>
  <c r="I24"/>
  <c r="J24"/>
  <c r="N24"/>
  <c r="K24"/>
  <c r="O22"/>
  <c r="G22"/>
  <c r="I22"/>
  <c r="J22"/>
  <c r="N22"/>
  <c r="K22"/>
  <c r="O20"/>
  <c r="G20"/>
  <c r="I20"/>
  <c r="J20"/>
  <c r="N20"/>
  <c r="K20"/>
  <c r="O18"/>
  <c r="G18"/>
  <c r="I18"/>
  <c r="J18"/>
  <c r="N18"/>
  <c r="K18"/>
  <c r="O16"/>
  <c r="G16"/>
  <c r="I16"/>
  <c r="J16"/>
  <c r="N16"/>
  <c r="K16"/>
  <c r="O14"/>
  <c r="G14"/>
  <c r="I14"/>
  <c r="J14"/>
  <c r="N14"/>
  <c r="K14"/>
  <c r="O12"/>
  <c r="G12"/>
  <c r="I12"/>
  <c r="J12"/>
  <c r="N12"/>
  <c r="K12"/>
  <c r="O10"/>
  <c r="G10"/>
  <c r="I10"/>
  <c r="J10"/>
  <c r="N10"/>
  <c r="K10"/>
  <c r="O8"/>
  <c r="G8"/>
  <c r="I8"/>
  <c r="J8"/>
  <c r="N8"/>
  <c r="K8"/>
  <c r="O6"/>
  <c r="G6"/>
  <c r="I6"/>
  <c r="J6"/>
  <c r="N6"/>
  <c r="K6"/>
  <c r="O44" i="45"/>
  <c r="G44"/>
  <c r="I44"/>
  <c r="J44"/>
  <c r="N44"/>
  <c r="K44"/>
  <c r="O42"/>
  <c r="G42"/>
  <c r="I42"/>
  <c r="J42"/>
  <c r="N42"/>
  <c r="K42"/>
  <c r="O40"/>
  <c r="G40"/>
  <c r="I40"/>
  <c r="J40"/>
  <c r="N40"/>
  <c r="K40"/>
  <c r="O38"/>
  <c r="G38"/>
  <c r="I38"/>
  <c r="J38"/>
  <c r="N38"/>
  <c r="K38"/>
  <c r="O36"/>
  <c r="G36"/>
  <c r="I36"/>
  <c r="J36"/>
  <c r="N36"/>
  <c r="K36"/>
  <c r="O34"/>
  <c r="G34"/>
  <c r="I34"/>
  <c r="J34"/>
  <c r="N34"/>
  <c r="K34"/>
  <c r="O32"/>
  <c r="G32"/>
  <c r="I32"/>
  <c r="J32"/>
  <c r="N32"/>
  <c r="K32"/>
  <c r="O30"/>
  <c r="G30"/>
  <c r="I30"/>
  <c r="J30"/>
  <c r="N30"/>
  <c r="K30"/>
  <c r="O28"/>
  <c r="G28"/>
  <c r="I28"/>
  <c r="J28"/>
  <c r="N28"/>
  <c r="K28"/>
  <c r="O26"/>
  <c r="G26"/>
  <c r="I26"/>
  <c r="J26"/>
  <c r="N26"/>
  <c r="K26"/>
  <c r="O24"/>
  <c r="G24"/>
  <c r="I24"/>
  <c r="J24"/>
  <c r="N24"/>
  <c r="K24"/>
  <c r="O22"/>
  <c r="G22"/>
  <c r="I22"/>
  <c r="J22"/>
  <c r="N22"/>
  <c r="K22"/>
  <c r="O20"/>
  <c r="G20"/>
  <c r="I20"/>
  <c r="J20"/>
  <c r="N20"/>
  <c r="K20"/>
  <c r="O18"/>
  <c r="G18"/>
  <c r="I18"/>
  <c r="J18"/>
  <c r="N18"/>
  <c r="K18"/>
  <c r="O16"/>
  <c r="G16"/>
  <c r="I16"/>
  <c r="J16"/>
  <c r="N16"/>
  <c r="K16"/>
  <c r="O14"/>
  <c r="G14"/>
  <c r="I14"/>
  <c r="J14"/>
  <c r="N14"/>
  <c r="K14"/>
  <c r="O12"/>
  <c r="G12"/>
  <c r="I12"/>
  <c r="J12"/>
  <c r="N12"/>
  <c r="K12"/>
  <c r="O10"/>
  <c r="G10"/>
  <c r="I10"/>
  <c r="J10"/>
  <c r="N10"/>
  <c r="K10"/>
  <c r="O8"/>
  <c r="G8"/>
  <c r="I8"/>
  <c r="J8"/>
  <c r="N8"/>
  <c r="K8"/>
  <c r="O6"/>
  <c r="G6"/>
  <c r="I6"/>
  <c r="J6"/>
  <c r="N6"/>
  <c r="K6"/>
  <c r="O44" i="116"/>
  <c r="G44"/>
  <c r="I44"/>
  <c r="J44"/>
  <c r="N44"/>
  <c r="K44"/>
  <c r="O42"/>
  <c r="G42"/>
  <c r="I42"/>
  <c r="J42"/>
  <c r="N42"/>
  <c r="K42"/>
  <c r="O40"/>
  <c r="G40"/>
  <c r="I40"/>
  <c r="J40"/>
  <c r="N40"/>
  <c r="K40"/>
  <c r="O38"/>
  <c r="G38"/>
  <c r="I38"/>
  <c r="J38"/>
  <c r="N38"/>
  <c r="K38"/>
  <c r="O36"/>
  <c r="G36"/>
  <c r="I36"/>
  <c r="J36"/>
  <c r="N36"/>
  <c r="K36"/>
  <c r="O34"/>
  <c r="G34"/>
  <c r="I34"/>
  <c r="J34"/>
  <c r="N34"/>
  <c r="K34"/>
  <c r="O32"/>
  <c r="G32"/>
  <c r="I32"/>
  <c r="J32"/>
  <c r="N32"/>
  <c r="K32"/>
  <c r="O30"/>
  <c r="G30"/>
  <c r="I30"/>
  <c r="J30"/>
  <c r="N30"/>
  <c r="K30"/>
  <c r="O28"/>
  <c r="G28"/>
  <c r="I28"/>
  <c r="J28"/>
  <c r="N28"/>
  <c r="K28"/>
  <c r="O26"/>
  <c r="G26"/>
  <c r="I26"/>
  <c r="J26"/>
  <c r="N26"/>
  <c r="K26"/>
  <c r="O24"/>
  <c r="G24"/>
  <c r="I24"/>
  <c r="J24"/>
  <c r="N24"/>
  <c r="K24"/>
  <c r="O22"/>
  <c r="G22"/>
  <c r="I22"/>
  <c r="J22"/>
  <c r="N22"/>
  <c r="K22"/>
  <c r="O20"/>
  <c r="G20"/>
  <c r="I20"/>
  <c r="J20"/>
  <c r="N20"/>
  <c r="K20"/>
  <c r="O18"/>
  <c r="G18"/>
  <c r="I18"/>
  <c r="J18"/>
  <c r="N18"/>
  <c r="K18"/>
  <c r="O16"/>
  <c r="G16"/>
  <c r="I16"/>
  <c r="J16"/>
  <c r="N16"/>
  <c r="K16"/>
  <c r="O14"/>
  <c r="G14"/>
  <c r="I14"/>
  <c r="J14"/>
  <c r="N14"/>
  <c r="K14"/>
  <c r="O12"/>
  <c r="G12"/>
  <c r="I12"/>
  <c r="J12"/>
  <c r="N12"/>
  <c r="K12"/>
  <c r="O10"/>
  <c r="G10"/>
  <c r="I10"/>
  <c r="J10"/>
  <c r="N10"/>
  <c r="K10"/>
  <c r="O8"/>
  <c r="G8"/>
  <c r="I8"/>
  <c r="J8"/>
  <c r="N8"/>
  <c r="K8"/>
  <c r="O6"/>
  <c r="G6"/>
  <c r="I6"/>
  <c r="J6"/>
  <c r="N6"/>
  <c r="K6"/>
  <c r="O44" i="351"/>
  <c r="G44"/>
  <c r="I44"/>
  <c r="J44"/>
  <c r="N44"/>
  <c r="K44"/>
  <c r="O42"/>
  <c r="G42"/>
  <c r="I42"/>
  <c r="J42"/>
  <c r="N42"/>
  <c r="K42"/>
  <c r="O40"/>
  <c r="G40"/>
  <c r="I40"/>
  <c r="J40"/>
  <c r="N40"/>
  <c r="K40"/>
  <c r="O38"/>
  <c r="G38"/>
  <c r="I38"/>
  <c r="J38"/>
  <c r="N38"/>
  <c r="K38"/>
  <c r="O36"/>
  <c r="G36"/>
  <c r="I36"/>
  <c r="J36"/>
  <c r="N36"/>
  <c r="K36"/>
  <c r="O34"/>
  <c r="G34"/>
  <c r="I34"/>
  <c r="J34"/>
  <c r="N34"/>
  <c r="K34"/>
  <c r="O32"/>
  <c r="G32"/>
  <c r="I32"/>
  <c r="J32"/>
  <c r="N32"/>
  <c r="K32"/>
  <c r="O30"/>
  <c r="G30"/>
  <c r="I30"/>
  <c r="J30"/>
  <c r="N30"/>
  <c r="K30"/>
  <c r="O28"/>
  <c r="G28"/>
  <c r="I28"/>
  <c r="J28"/>
  <c r="N28"/>
  <c r="K28"/>
  <c r="O26"/>
  <c r="G26"/>
  <c r="I26"/>
  <c r="J26"/>
  <c r="N26"/>
  <c r="K26"/>
  <c r="O24"/>
  <c r="G24"/>
  <c r="I24"/>
  <c r="J24"/>
  <c r="N24"/>
  <c r="K24"/>
  <c r="O22"/>
  <c r="G22"/>
  <c r="I22"/>
  <c r="J22"/>
  <c r="N22"/>
  <c r="K22"/>
  <c r="O20"/>
  <c r="G20"/>
  <c r="I20"/>
  <c r="J20"/>
  <c r="N20"/>
  <c r="K20"/>
  <c r="O18"/>
  <c r="G18"/>
  <c r="I18"/>
  <c r="J18"/>
  <c r="N18"/>
  <c r="K18"/>
  <c r="O16"/>
  <c r="G16"/>
  <c r="I16"/>
  <c r="J16"/>
  <c r="N16"/>
  <c r="K16"/>
  <c r="O14"/>
  <c r="G14"/>
  <c r="I14"/>
  <c r="J14"/>
  <c r="N14"/>
  <c r="K14"/>
  <c r="O12"/>
  <c r="G12"/>
  <c r="I12"/>
  <c r="J12"/>
  <c r="N12"/>
  <c r="K12"/>
  <c r="O10"/>
  <c r="G10"/>
  <c r="I10"/>
  <c r="J10"/>
  <c r="N10"/>
  <c r="K10"/>
  <c r="O8"/>
  <c r="G8"/>
  <c r="I8"/>
  <c r="J8"/>
  <c r="N8"/>
  <c r="K8"/>
  <c r="O6"/>
  <c r="G6"/>
  <c r="I6"/>
  <c r="J6"/>
  <c r="N6"/>
  <c r="K6"/>
  <c r="O43" i="210"/>
  <c r="G43"/>
  <c r="I43"/>
  <c r="J43"/>
  <c r="N43"/>
  <c r="K43"/>
  <c r="O41"/>
  <c r="G41"/>
  <c r="I41"/>
  <c r="J41"/>
  <c r="N41"/>
  <c r="K41"/>
  <c r="O39"/>
  <c r="G39"/>
  <c r="I39"/>
  <c r="J39"/>
  <c r="N39"/>
  <c r="K39"/>
  <c r="O37"/>
  <c r="G37"/>
  <c r="I37"/>
  <c r="J37"/>
  <c r="N37"/>
  <c r="K37"/>
  <c r="O35"/>
  <c r="G35"/>
  <c r="I35"/>
  <c r="J35"/>
  <c r="N35"/>
  <c r="K35"/>
  <c r="O33"/>
  <c r="G33"/>
  <c r="I33"/>
  <c r="J33"/>
  <c r="N33"/>
  <c r="K33"/>
  <c r="O31"/>
  <c r="G31"/>
  <c r="I31"/>
  <c r="J31"/>
  <c r="N31"/>
  <c r="K31"/>
  <c r="O29"/>
  <c r="G29"/>
  <c r="I29"/>
  <c r="J29"/>
  <c r="N29"/>
  <c r="K29"/>
  <c r="O27"/>
  <c r="G27"/>
  <c r="I27"/>
  <c r="J27"/>
  <c r="N27"/>
  <c r="K27"/>
  <c r="O25"/>
  <c r="G25"/>
  <c r="I25"/>
  <c r="J25"/>
  <c r="N25"/>
  <c r="K25"/>
  <c r="O23"/>
  <c r="G23"/>
  <c r="I23"/>
  <c r="J23"/>
  <c r="N23"/>
  <c r="K23"/>
  <c r="O21"/>
  <c r="G21"/>
  <c r="I21"/>
  <c r="J21"/>
  <c r="N21"/>
  <c r="K21"/>
  <c r="O19"/>
  <c r="G19"/>
  <c r="I19"/>
  <c r="J19"/>
  <c r="N19"/>
  <c r="K19"/>
  <c r="O17"/>
  <c r="G17"/>
  <c r="I17"/>
  <c r="J17"/>
  <c r="N17"/>
  <c r="K17"/>
  <c r="O15"/>
  <c r="G15"/>
  <c r="I15"/>
  <c r="J15"/>
  <c r="N15"/>
  <c r="K15"/>
  <c r="O13"/>
  <c r="G13"/>
  <c r="I13"/>
  <c r="J13"/>
  <c r="N13"/>
  <c r="K13"/>
  <c r="O11"/>
  <c r="G11"/>
  <c r="I11"/>
  <c r="J11"/>
  <c r="N11"/>
  <c r="K11"/>
  <c r="O9"/>
  <c r="G9"/>
  <c r="I9"/>
  <c r="J9"/>
  <c r="N9"/>
  <c r="K9"/>
  <c r="O7"/>
  <c r="G7"/>
  <c r="I7"/>
  <c r="J7"/>
  <c r="N7"/>
  <c r="K7"/>
  <c r="O5"/>
  <c r="G5"/>
  <c r="I5"/>
  <c r="J5"/>
  <c r="N5"/>
  <c r="K5"/>
  <c r="O30" i="308"/>
  <c r="G30"/>
  <c r="I30"/>
  <c r="J30"/>
  <c r="N30"/>
  <c r="K30"/>
  <c r="O28"/>
  <c r="G28"/>
  <c r="I28"/>
  <c r="J28"/>
  <c r="N28"/>
  <c r="K28"/>
  <c r="O26"/>
  <c r="G26"/>
  <c r="I26"/>
  <c r="J26"/>
  <c r="N26"/>
  <c r="K26"/>
  <c r="O24"/>
  <c r="G24"/>
  <c r="I24"/>
  <c r="J24"/>
  <c r="N24"/>
  <c r="K24"/>
  <c r="O22"/>
  <c r="G22"/>
  <c r="I22"/>
  <c r="J22"/>
  <c r="N22"/>
  <c r="K22"/>
  <c r="O20"/>
  <c r="G20"/>
  <c r="I20"/>
  <c r="J20"/>
  <c r="N20"/>
  <c r="K20"/>
  <c r="O18"/>
  <c r="G18"/>
  <c r="I18"/>
  <c r="J18"/>
  <c r="N18"/>
  <c r="K18"/>
  <c r="O16"/>
  <c r="G16"/>
  <c r="I16"/>
  <c r="J16"/>
  <c r="N16"/>
  <c r="K16"/>
  <c r="O14"/>
  <c r="G14"/>
  <c r="I14"/>
  <c r="J14"/>
  <c r="N14"/>
  <c r="K14"/>
  <c r="O12"/>
  <c r="G12"/>
  <c r="I12"/>
  <c r="J12"/>
  <c r="N12"/>
  <c r="K12"/>
  <c r="O10"/>
  <c r="G10"/>
  <c r="I10"/>
  <c r="J10"/>
  <c r="N10"/>
  <c r="K10"/>
  <c r="O8"/>
  <c r="G8"/>
  <c r="I8"/>
  <c r="J8"/>
  <c r="N8"/>
  <c r="K8"/>
  <c r="O6"/>
  <c r="G6"/>
  <c r="I6"/>
  <c r="J6"/>
  <c r="N6"/>
  <c r="K6"/>
  <c r="O30" i="64"/>
  <c r="G30"/>
  <c r="I30"/>
  <c r="J30"/>
  <c r="N30"/>
  <c r="K30"/>
  <c r="O28"/>
  <c r="G28"/>
  <c r="I28"/>
  <c r="J28"/>
  <c r="N28"/>
  <c r="K28"/>
  <c r="O26"/>
  <c r="G26"/>
  <c r="I26"/>
  <c r="J26"/>
  <c r="N26"/>
  <c r="K26"/>
  <c r="O24"/>
  <c r="G24"/>
  <c r="I24"/>
  <c r="J24"/>
  <c r="N24"/>
  <c r="K24"/>
  <c r="O22"/>
  <c r="G22"/>
  <c r="I22"/>
  <c r="J22"/>
  <c r="N22"/>
  <c r="K22"/>
  <c r="O20"/>
  <c r="G20"/>
  <c r="I20"/>
  <c r="J20"/>
  <c r="N20"/>
  <c r="K20"/>
  <c r="O18"/>
  <c r="G18"/>
  <c r="I18"/>
  <c r="J18"/>
  <c r="N18"/>
  <c r="K18"/>
  <c r="O16"/>
  <c r="G16"/>
  <c r="I16"/>
  <c r="J16"/>
  <c r="N16"/>
  <c r="K16"/>
  <c r="O14"/>
  <c r="G14"/>
  <c r="I14"/>
  <c r="J14"/>
  <c r="N14"/>
  <c r="K14"/>
  <c r="O12"/>
  <c r="G12"/>
  <c r="I12"/>
  <c r="J12"/>
  <c r="N12"/>
  <c r="K12"/>
  <c r="O10"/>
  <c r="G10"/>
  <c r="I10"/>
  <c r="J10"/>
  <c r="N10"/>
  <c r="K10"/>
  <c r="O8"/>
  <c r="G8"/>
  <c r="I8"/>
  <c r="J8"/>
  <c r="N8"/>
  <c r="K8"/>
  <c r="O6"/>
  <c r="G6"/>
  <c r="I6"/>
  <c r="J6"/>
  <c r="N6"/>
  <c r="K6"/>
  <c r="O29" i="284"/>
  <c r="G29"/>
  <c r="I29"/>
  <c r="J29"/>
  <c r="N29"/>
  <c r="K29"/>
  <c r="O27"/>
  <c r="G27"/>
  <c r="I27"/>
  <c r="J27"/>
  <c r="N27"/>
  <c r="K27"/>
  <c r="O25"/>
  <c r="G25"/>
  <c r="I25"/>
  <c r="J25"/>
  <c r="N25"/>
  <c r="K25"/>
  <c r="O23"/>
  <c r="G23"/>
  <c r="I23"/>
  <c r="J23"/>
  <c r="N23"/>
  <c r="K23"/>
  <c r="O21"/>
  <c r="G21"/>
  <c r="I21"/>
  <c r="J21"/>
  <c r="N21"/>
  <c r="K21"/>
  <c r="O19"/>
  <c r="G19"/>
  <c r="I19"/>
  <c r="J19"/>
  <c r="N19"/>
  <c r="K19"/>
  <c r="O17"/>
  <c r="G17"/>
  <c r="I17"/>
  <c r="J17"/>
  <c r="N17"/>
  <c r="K17"/>
  <c r="O15"/>
  <c r="G15"/>
  <c r="I15"/>
  <c r="J15"/>
  <c r="N15"/>
  <c r="K15"/>
  <c r="O13"/>
  <c r="G13"/>
  <c r="I13"/>
  <c r="J13"/>
  <c r="N13"/>
  <c r="K13"/>
  <c r="O11"/>
  <c r="G11"/>
  <c r="I11"/>
  <c r="J11"/>
  <c r="N11"/>
  <c r="K11"/>
  <c r="O9"/>
  <c r="G9"/>
  <c r="I9"/>
  <c r="J9"/>
  <c r="N9"/>
  <c r="K9"/>
  <c r="O7"/>
  <c r="G7"/>
  <c r="I7"/>
  <c r="J7"/>
  <c r="N7"/>
  <c r="K7"/>
  <c r="O5"/>
  <c r="G5"/>
  <c r="I5"/>
  <c r="J5"/>
  <c r="N5"/>
  <c r="K5"/>
  <c r="O25" i="155"/>
  <c r="G25"/>
  <c r="I25"/>
  <c r="J25"/>
  <c r="N25"/>
  <c r="K25"/>
  <c r="O23"/>
  <c r="G23"/>
  <c r="I23"/>
  <c r="J23"/>
  <c r="N23"/>
  <c r="K23"/>
  <c r="O21"/>
  <c r="G21"/>
  <c r="I21"/>
  <c r="J21"/>
  <c r="N21"/>
  <c r="K21"/>
  <c r="O19"/>
  <c r="G19"/>
  <c r="I19"/>
  <c r="J19"/>
  <c r="N19"/>
  <c r="K19"/>
  <c r="O17"/>
  <c r="G17"/>
  <c r="I17"/>
  <c r="J17"/>
  <c r="N17"/>
  <c r="K17"/>
  <c r="O15"/>
  <c r="G15"/>
  <c r="I15"/>
  <c r="J15"/>
  <c r="N15"/>
  <c r="K15"/>
  <c r="O13"/>
  <c r="G13"/>
  <c r="I13"/>
  <c r="J13"/>
  <c r="N13"/>
  <c r="K13"/>
  <c r="O11"/>
  <c r="G11"/>
  <c r="I11"/>
  <c r="J11"/>
  <c r="N11"/>
  <c r="K11"/>
  <c r="O9"/>
  <c r="G9"/>
  <c r="I9"/>
  <c r="J9"/>
  <c r="N9"/>
  <c r="K9"/>
  <c r="O7"/>
  <c r="G7"/>
  <c r="I7"/>
  <c r="J7"/>
  <c r="N7"/>
  <c r="K7"/>
  <c r="O5"/>
  <c r="G5"/>
  <c r="I5"/>
  <c r="J5"/>
  <c r="N5"/>
  <c r="K5"/>
  <c r="O25" i="75"/>
  <c r="G25"/>
  <c r="I25"/>
  <c r="J25"/>
  <c r="N25"/>
  <c r="K25"/>
  <c r="O23"/>
  <c r="G23"/>
  <c r="I23"/>
  <c r="J23"/>
  <c r="N23"/>
  <c r="K23"/>
  <c r="O21"/>
  <c r="G21"/>
  <c r="I21"/>
  <c r="J21"/>
  <c r="N21"/>
  <c r="K21"/>
  <c r="O19"/>
  <c r="G19"/>
  <c r="I19"/>
  <c r="J19"/>
  <c r="N19"/>
  <c r="K19"/>
  <c r="O17"/>
  <c r="G17"/>
  <c r="I17"/>
  <c r="J17"/>
  <c r="N17"/>
  <c r="K17"/>
  <c r="O15"/>
  <c r="G15"/>
  <c r="I15"/>
  <c r="J15"/>
  <c r="N15"/>
  <c r="K15"/>
  <c r="O13"/>
  <c r="G13"/>
  <c r="I13"/>
  <c r="J13"/>
  <c r="N13"/>
  <c r="K13"/>
  <c r="O11"/>
  <c r="G11"/>
  <c r="I11"/>
  <c r="J11"/>
  <c r="N11"/>
  <c r="K11"/>
  <c r="O9"/>
  <c r="G9"/>
  <c r="I9"/>
  <c r="J9"/>
  <c r="N9"/>
  <c r="K9"/>
  <c r="O7"/>
  <c r="G7"/>
  <c r="I7"/>
  <c r="J7"/>
  <c r="N7"/>
  <c r="K7"/>
  <c r="O5"/>
  <c r="G5"/>
  <c r="I5"/>
  <c r="J5"/>
  <c r="N5"/>
  <c r="K5"/>
  <c r="O15" i="177"/>
  <c r="G15"/>
  <c r="I15"/>
  <c r="J15"/>
  <c r="N15"/>
  <c r="K15"/>
  <c r="O13"/>
  <c r="G13"/>
  <c r="I13"/>
  <c r="J13"/>
  <c r="N13"/>
  <c r="K13"/>
  <c r="O11"/>
  <c r="G11"/>
  <c r="I11"/>
  <c r="J11"/>
  <c r="N11"/>
  <c r="K11"/>
  <c r="O29" i="134"/>
  <c r="G29"/>
  <c r="I29"/>
  <c r="J29"/>
  <c r="N29"/>
  <c r="K29"/>
  <c r="O27"/>
  <c r="G27"/>
  <c r="I27"/>
  <c r="J27"/>
  <c r="N27"/>
  <c r="K27"/>
  <c r="O25"/>
  <c r="G25"/>
  <c r="I25"/>
  <c r="J25"/>
  <c r="N25"/>
  <c r="K25"/>
  <c r="O23"/>
  <c r="G23"/>
  <c r="I23"/>
  <c r="J23"/>
  <c r="N23"/>
  <c r="K23"/>
  <c r="O21"/>
  <c r="G21"/>
  <c r="I21"/>
  <c r="J21"/>
  <c r="N21"/>
  <c r="K21"/>
  <c r="O19"/>
  <c r="G19"/>
  <c r="I19"/>
  <c r="J19"/>
  <c r="N19"/>
  <c r="K19"/>
  <c r="O17"/>
  <c r="G17"/>
  <c r="I17"/>
  <c r="J17"/>
  <c r="N17"/>
  <c r="K17"/>
  <c r="O15"/>
  <c r="G15"/>
  <c r="I15"/>
  <c r="J15"/>
  <c r="N15"/>
  <c r="K15"/>
  <c r="O13"/>
  <c r="G13"/>
  <c r="I13"/>
  <c r="J13"/>
  <c r="N13"/>
  <c r="K13"/>
  <c r="O11"/>
  <c r="G11"/>
  <c r="I11"/>
  <c r="J11"/>
  <c r="N11"/>
  <c r="K11"/>
  <c r="O9"/>
  <c r="G9"/>
  <c r="I9"/>
  <c r="J9"/>
  <c r="N9"/>
  <c r="K9"/>
  <c r="O7"/>
  <c r="G7"/>
  <c r="I7"/>
  <c r="J7"/>
  <c r="N7"/>
  <c r="K7"/>
  <c r="O5"/>
  <c r="G5"/>
  <c r="I5"/>
  <c r="J5"/>
  <c r="N5"/>
  <c r="K5"/>
  <c r="O21" i="26"/>
  <c r="G21"/>
  <c r="I21"/>
  <c r="J21"/>
  <c r="N21"/>
  <c r="K21"/>
  <c r="O19"/>
  <c r="G19"/>
  <c r="I19"/>
  <c r="J19"/>
  <c r="N19"/>
  <c r="K19"/>
  <c r="O17"/>
  <c r="G17"/>
  <c r="I17"/>
  <c r="J17"/>
  <c r="N17"/>
  <c r="K17"/>
  <c r="O15"/>
  <c r="G15"/>
  <c r="I15"/>
  <c r="J15"/>
  <c r="N15"/>
  <c r="K15"/>
  <c r="O13"/>
  <c r="G13"/>
  <c r="I13"/>
  <c r="J13"/>
  <c r="N13"/>
  <c r="K13"/>
  <c r="O11"/>
  <c r="G11"/>
  <c r="I11"/>
  <c r="J11"/>
  <c r="N11"/>
  <c r="K11"/>
  <c r="O9"/>
  <c r="G9"/>
  <c r="I9"/>
  <c r="J9"/>
  <c r="N9"/>
  <c r="K9"/>
  <c r="O7"/>
  <c r="G7"/>
  <c r="I7"/>
  <c r="J7"/>
  <c r="N7"/>
  <c r="K7"/>
  <c r="O5"/>
  <c r="G5"/>
  <c r="I5"/>
  <c r="J5"/>
  <c r="N5"/>
  <c r="K5"/>
  <c r="O23" i="174"/>
  <c r="G23"/>
  <c r="I23"/>
  <c r="J23"/>
  <c r="N23"/>
  <c r="K23"/>
  <c r="O21"/>
  <c r="G21"/>
  <c r="I21"/>
  <c r="J21"/>
  <c r="N21"/>
  <c r="K21"/>
  <c r="O19"/>
  <c r="G19"/>
  <c r="I19"/>
  <c r="J19"/>
  <c r="N19"/>
  <c r="K19"/>
  <c r="O17"/>
  <c r="G17"/>
  <c r="I17"/>
  <c r="J17"/>
  <c r="N17"/>
  <c r="K17"/>
  <c r="O15"/>
  <c r="G15"/>
  <c r="I15"/>
  <c r="J15"/>
  <c r="N15"/>
  <c r="K15"/>
  <c r="O13"/>
  <c r="G13"/>
  <c r="I13"/>
  <c r="J13"/>
  <c r="N13"/>
  <c r="K13"/>
  <c r="O11"/>
  <c r="G11"/>
  <c r="I11"/>
  <c r="J11"/>
  <c r="N11"/>
  <c r="K11"/>
  <c r="O9"/>
  <c r="G9"/>
  <c r="I9"/>
  <c r="J9"/>
  <c r="N9"/>
  <c r="K9"/>
  <c r="O30" i="302"/>
  <c r="G30"/>
  <c r="I30"/>
  <c r="J30"/>
  <c r="N30"/>
  <c r="K30"/>
  <c r="O28"/>
  <c r="G28"/>
  <c r="I28"/>
  <c r="J28"/>
  <c r="N28"/>
  <c r="K28"/>
  <c r="O26"/>
  <c r="G26"/>
  <c r="I26"/>
  <c r="J26"/>
  <c r="N26"/>
  <c r="K26"/>
  <c r="O24"/>
  <c r="G24"/>
  <c r="I24"/>
  <c r="J24"/>
  <c r="N24"/>
  <c r="K24"/>
  <c r="O22"/>
  <c r="G22"/>
  <c r="I22"/>
  <c r="J22"/>
  <c r="N22"/>
  <c r="K22"/>
  <c r="O20"/>
  <c r="G20"/>
  <c r="I20"/>
  <c r="J20"/>
  <c r="N20"/>
  <c r="K20"/>
  <c r="O18"/>
  <c r="G18"/>
  <c r="I18"/>
  <c r="J18"/>
  <c r="N18"/>
  <c r="K18"/>
  <c r="O16"/>
  <c r="G16"/>
  <c r="I16"/>
  <c r="J16"/>
  <c r="N16"/>
  <c r="K16"/>
  <c r="O14"/>
  <c r="G14"/>
  <c r="I14"/>
  <c r="J14"/>
  <c r="N14"/>
  <c r="K14"/>
  <c r="O12"/>
  <c r="G12"/>
  <c r="I12"/>
  <c r="J12"/>
  <c r="N12"/>
  <c r="K12"/>
  <c r="O10"/>
  <c r="G10"/>
  <c r="I10"/>
  <c r="J10"/>
  <c r="N10"/>
  <c r="K10"/>
  <c r="O8"/>
  <c r="G8"/>
  <c r="I8"/>
  <c r="J8"/>
  <c r="N8"/>
  <c r="K8"/>
  <c r="O6"/>
  <c r="G6"/>
  <c r="I6"/>
  <c r="J6"/>
  <c r="N6"/>
  <c r="K6"/>
  <c r="G5" i="316"/>
  <c r="I5"/>
  <c r="J5"/>
  <c r="K5"/>
  <c r="N5"/>
  <c r="O5"/>
  <c r="G7"/>
  <c r="I7"/>
  <c r="J7"/>
  <c r="K7"/>
  <c r="N7"/>
  <c r="O7"/>
  <c r="G9"/>
  <c r="I9"/>
  <c r="J9"/>
  <c r="K9"/>
  <c r="N9"/>
  <c r="O9"/>
  <c r="G11"/>
  <c r="I11"/>
  <c r="J11"/>
  <c r="K11"/>
  <c r="N11"/>
  <c r="O11"/>
  <c r="G13"/>
  <c r="I13"/>
  <c r="J13"/>
  <c r="K13"/>
  <c r="N13"/>
  <c r="O13"/>
  <c r="G15"/>
  <c r="I15"/>
  <c r="J15"/>
  <c r="K15"/>
  <c r="N15"/>
  <c r="O15"/>
  <c r="G17"/>
  <c r="I17"/>
  <c r="J17"/>
  <c r="K17"/>
  <c r="N17"/>
  <c r="O17"/>
  <c r="G19"/>
  <c r="I19"/>
  <c r="J19"/>
  <c r="K19"/>
  <c r="N19"/>
  <c r="O19"/>
  <c r="G21"/>
  <c r="I21"/>
  <c r="J21"/>
  <c r="K21"/>
  <c r="N21"/>
  <c r="O21"/>
  <c r="G23"/>
  <c r="I23"/>
  <c r="J23"/>
  <c r="K23"/>
  <c r="N23"/>
  <c r="O23"/>
  <c r="G25"/>
  <c r="I25"/>
  <c r="J25"/>
  <c r="K25"/>
  <c r="N25"/>
  <c r="O25"/>
  <c r="G27"/>
  <c r="I27"/>
  <c r="J27"/>
  <c r="K27"/>
  <c r="N27"/>
  <c r="O27"/>
  <c r="G29"/>
  <c r="I29"/>
  <c r="J29"/>
  <c r="K29"/>
  <c r="N29"/>
  <c r="O29"/>
  <c r="G31"/>
  <c r="I31"/>
  <c r="J31"/>
  <c r="K31"/>
  <c r="N31"/>
  <c r="O31"/>
  <c r="G33"/>
  <c r="I33"/>
  <c r="J33"/>
  <c r="K33"/>
  <c r="N33"/>
  <c r="O33"/>
  <c r="G6" i="109"/>
  <c r="I6" i="329"/>
  <c r="I13" i="33"/>
  <c r="O34" i="308"/>
  <c r="G34"/>
  <c r="I34"/>
  <c r="J34"/>
  <c r="N34"/>
  <c r="K34"/>
  <c r="O32"/>
  <c r="G32"/>
  <c r="I32"/>
  <c r="J32"/>
  <c r="N32"/>
  <c r="K32"/>
  <c r="O43" i="378"/>
  <c r="G43"/>
  <c r="I43"/>
  <c r="J43"/>
  <c r="N43"/>
  <c r="K43"/>
  <c r="O41"/>
  <c r="G41"/>
  <c r="I41"/>
  <c r="J41"/>
  <c r="N41"/>
  <c r="K41"/>
  <c r="O39"/>
  <c r="G39"/>
  <c r="I39"/>
  <c r="J39"/>
  <c r="N39"/>
  <c r="K39"/>
  <c r="O37"/>
  <c r="G37"/>
  <c r="I37"/>
  <c r="J37"/>
  <c r="N37"/>
  <c r="K37"/>
  <c r="O35"/>
  <c r="G35"/>
  <c r="I35"/>
  <c r="J35"/>
  <c r="N35"/>
  <c r="K35"/>
  <c r="O33"/>
  <c r="G33"/>
  <c r="I33"/>
  <c r="J33"/>
  <c r="N33"/>
  <c r="K33"/>
  <c r="O31"/>
  <c r="G31"/>
  <c r="I31"/>
  <c r="J31"/>
  <c r="N31"/>
  <c r="K31"/>
  <c r="O29"/>
  <c r="G29"/>
  <c r="I29"/>
  <c r="J29"/>
  <c r="N29"/>
  <c r="K29"/>
  <c r="O27"/>
  <c r="G27"/>
  <c r="I27"/>
  <c r="J27"/>
  <c r="N27"/>
  <c r="K27"/>
  <c r="O25"/>
  <c r="G25"/>
  <c r="I25"/>
  <c r="J25"/>
  <c r="N25"/>
  <c r="K25"/>
  <c r="O23"/>
  <c r="G23"/>
  <c r="I23"/>
  <c r="J23"/>
  <c r="N23"/>
  <c r="K23"/>
  <c r="O21"/>
  <c r="G21"/>
  <c r="I21"/>
  <c r="J21"/>
  <c r="N21"/>
  <c r="K21"/>
  <c r="O19"/>
  <c r="G19"/>
  <c r="I19"/>
  <c r="J19"/>
  <c r="N19"/>
  <c r="K19"/>
  <c r="O17"/>
  <c r="G17"/>
  <c r="I17"/>
  <c r="J17"/>
  <c r="N17"/>
  <c r="K17"/>
  <c r="O15"/>
  <c r="G15"/>
  <c r="I15"/>
  <c r="J15"/>
  <c r="N15"/>
  <c r="K15"/>
  <c r="O13"/>
  <c r="G13"/>
  <c r="I13"/>
  <c r="J13"/>
  <c r="N13"/>
  <c r="K13"/>
  <c r="O11"/>
  <c r="G11"/>
  <c r="I11"/>
  <c r="J11"/>
  <c r="N11"/>
  <c r="K11"/>
  <c r="O9"/>
  <c r="G9"/>
  <c r="I9"/>
  <c r="J9"/>
  <c r="N9"/>
  <c r="K9"/>
  <c r="O7"/>
  <c r="G7"/>
  <c r="I7"/>
  <c r="J7"/>
  <c r="N7"/>
  <c r="K7"/>
  <c r="O5"/>
  <c r="G5"/>
  <c r="I5"/>
  <c r="J5"/>
  <c r="N5"/>
  <c r="K5"/>
  <c r="O35" i="377"/>
  <c r="G35"/>
  <c r="I35"/>
  <c r="J35"/>
  <c r="N35"/>
  <c r="K35"/>
  <c r="O33"/>
  <c r="G33"/>
  <c r="I33"/>
  <c r="J33"/>
  <c r="N33"/>
  <c r="K33"/>
  <c r="O31"/>
  <c r="G31"/>
  <c r="I31"/>
  <c r="J31"/>
  <c r="N31"/>
  <c r="K31"/>
  <c r="O29"/>
  <c r="G29"/>
  <c r="I29"/>
  <c r="J29"/>
  <c r="N29"/>
  <c r="K29"/>
  <c r="O27"/>
  <c r="G27"/>
  <c r="I27"/>
  <c r="J27"/>
  <c r="N27"/>
  <c r="K27"/>
  <c r="O25"/>
  <c r="G25"/>
  <c r="I25"/>
  <c r="J25"/>
  <c r="N25"/>
  <c r="K25"/>
  <c r="O23"/>
  <c r="G23"/>
  <c r="I23"/>
  <c r="J23"/>
  <c r="N23"/>
  <c r="K23"/>
  <c r="O21"/>
  <c r="G21"/>
  <c r="I21"/>
  <c r="J21"/>
  <c r="N21"/>
  <c r="K21"/>
  <c r="O19"/>
  <c r="G19"/>
  <c r="I19"/>
  <c r="J19"/>
  <c r="N19"/>
  <c r="K19"/>
  <c r="O17"/>
  <c r="G17"/>
  <c r="I17"/>
  <c r="J17"/>
  <c r="N17"/>
  <c r="K17"/>
  <c r="O15"/>
  <c r="G15"/>
  <c r="I15"/>
  <c r="J15"/>
  <c r="N15"/>
  <c r="K15"/>
  <c r="O13"/>
  <c r="G13"/>
  <c r="I13"/>
  <c r="J13"/>
  <c r="N13"/>
  <c r="K13"/>
  <c r="O11"/>
  <c r="G11"/>
  <c r="I11"/>
  <c r="J11"/>
  <c r="N11"/>
  <c r="K11"/>
  <c r="O9"/>
  <c r="G9"/>
  <c r="I9"/>
  <c r="J9"/>
  <c r="N9"/>
  <c r="K9"/>
  <c r="O7"/>
  <c r="G7"/>
  <c r="I7"/>
  <c r="J7"/>
  <c r="N7"/>
  <c r="K7"/>
  <c r="O5"/>
  <c r="G5"/>
  <c r="I5"/>
  <c r="J5"/>
  <c r="N5"/>
  <c r="K5"/>
  <c r="O37" i="376"/>
  <c r="G37"/>
  <c r="I37"/>
  <c r="J37"/>
  <c r="N37"/>
  <c r="K37"/>
  <c r="O35"/>
  <c r="G35"/>
  <c r="I35"/>
  <c r="J35"/>
  <c r="N35"/>
  <c r="K35"/>
  <c r="O33"/>
  <c r="G33"/>
  <c r="I33"/>
  <c r="J33"/>
  <c r="N33"/>
  <c r="K33"/>
  <c r="O31"/>
  <c r="G31"/>
  <c r="I31"/>
  <c r="J31"/>
  <c r="N31"/>
  <c r="K31"/>
  <c r="O29"/>
  <c r="G29"/>
  <c r="I29"/>
  <c r="J29"/>
  <c r="N29"/>
  <c r="K29"/>
  <c r="O27"/>
  <c r="G27"/>
  <c r="I27"/>
  <c r="J27"/>
  <c r="N27"/>
  <c r="K27"/>
  <c r="O25"/>
  <c r="G25"/>
  <c r="I25"/>
  <c r="J25"/>
  <c r="N25"/>
  <c r="K25"/>
  <c r="O23"/>
  <c r="G23"/>
  <c r="I23"/>
  <c r="J23"/>
  <c r="N23"/>
  <c r="K23"/>
  <c r="O21"/>
  <c r="G21"/>
  <c r="I21"/>
  <c r="J21"/>
  <c r="N21"/>
  <c r="K21"/>
  <c r="O19"/>
  <c r="G19"/>
  <c r="I19"/>
  <c r="J19"/>
  <c r="N19"/>
  <c r="K19"/>
  <c r="O17"/>
  <c r="G17"/>
  <c r="I17"/>
  <c r="J17"/>
  <c r="N17"/>
  <c r="K17"/>
  <c r="O15"/>
  <c r="G15"/>
  <c r="I15"/>
  <c r="J15"/>
  <c r="N15"/>
  <c r="K15"/>
  <c r="O13"/>
  <c r="G13"/>
  <c r="I13"/>
  <c r="J13"/>
  <c r="N13"/>
  <c r="K13"/>
  <c r="O11"/>
  <c r="G11"/>
  <c r="I11"/>
  <c r="J11"/>
  <c r="N11"/>
  <c r="K11"/>
  <c r="O9"/>
  <c r="G9"/>
  <c r="I9"/>
  <c r="J9"/>
  <c r="N9"/>
  <c r="K9"/>
  <c r="O7"/>
  <c r="G7"/>
  <c r="I7"/>
  <c r="J7"/>
  <c r="N7"/>
  <c r="K7"/>
  <c r="O5"/>
  <c r="G5"/>
  <c r="I5"/>
  <c r="J5"/>
  <c r="N5"/>
  <c r="K5"/>
  <c r="O12" i="33"/>
  <c r="G12"/>
  <c r="I12"/>
  <c r="J12"/>
  <c r="N12"/>
  <c r="K12"/>
  <c r="O11"/>
  <c r="G11"/>
  <c r="I11"/>
  <c r="J11"/>
  <c r="N11"/>
  <c r="K11"/>
  <c r="O10"/>
  <c r="G10"/>
  <c r="I10"/>
  <c r="J10"/>
  <c r="N10"/>
  <c r="K10"/>
  <c r="O9"/>
  <c r="G9"/>
  <c r="I9"/>
  <c r="J9"/>
  <c r="N9"/>
  <c r="K9"/>
  <c r="O8"/>
  <c r="G8"/>
  <c r="I8"/>
  <c r="J8"/>
  <c r="N8"/>
  <c r="K8"/>
  <c r="O7"/>
  <c r="G7"/>
  <c r="I7"/>
  <c r="J7"/>
  <c r="N7"/>
  <c r="K7"/>
  <c r="O6"/>
  <c r="G6"/>
  <c r="I6"/>
  <c r="J6"/>
  <c r="N6"/>
  <c r="K6"/>
  <c r="O43" i="375"/>
  <c r="G43"/>
  <c r="I43"/>
  <c r="J43"/>
  <c r="N43"/>
  <c r="K43"/>
  <c r="O41"/>
  <c r="G41"/>
  <c r="I41"/>
  <c r="J41"/>
  <c r="N41"/>
  <c r="K41"/>
  <c r="O39"/>
  <c r="G39"/>
  <c r="I39"/>
  <c r="J39"/>
  <c r="N39"/>
  <c r="K39"/>
  <c r="O37"/>
  <c r="G37"/>
  <c r="I37"/>
  <c r="J37"/>
  <c r="N37"/>
  <c r="K37"/>
  <c r="O35"/>
  <c r="G35"/>
  <c r="I35"/>
  <c r="J35"/>
  <c r="N35"/>
  <c r="K35"/>
  <c r="O33"/>
  <c r="G33"/>
  <c r="I33"/>
  <c r="J33"/>
  <c r="N33"/>
  <c r="K33"/>
  <c r="O31"/>
  <c r="G31"/>
  <c r="I31"/>
  <c r="J31"/>
  <c r="N31"/>
  <c r="K31"/>
  <c r="O29"/>
  <c r="G29"/>
  <c r="I29"/>
  <c r="J29"/>
  <c r="N29"/>
  <c r="K29"/>
  <c r="O27"/>
  <c r="G27"/>
  <c r="I27"/>
  <c r="J27"/>
  <c r="N27"/>
  <c r="K27"/>
  <c r="O25"/>
  <c r="G25"/>
  <c r="I25"/>
  <c r="J25"/>
  <c r="N25"/>
  <c r="K25"/>
  <c r="O23"/>
  <c r="G23"/>
  <c r="I23"/>
  <c r="J23"/>
  <c r="N23"/>
  <c r="K23"/>
  <c r="O21"/>
  <c r="G21"/>
  <c r="I21"/>
  <c r="J21"/>
  <c r="N21"/>
  <c r="K21"/>
  <c r="O19"/>
  <c r="G19"/>
  <c r="I19"/>
  <c r="J19"/>
  <c r="N19"/>
  <c r="K19"/>
  <c r="O17"/>
  <c r="G17"/>
  <c r="I17"/>
  <c r="J17"/>
  <c r="N17"/>
  <c r="K17"/>
  <c r="O15"/>
  <c r="G15"/>
  <c r="I15"/>
  <c r="J15"/>
  <c r="N15"/>
  <c r="K15"/>
  <c r="O13"/>
  <c r="G13"/>
  <c r="I13"/>
  <c r="J13"/>
  <c r="N13"/>
  <c r="K13"/>
  <c r="O11"/>
  <c r="G11"/>
  <c r="I11"/>
  <c r="J11"/>
  <c r="N11"/>
  <c r="K11"/>
  <c r="O9"/>
  <c r="G9"/>
  <c r="I9"/>
  <c r="J9"/>
  <c r="N9"/>
  <c r="K9"/>
  <c r="O7"/>
  <c r="G7"/>
  <c r="I7"/>
  <c r="J7"/>
  <c r="N7"/>
  <c r="K7"/>
  <c r="O5"/>
  <c r="G5"/>
  <c r="I5"/>
  <c r="J5"/>
  <c r="N5"/>
  <c r="K5"/>
  <c r="O41" i="374"/>
  <c r="G41"/>
  <c r="I41"/>
  <c r="J41"/>
  <c r="N41"/>
  <c r="K41"/>
  <c r="O39"/>
  <c r="G39"/>
  <c r="I39"/>
  <c r="J39"/>
  <c r="N39"/>
  <c r="K39"/>
  <c r="O37"/>
  <c r="G37"/>
  <c r="I37"/>
  <c r="J37"/>
  <c r="N37"/>
  <c r="K37"/>
  <c r="O35"/>
  <c r="G35"/>
  <c r="I35"/>
  <c r="J35"/>
  <c r="N35"/>
  <c r="K35"/>
  <c r="O33"/>
  <c r="G33"/>
  <c r="I33"/>
  <c r="J33"/>
  <c r="N33"/>
  <c r="K33"/>
  <c r="O31"/>
  <c r="G31"/>
  <c r="I31"/>
  <c r="J31"/>
  <c r="N31"/>
  <c r="K31"/>
  <c r="O29"/>
  <c r="G29"/>
  <c r="I29"/>
  <c r="J29"/>
  <c r="N29"/>
  <c r="K29"/>
  <c r="O27"/>
  <c r="G27"/>
  <c r="I27"/>
  <c r="J27"/>
  <c r="N27"/>
  <c r="K27"/>
  <c r="O25"/>
  <c r="G25"/>
  <c r="I25"/>
  <c r="J25"/>
  <c r="N25"/>
  <c r="K25"/>
  <c r="O23"/>
  <c r="G23"/>
  <c r="I23"/>
  <c r="J23"/>
  <c r="N23"/>
  <c r="K23"/>
  <c r="O21"/>
  <c r="G21"/>
  <c r="I21"/>
  <c r="J21"/>
  <c r="N21"/>
  <c r="K21"/>
  <c r="O19"/>
  <c r="G19"/>
  <c r="I19"/>
  <c r="J19"/>
  <c r="N19"/>
  <c r="K19"/>
  <c r="O17"/>
  <c r="G17"/>
  <c r="I17"/>
  <c r="J17"/>
  <c r="N17"/>
  <c r="K17"/>
  <c r="O15"/>
  <c r="G15"/>
  <c r="I15"/>
  <c r="J15"/>
  <c r="N15"/>
  <c r="K15"/>
  <c r="O13"/>
  <c r="G13"/>
  <c r="I13"/>
  <c r="J13"/>
  <c r="N13"/>
  <c r="K13"/>
  <c r="O11"/>
  <c r="G11"/>
  <c r="I11"/>
  <c r="J11"/>
  <c r="N11"/>
  <c r="K11"/>
  <c r="O9"/>
  <c r="G9"/>
  <c r="I9"/>
  <c r="J9"/>
  <c r="N9"/>
  <c r="K9"/>
  <c r="O7"/>
  <c r="G7"/>
  <c r="I7"/>
  <c r="J7"/>
  <c r="N7"/>
  <c r="K7"/>
  <c r="O5"/>
  <c r="G5"/>
  <c r="I5"/>
  <c r="J5"/>
  <c r="N5"/>
  <c r="K5"/>
  <c r="O23" i="373"/>
  <c r="G23"/>
  <c r="I23"/>
  <c r="J23"/>
  <c r="N23"/>
  <c r="K23"/>
  <c r="O21"/>
  <c r="G21"/>
  <c r="I21"/>
  <c r="J21"/>
  <c r="N21"/>
  <c r="K21"/>
  <c r="O19"/>
  <c r="G19"/>
  <c r="I19"/>
  <c r="J19"/>
  <c r="N19"/>
  <c r="K19"/>
  <c r="O17"/>
  <c r="G17"/>
  <c r="I17"/>
  <c r="J17"/>
  <c r="N17"/>
  <c r="K17"/>
  <c r="O15"/>
  <c r="G15"/>
  <c r="I15"/>
  <c r="J15"/>
  <c r="N15"/>
  <c r="K15"/>
  <c r="O13"/>
  <c r="G13"/>
  <c r="I13"/>
  <c r="J13"/>
  <c r="N13"/>
  <c r="K13"/>
  <c r="O11"/>
  <c r="G11"/>
  <c r="I11"/>
  <c r="J11"/>
  <c r="N11"/>
  <c r="K11"/>
  <c r="O9"/>
  <c r="G9"/>
  <c r="I9"/>
  <c r="J9"/>
  <c r="N9"/>
  <c r="K9"/>
  <c r="O7"/>
  <c r="G7"/>
  <c r="I7"/>
  <c r="J7"/>
  <c r="N7"/>
  <c r="K7"/>
  <c r="O5"/>
  <c r="G5"/>
  <c r="I5"/>
  <c r="J5"/>
  <c r="N5"/>
  <c r="K5"/>
  <c r="O39" i="372"/>
  <c r="G39"/>
  <c r="I39"/>
  <c r="J39"/>
  <c r="N39"/>
  <c r="K39"/>
  <c r="O37"/>
  <c r="G37"/>
  <c r="I37"/>
  <c r="J37"/>
  <c r="N37"/>
  <c r="K37"/>
  <c r="O35"/>
  <c r="G35"/>
  <c r="I35"/>
  <c r="J35"/>
  <c r="N35"/>
  <c r="K35"/>
  <c r="O33"/>
  <c r="G33"/>
  <c r="I33"/>
  <c r="J33"/>
  <c r="N33"/>
  <c r="K33"/>
  <c r="O31"/>
  <c r="G31"/>
  <c r="I31"/>
  <c r="J31"/>
  <c r="N31"/>
  <c r="K31"/>
  <c r="O29"/>
  <c r="G29"/>
  <c r="I29"/>
  <c r="J29"/>
  <c r="N29"/>
  <c r="K29"/>
  <c r="O27"/>
  <c r="G27"/>
  <c r="I27"/>
  <c r="J27"/>
  <c r="N27"/>
  <c r="K27"/>
  <c r="O25"/>
  <c r="G25"/>
  <c r="I25"/>
  <c r="J25"/>
  <c r="N25"/>
  <c r="K25"/>
  <c r="O23"/>
  <c r="G23"/>
  <c r="I23"/>
  <c r="J23"/>
  <c r="N23"/>
  <c r="K23"/>
  <c r="O21"/>
  <c r="G21"/>
  <c r="I21"/>
  <c r="J21"/>
  <c r="N21"/>
  <c r="K21"/>
  <c r="O19"/>
  <c r="G19"/>
  <c r="I19"/>
  <c r="J19"/>
  <c r="N19"/>
  <c r="K19"/>
  <c r="O17"/>
  <c r="G17"/>
  <c r="I17"/>
  <c r="J17"/>
  <c r="N17"/>
  <c r="K17"/>
  <c r="O15"/>
  <c r="G15"/>
  <c r="I15"/>
  <c r="J15"/>
  <c r="N15"/>
  <c r="K15"/>
  <c r="O13"/>
  <c r="G13"/>
  <c r="I13"/>
  <c r="J13"/>
  <c r="N13"/>
  <c r="K13"/>
  <c r="O11"/>
  <c r="G11"/>
  <c r="I11"/>
  <c r="J11"/>
  <c r="N11"/>
  <c r="K11"/>
  <c r="O9"/>
  <c r="G9"/>
  <c r="I9"/>
  <c r="J9"/>
  <c r="N9"/>
  <c r="K9"/>
  <c r="O7"/>
  <c r="G7"/>
  <c r="I7"/>
  <c r="J7"/>
  <c r="N7"/>
  <c r="K7"/>
  <c r="O5"/>
  <c r="G5"/>
  <c r="I5"/>
  <c r="J5"/>
  <c r="N5"/>
  <c r="K5"/>
  <c r="O9" i="177"/>
  <c r="G9"/>
  <c r="I9"/>
  <c r="J9"/>
  <c r="N9"/>
  <c r="K9"/>
  <c r="O7"/>
  <c r="G7"/>
  <c r="I7"/>
  <c r="J7"/>
  <c r="N7"/>
  <c r="K7"/>
  <c r="O5"/>
  <c r="G5"/>
  <c r="I5"/>
  <c r="J5"/>
  <c r="N5"/>
  <c r="K5"/>
  <c r="O41" i="371"/>
  <c r="J41"/>
  <c r="G41"/>
  <c r="I41"/>
  <c r="O39"/>
  <c r="J39"/>
  <c r="G39"/>
  <c r="I39"/>
  <c r="O37"/>
  <c r="J37"/>
  <c r="G37"/>
  <c r="I37"/>
  <c r="O35"/>
  <c r="J35"/>
  <c r="G35"/>
  <c r="I35"/>
  <c r="O33"/>
  <c r="J33"/>
  <c r="G33"/>
  <c r="I33"/>
  <c r="N33"/>
  <c r="O31"/>
  <c r="J31"/>
  <c r="G31"/>
  <c r="I31"/>
  <c r="O29"/>
  <c r="J29"/>
  <c r="G29"/>
  <c r="I29"/>
  <c r="N29"/>
  <c r="O27"/>
  <c r="J27"/>
  <c r="G27"/>
  <c r="I27"/>
  <c r="O25"/>
  <c r="J25"/>
  <c r="G25"/>
  <c r="I25"/>
  <c r="N25"/>
  <c r="O23"/>
  <c r="J23"/>
  <c r="G23"/>
  <c r="I23"/>
  <c r="O21"/>
  <c r="J21"/>
  <c r="G21"/>
  <c r="I21"/>
  <c r="O19"/>
  <c r="J19"/>
  <c r="G19"/>
  <c r="I19"/>
  <c r="O17"/>
  <c r="J17"/>
  <c r="G17"/>
  <c r="I17"/>
  <c r="O15"/>
  <c r="J15"/>
  <c r="G15"/>
  <c r="I15"/>
  <c r="O13"/>
  <c r="J13"/>
  <c r="G13"/>
  <c r="I13"/>
  <c r="O11"/>
  <c r="J11"/>
  <c r="G11"/>
  <c r="I11"/>
  <c r="O9"/>
  <c r="J9"/>
  <c r="G9"/>
  <c r="I9"/>
  <c r="N9"/>
  <c r="O7"/>
  <c r="J7"/>
  <c r="G7"/>
  <c r="I7"/>
  <c r="O5"/>
  <c r="J5"/>
  <c r="G5"/>
  <c r="I5"/>
  <c r="N13"/>
  <c r="N5"/>
  <c r="N21"/>
  <c r="N37"/>
  <c r="N41"/>
  <c r="N17"/>
  <c r="N7"/>
  <c r="K7"/>
  <c r="N11"/>
  <c r="K11"/>
  <c r="N39"/>
  <c r="K39"/>
  <c r="N35"/>
  <c r="K35"/>
  <c r="N31"/>
  <c r="K31"/>
  <c r="N27"/>
  <c r="K27"/>
  <c r="N23"/>
  <c r="K23"/>
  <c r="K19"/>
  <c r="N19"/>
  <c r="N15"/>
  <c r="K15"/>
  <c r="K5"/>
  <c r="K21"/>
  <c r="K29"/>
  <c r="K37"/>
  <c r="K13"/>
  <c r="K9"/>
  <c r="K17"/>
  <c r="K25"/>
  <c r="K33"/>
  <c r="K41"/>
  <c r="O37" i="370"/>
  <c r="G37"/>
  <c r="I37"/>
  <c r="J37"/>
  <c r="O35"/>
  <c r="G35"/>
  <c r="I35"/>
  <c r="J35"/>
  <c r="O33"/>
  <c r="G33"/>
  <c r="I33"/>
  <c r="J33"/>
  <c r="O31"/>
  <c r="G31"/>
  <c r="I31"/>
  <c r="J31"/>
  <c r="O29"/>
  <c r="G29"/>
  <c r="I29"/>
  <c r="J29"/>
  <c r="O27"/>
  <c r="G27"/>
  <c r="I27"/>
  <c r="J27"/>
  <c r="O25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O5"/>
  <c r="G5"/>
  <c r="I5"/>
  <c r="J5"/>
  <c r="O37" i="369"/>
  <c r="G37"/>
  <c r="I37"/>
  <c r="J37"/>
  <c r="O35"/>
  <c r="G35"/>
  <c r="I35"/>
  <c r="J35"/>
  <c r="O33"/>
  <c r="G33"/>
  <c r="I33"/>
  <c r="J33"/>
  <c r="N33"/>
  <c r="O31"/>
  <c r="G31"/>
  <c r="I31"/>
  <c r="J31"/>
  <c r="O29"/>
  <c r="G29"/>
  <c r="I29"/>
  <c r="J29"/>
  <c r="O27"/>
  <c r="G27"/>
  <c r="I27"/>
  <c r="J27"/>
  <c r="O25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N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O5"/>
  <c r="G5"/>
  <c r="I5"/>
  <c r="J5"/>
  <c r="O39" i="368"/>
  <c r="J39"/>
  <c r="G39"/>
  <c r="I39"/>
  <c r="K39"/>
  <c r="O37"/>
  <c r="J37"/>
  <c r="G37"/>
  <c r="I37"/>
  <c r="O35"/>
  <c r="G35"/>
  <c r="I35"/>
  <c r="J35"/>
  <c r="O33"/>
  <c r="J33"/>
  <c r="G33"/>
  <c r="I33"/>
  <c r="O31"/>
  <c r="J31"/>
  <c r="G31"/>
  <c r="I31"/>
  <c r="O29"/>
  <c r="J29"/>
  <c r="G29"/>
  <c r="I29"/>
  <c r="N29"/>
  <c r="O27"/>
  <c r="G27"/>
  <c r="I27"/>
  <c r="J27"/>
  <c r="O25"/>
  <c r="J25"/>
  <c r="G25"/>
  <c r="I25"/>
  <c r="O23"/>
  <c r="J23"/>
  <c r="G23"/>
  <c r="I23"/>
  <c r="O21"/>
  <c r="J21"/>
  <c r="G21"/>
  <c r="I21"/>
  <c r="O19"/>
  <c r="G19"/>
  <c r="I19"/>
  <c r="J19"/>
  <c r="O17"/>
  <c r="J17"/>
  <c r="G17"/>
  <c r="I17"/>
  <c r="O15"/>
  <c r="J15"/>
  <c r="G15"/>
  <c r="I15"/>
  <c r="O13"/>
  <c r="J13"/>
  <c r="G13"/>
  <c r="I13"/>
  <c r="K13"/>
  <c r="O11"/>
  <c r="G11"/>
  <c r="I11"/>
  <c r="J11"/>
  <c r="O9"/>
  <c r="J9"/>
  <c r="G9"/>
  <c r="I9"/>
  <c r="O7"/>
  <c r="J7"/>
  <c r="G7"/>
  <c r="I7"/>
  <c r="O5"/>
  <c r="J5"/>
  <c r="G5"/>
  <c r="I5"/>
  <c r="O11" i="367"/>
  <c r="J11"/>
  <c r="G11"/>
  <c r="I11"/>
  <c r="O9"/>
  <c r="J9"/>
  <c r="G9"/>
  <c r="I9"/>
  <c r="O7"/>
  <c r="J7"/>
  <c r="G7"/>
  <c r="I7"/>
  <c r="O5"/>
  <c r="J5"/>
  <c r="G5"/>
  <c r="I5"/>
  <c r="J37"/>
  <c r="G37"/>
  <c r="I37"/>
  <c r="J35"/>
  <c r="G35"/>
  <c r="I35"/>
  <c r="J33"/>
  <c r="G33"/>
  <c r="I33"/>
  <c r="J31"/>
  <c r="G31"/>
  <c r="I31"/>
  <c r="J29"/>
  <c r="G29"/>
  <c r="I29"/>
  <c r="J27"/>
  <c r="G27"/>
  <c r="I27"/>
  <c r="J25"/>
  <c r="G25"/>
  <c r="I25"/>
  <c r="K25"/>
  <c r="J23"/>
  <c r="G23"/>
  <c r="I23"/>
  <c r="J21"/>
  <c r="G21"/>
  <c r="I21"/>
  <c r="J19"/>
  <c r="G19"/>
  <c r="I19"/>
  <c r="J17"/>
  <c r="G17"/>
  <c r="I17"/>
  <c r="J15"/>
  <c r="G15"/>
  <c r="I15"/>
  <c r="O13"/>
  <c r="J13"/>
  <c r="G13"/>
  <c r="I13"/>
  <c r="O39" i="365"/>
  <c r="G39"/>
  <c r="I39"/>
  <c r="J39"/>
  <c r="O37"/>
  <c r="G37"/>
  <c r="I37"/>
  <c r="J37"/>
  <c r="O35"/>
  <c r="G35"/>
  <c r="I35"/>
  <c r="J35"/>
  <c r="O33"/>
  <c r="G33"/>
  <c r="I33"/>
  <c r="J33"/>
  <c r="O31"/>
  <c r="G31"/>
  <c r="I31"/>
  <c r="J31"/>
  <c r="O29"/>
  <c r="G29"/>
  <c r="I29"/>
  <c r="J29"/>
  <c r="O27"/>
  <c r="G27"/>
  <c r="I27"/>
  <c r="J27"/>
  <c r="O25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K13"/>
  <c r="O11"/>
  <c r="G11"/>
  <c r="I11"/>
  <c r="J11"/>
  <c r="O9"/>
  <c r="G9"/>
  <c r="I9"/>
  <c r="J9"/>
  <c r="O7"/>
  <c r="G7"/>
  <c r="I7"/>
  <c r="J7"/>
  <c r="O5"/>
  <c r="G5"/>
  <c r="I5"/>
  <c r="J5"/>
  <c r="O43" i="364"/>
  <c r="J43"/>
  <c r="G43"/>
  <c r="I43"/>
  <c r="O41"/>
  <c r="J41"/>
  <c r="G41"/>
  <c r="I41"/>
  <c r="O39"/>
  <c r="J39"/>
  <c r="G39"/>
  <c r="I39"/>
  <c r="O37"/>
  <c r="J37"/>
  <c r="G37"/>
  <c r="I37"/>
  <c r="O35"/>
  <c r="J35"/>
  <c r="G35"/>
  <c r="I35"/>
  <c r="O33"/>
  <c r="J33"/>
  <c r="G33"/>
  <c r="I33"/>
  <c r="O31"/>
  <c r="J31"/>
  <c r="G31"/>
  <c r="I31"/>
  <c r="O29"/>
  <c r="J29"/>
  <c r="G29"/>
  <c r="I29"/>
  <c r="O27"/>
  <c r="J27"/>
  <c r="G27"/>
  <c r="I27"/>
  <c r="O25"/>
  <c r="J25"/>
  <c r="G25"/>
  <c r="I25"/>
  <c r="O23"/>
  <c r="J23"/>
  <c r="G23"/>
  <c r="I23"/>
  <c r="O21"/>
  <c r="J21"/>
  <c r="G21"/>
  <c r="I21"/>
  <c r="O19"/>
  <c r="J19"/>
  <c r="G19"/>
  <c r="I19"/>
  <c r="O17"/>
  <c r="J17"/>
  <c r="G17"/>
  <c r="I17"/>
  <c r="O15"/>
  <c r="J15"/>
  <c r="G15"/>
  <c r="I15"/>
  <c r="O13"/>
  <c r="J13"/>
  <c r="G13"/>
  <c r="I13"/>
  <c r="O11"/>
  <c r="J11"/>
  <c r="G11"/>
  <c r="I11"/>
  <c r="O9"/>
  <c r="J9"/>
  <c r="G9"/>
  <c r="I9"/>
  <c r="O7"/>
  <c r="J7"/>
  <c r="G7"/>
  <c r="I7"/>
  <c r="O5"/>
  <c r="J5"/>
  <c r="G5"/>
  <c r="I5"/>
  <c r="O41" i="362"/>
  <c r="J41"/>
  <c r="G41"/>
  <c r="I41"/>
  <c r="N41"/>
  <c r="O39"/>
  <c r="J39"/>
  <c r="G39"/>
  <c r="I39"/>
  <c r="O37"/>
  <c r="J37"/>
  <c r="G37"/>
  <c r="I37"/>
  <c r="O35"/>
  <c r="J35"/>
  <c r="G35"/>
  <c r="I35"/>
  <c r="O33"/>
  <c r="J33"/>
  <c r="G33"/>
  <c r="I33"/>
  <c r="O31"/>
  <c r="J31"/>
  <c r="G31"/>
  <c r="I31"/>
  <c r="O29"/>
  <c r="J29"/>
  <c r="G29"/>
  <c r="I29"/>
  <c r="O27"/>
  <c r="J27"/>
  <c r="G27"/>
  <c r="I27"/>
  <c r="O25"/>
  <c r="J25"/>
  <c r="G25"/>
  <c r="I25"/>
  <c r="O23"/>
  <c r="J23"/>
  <c r="G23"/>
  <c r="I23"/>
  <c r="O21"/>
  <c r="J21"/>
  <c r="G21"/>
  <c r="I21"/>
  <c r="O19"/>
  <c r="J19"/>
  <c r="G19"/>
  <c r="I19"/>
  <c r="O17"/>
  <c r="J17"/>
  <c r="G17"/>
  <c r="I17"/>
  <c r="O15"/>
  <c r="J15"/>
  <c r="G15"/>
  <c r="I15"/>
  <c r="O13"/>
  <c r="J13"/>
  <c r="G13"/>
  <c r="I13"/>
  <c r="O11"/>
  <c r="J11"/>
  <c r="G11"/>
  <c r="I11"/>
  <c r="O9"/>
  <c r="J9"/>
  <c r="G9"/>
  <c r="I9"/>
  <c r="O7"/>
  <c r="J7"/>
  <c r="G7"/>
  <c r="I7"/>
  <c r="O5"/>
  <c r="J5"/>
  <c r="G5"/>
  <c r="I5"/>
  <c r="O39" i="361"/>
  <c r="J39"/>
  <c r="G39"/>
  <c r="I39"/>
  <c r="O37"/>
  <c r="J37"/>
  <c r="G37"/>
  <c r="I37"/>
  <c r="O35"/>
  <c r="J35"/>
  <c r="G35"/>
  <c r="I35"/>
  <c r="O33"/>
  <c r="J33"/>
  <c r="G33"/>
  <c r="I33"/>
  <c r="O31"/>
  <c r="J31"/>
  <c r="G31"/>
  <c r="I31"/>
  <c r="O29"/>
  <c r="J29"/>
  <c r="G29"/>
  <c r="I29"/>
  <c r="O27"/>
  <c r="J27"/>
  <c r="G27"/>
  <c r="I27"/>
  <c r="O25"/>
  <c r="J25"/>
  <c r="G25"/>
  <c r="I25"/>
  <c r="O23"/>
  <c r="J23"/>
  <c r="G23"/>
  <c r="I23"/>
  <c r="O21"/>
  <c r="J21"/>
  <c r="G21"/>
  <c r="I21"/>
  <c r="O19"/>
  <c r="J19"/>
  <c r="G19"/>
  <c r="I19"/>
  <c r="O17"/>
  <c r="J17"/>
  <c r="G17"/>
  <c r="I17"/>
  <c r="O15"/>
  <c r="J15"/>
  <c r="G15"/>
  <c r="I15"/>
  <c r="O13"/>
  <c r="J13"/>
  <c r="G13"/>
  <c r="I13"/>
  <c r="O11"/>
  <c r="J11"/>
  <c r="G11"/>
  <c r="I11"/>
  <c r="O9"/>
  <c r="J9"/>
  <c r="G9"/>
  <c r="I9"/>
  <c r="O7"/>
  <c r="J7"/>
  <c r="G7"/>
  <c r="I7"/>
  <c r="O5"/>
  <c r="J5"/>
  <c r="G5"/>
  <c r="I5"/>
  <c r="O43" i="360"/>
  <c r="J43"/>
  <c r="G43"/>
  <c r="I43"/>
  <c r="O41"/>
  <c r="J41"/>
  <c r="G41"/>
  <c r="I41"/>
  <c r="O39"/>
  <c r="J39"/>
  <c r="G39"/>
  <c r="I39"/>
  <c r="O37"/>
  <c r="J37"/>
  <c r="G37"/>
  <c r="I37"/>
  <c r="O35"/>
  <c r="J35"/>
  <c r="G35"/>
  <c r="I35"/>
  <c r="O33"/>
  <c r="J33"/>
  <c r="G33"/>
  <c r="I33"/>
  <c r="O31"/>
  <c r="J31"/>
  <c r="G31"/>
  <c r="I31"/>
  <c r="O29"/>
  <c r="J29"/>
  <c r="G29"/>
  <c r="I29"/>
  <c r="O27"/>
  <c r="J27"/>
  <c r="G27"/>
  <c r="I27"/>
  <c r="O25"/>
  <c r="J25"/>
  <c r="G25"/>
  <c r="I25"/>
  <c r="O23"/>
  <c r="J23"/>
  <c r="G23"/>
  <c r="I23"/>
  <c r="O21"/>
  <c r="J21"/>
  <c r="G21"/>
  <c r="I21"/>
  <c r="O19"/>
  <c r="J19"/>
  <c r="G19"/>
  <c r="I19"/>
  <c r="O17"/>
  <c r="J17"/>
  <c r="G17"/>
  <c r="I17"/>
  <c r="O15"/>
  <c r="J15"/>
  <c r="G15"/>
  <c r="I15"/>
  <c r="O13"/>
  <c r="J13"/>
  <c r="G13"/>
  <c r="I13"/>
  <c r="O11"/>
  <c r="J11"/>
  <c r="G11"/>
  <c r="I11"/>
  <c r="O9"/>
  <c r="J9"/>
  <c r="G9"/>
  <c r="I9"/>
  <c r="O7"/>
  <c r="J7"/>
  <c r="G7"/>
  <c r="I7"/>
  <c r="O5"/>
  <c r="J5"/>
  <c r="G5"/>
  <c r="I5"/>
  <c r="O39" i="358"/>
  <c r="J39"/>
  <c r="G39"/>
  <c r="I39"/>
  <c r="O37"/>
  <c r="J37"/>
  <c r="G37"/>
  <c r="I37"/>
  <c r="O35"/>
  <c r="J35"/>
  <c r="G35"/>
  <c r="I35"/>
  <c r="O33"/>
  <c r="J33"/>
  <c r="G33"/>
  <c r="I33"/>
  <c r="O31"/>
  <c r="J31"/>
  <c r="G31"/>
  <c r="I31"/>
  <c r="O29"/>
  <c r="J29"/>
  <c r="G29"/>
  <c r="I29"/>
  <c r="O27"/>
  <c r="J27"/>
  <c r="G27"/>
  <c r="I27"/>
  <c r="O25"/>
  <c r="J25"/>
  <c r="G25"/>
  <c r="I25"/>
  <c r="O23"/>
  <c r="J23"/>
  <c r="G23"/>
  <c r="I23"/>
  <c r="O21"/>
  <c r="J21"/>
  <c r="G21"/>
  <c r="I21"/>
  <c r="N21"/>
  <c r="O19"/>
  <c r="J19"/>
  <c r="G19"/>
  <c r="I19"/>
  <c r="K19"/>
  <c r="O17"/>
  <c r="J17"/>
  <c r="G17"/>
  <c r="I17"/>
  <c r="O15"/>
  <c r="J15"/>
  <c r="G15"/>
  <c r="I15"/>
  <c r="O13"/>
  <c r="J13"/>
  <c r="G13"/>
  <c r="I13"/>
  <c r="O11"/>
  <c r="J11"/>
  <c r="G11"/>
  <c r="I11"/>
  <c r="O9"/>
  <c r="J9"/>
  <c r="G9"/>
  <c r="I9"/>
  <c r="O7"/>
  <c r="J7"/>
  <c r="G7"/>
  <c r="I7"/>
  <c r="N7"/>
  <c r="O5"/>
  <c r="J5"/>
  <c r="G5"/>
  <c r="I5"/>
  <c r="K5"/>
  <c r="O35" i="357"/>
  <c r="J35"/>
  <c r="G35"/>
  <c r="I35"/>
  <c r="K35"/>
  <c r="O33"/>
  <c r="J33"/>
  <c r="G33"/>
  <c r="I33"/>
  <c r="O31"/>
  <c r="J31"/>
  <c r="G31"/>
  <c r="I31"/>
  <c r="O29"/>
  <c r="J29"/>
  <c r="G29"/>
  <c r="I29"/>
  <c r="O27"/>
  <c r="J27"/>
  <c r="G27"/>
  <c r="I27"/>
  <c r="O25"/>
  <c r="J25"/>
  <c r="G25"/>
  <c r="I25"/>
  <c r="O23"/>
  <c r="J23"/>
  <c r="G23"/>
  <c r="I23"/>
  <c r="O21"/>
  <c r="J21"/>
  <c r="G21"/>
  <c r="I21"/>
  <c r="O19"/>
  <c r="J19"/>
  <c r="G19"/>
  <c r="I19"/>
  <c r="N19"/>
  <c r="O17"/>
  <c r="J17"/>
  <c r="G17"/>
  <c r="I17"/>
  <c r="O15"/>
  <c r="J15"/>
  <c r="G15"/>
  <c r="I15"/>
  <c r="O13"/>
  <c r="J13"/>
  <c r="G13"/>
  <c r="I13"/>
  <c r="O11"/>
  <c r="J11"/>
  <c r="G11"/>
  <c r="I11"/>
  <c r="O9"/>
  <c r="J9"/>
  <c r="G9"/>
  <c r="I9"/>
  <c r="O7"/>
  <c r="J7"/>
  <c r="G7"/>
  <c r="I7"/>
  <c r="O5"/>
  <c r="J5"/>
  <c r="G5"/>
  <c r="I5"/>
  <c r="O35" i="356"/>
  <c r="J35"/>
  <c r="G35"/>
  <c r="I35"/>
  <c r="N35"/>
  <c r="O33"/>
  <c r="J33"/>
  <c r="G33"/>
  <c r="I33"/>
  <c r="O31"/>
  <c r="J31"/>
  <c r="G31"/>
  <c r="I31"/>
  <c r="O29"/>
  <c r="J29"/>
  <c r="G29"/>
  <c r="I29"/>
  <c r="O27"/>
  <c r="J27"/>
  <c r="G27"/>
  <c r="I27"/>
  <c r="O25"/>
  <c r="J25"/>
  <c r="G25"/>
  <c r="I25"/>
  <c r="O23"/>
  <c r="J23"/>
  <c r="G23"/>
  <c r="I23"/>
  <c r="O21"/>
  <c r="J21"/>
  <c r="G21"/>
  <c r="I21"/>
  <c r="O19"/>
  <c r="J19"/>
  <c r="G19"/>
  <c r="I19"/>
  <c r="O17"/>
  <c r="J17"/>
  <c r="G17"/>
  <c r="I17"/>
  <c r="O15"/>
  <c r="J15"/>
  <c r="G15"/>
  <c r="I15"/>
  <c r="O13"/>
  <c r="J13"/>
  <c r="G13"/>
  <c r="I13"/>
  <c r="O11"/>
  <c r="J11"/>
  <c r="G11"/>
  <c r="I11"/>
  <c r="O9"/>
  <c r="J9"/>
  <c r="G9"/>
  <c r="I9"/>
  <c r="K9"/>
  <c r="O7"/>
  <c r="J7"/>
  <c r="G7"/>
  <c r="I7"/>
  <c r="K7"/>
  <c r="O5"/>
  <c r="J5"/>
  <c r="G5"/>
  <c r="I5"/>
  <c r="O33" i="355"/>
  <c r="J33"/>
  <c r="G33"/>
  <c r="I33"/>
  <c r="O31"/>
  <c r="J31"/>
  <c r="G31"/>
  <c r="I31"/>
  <c r="O29"/>
  <c r="J29"/>
  <c r="G29"/>
  <c r="I29"/>
  <c r="N29"/>
  <c r="O27"/>
  <c r="J27"/>
  <c r="G27"/>
  <c r="I27"/>
  <c r="O25"/>
  <c r="J25"/>
  <c r="G25"/>
  <c r="I25"/>
  <c r="O23"/>
  <c r="J23"/>
  <c r="G23"/>
  <c r="I23"/>
  <c r="O21"/>
  <c r="J21"/>
  <c r="G21"/>
  <c r="I21"/>
  <c r="O19"/>
  <c r="J19"/>
  <c r="G19"/>
  <c r="I19"/>
  <c r="O17"/>
  <c r="J17"/>
  <c r="G17"/>
  <c r="I17"/>
  <c r="O15"/>
  <c r="J15"/>
  <c r="G15"/>
  <c r="I15"/>
  <c r="O13"/>
  <c r="J13"/>
  <c r="G13"/>
  <c r="I13"/>
  <c r="O11"/>
  <c r="J11"/>
  <c r="G11"/>
  <c r="I11"/>
  <c r="O9"/>
  <c r="J9"/>
  <c r="G9"/>
  <c r="I9"/>
  <c r="O7"/>
  <c r="J7"/>
  <c r="G7"/>
  <c r="I7"/>
  <c r="O5"/>
  <c r="J5"/>
  <c r="G5"/>
  <c r="I5"/>
  <c r="O35" i="354"/>
  <c r="J35"/>
  <c r="G35"/>
  <c r="I35"/>
  <c r="O33"/>
  <c r="J33"/>
  <c r="G33"/>
  <c r="I33"/>
  <c r="O31"/>
  <c r="J31"/>
  <c r="G31"/>
  <c r="I31"/>
  <c r="O29"/>
  <c r="J29"/>
  <c r="G29"/>
  <c r="I29"/>
  <c r="O27"/>
  <c r="J27"/>
  <c r="G27"/>
  <c r="I27"/>
  <c r="O25"/>
  <c r="J25"/>
  <c r="G25"/>
  <c r="I25"/>
  <c r="O23"/>
  <c r="J23"/>
  <c r="G23"/>
  <c r="I23"/>
  <c r="O21"/>
  <c r="J21"/>
  <c r="G21"/>
  <c r="I21"/>
  <c r="O19"/>
  <c r="J19"/>
  <c r="G19"/>
  <c r="I19"/>
  <c r="O17"/>
  <c r="J17"/>
  <c r="G17"/>
  <c r="I17"/>
  <c r="O15"/>
  <c r="J15"/>
  <c r="G15"/>
  <c r="I15"/>
  <c r="O13"/>
  <c r="J13"/>
  <c r="G13"/>
  <c r="I13"/>
  <c r="O11"/>
  <c r="J11"/>
  <c r="G11"/>
  <c r="I11"/>
  <c r="O9"/>
  <c r="J9"/>
  <c r="G9"/>
  <c r="I9"/>
  <c r="O7"/>
  <c r="J7"/>
  <c r="G7"/>
  <c r="I7"/>
  <c r="O5"/>
  <c r="J5"/>
  <c r="G5"/>
  <c r="I5"/>
  <c r="O41" i="352"/>
  <c r="J41"/>
  <c r="G41"/>
  <c r="I41"/>
  <c r="O39"/>
  <c r="J39"/>
  <c r="G39"/>
  <c r="I39"/>
  <c r="O37"/>
  <c r="J37"/>
  <c r="G37"/>
  <c r="I37"/>
  <c r="O35"/>
  <c r="J35"/>
  <c r="G35"/>
  <c r="I35"/>
  <c r="O33"/>
  <c r="J33"/>
  <c r="G33"/>
  <c r="I33"/>
  <c r="O31"/>
  <c r="J31"/>
  <c r="G31"/>
  <c r="I31"/>
  <c r="O29"/>
  <c r="J29"/>
  <c r="G29"/>
  <c r="I29"/>
  <c r="O27"/>
  <c r="J27"/>
  <c r="G27"/>
  <c r="I27"/>
  <c r="O25"/>
  <c r="J25"/>
  <c r="G25"/>
  <c r="I25"/>
  <c r="O23"/>
  <c r="J23"/>
  <c r="G23"/>
  <c r="I23"/>
  <c r="O21"/>
  <c r="J21"/>
  <c r="G21"/>
  <c r="I21"/>
  <c r="O19"/>
  <c r="J19"/>
  <c r="G19"/>
  <c r="I19"/>
  <c r="O17"/>
  <c r="J17"/>
  <c r="G17"/>
  <c r="I17"/>
  <c r="O15"/>
  <c r="J15"/>
  <c r="G15"/>
  <c r="I15"/>
  <c r="O13"/>
  <c r="J13"/>
  <c r="G13"/>
  <c r="I13"/>
  <c r="O11"/>
  <c r="J11"/>
  <c r="G11"/>
  <c r="I11"/>
  <c r="O9"/>
  <c r="J9"/>
  <c r="G9"/>
  <c r="I9"/>
  <c r="O7"/>
  <c r="J7"/>
  <c r="G7"/>
  <c r="I7"/>
  <c r="O5"/>
  <c r="J5"/>
  <c r="G5"/>
  <c r="I5"/>
  <c r="O18" i="349"/>
  <c r="J18"/>
  <c r="G18"/>
  <c r="I18"/>
  <c r="O16"/>
  <c r="J16"/>
  <c r="G16"/>
  <c r="I16"/>
  <c r="O14"/>
  <c r="J14"/>
  <c r="G14"/>
  <c r="I14"/>
  <c r="O12"/>
  <c r="J12"/>
  <c r="G12"/>
  <c r="I12"/>
  <c r="O10"/>
  <c r="J10"/>
  <c r="G10"/>
  <c r="I10"/>
  <c r="O8"/>
  <c r="J8"/>
  <c r="G8"/>
  <c r="I8"/>
  <c r="O6"/>
  <c r="J6"/>
  <c r="G6"/>
  <c r="I6"/>
  <c r="O41" i="348"/>
  <c r="J41"/>
  <c r="G41"/>
  <c r="I41"/>
  <c r="O39"/>
  <c r="J39"/>
  <c r="G39"/>
  <c r="I39"/>
  <c r="K39"/>
  <c r="O37"/>
  <c r="J37"/>
  <c r="G37"/>
  <c r="I37"/>
  <c r="O35"/>
  <c r="J35"/>
  <c r="G35"/>
  <c r="I35"/>
  <c r="O33"/>
  <c r="J33"/>
  <c r="G33"/>
  <c r="I33"/>
  <c r="O31"/>
  <c r="J31"/>
  <c r="G31"/>
  <c r="I31"/>
  <c r="O29"/>
  <c r="J29"/>
  <c r="G29"/>
  <c r="I29"/>
  <c r="O27"/>
  <c r="J27"/>
  <c r="G27"/>
  <c r="I27"/>
  <c r="O25"/>
  <c r="J25"/>
  <c r="G25"/>
  <c r="I25"/>
  <c r="O23"/>
  <c r="J23"/>
  <c r="G23"/>
  <c r="I23"/>
  <c r="O21"/>
  <c r="J21"/>
  <c r="G21"/>
  <c r="I21"/>
  <c r="O19"/>
  <c r="J19"/>
  <c r="G19"/>
  <c r="I19"/>
  <c r="O17"/>
  <c r="J17"/>
  <c r="G17"/>
  <c r="I17"/>
  <c r="O15"/>
  <c r="J15"/>
  <c r="G15"/>
  <c r="I15"/>
  <c r="O13"/>
  <c r="J13"/>
  <c r="G13"/>
  <c r="I13"/>
  <c r="O11"/>
  <c r="J11"/>
  <c r="G11"/>
  <c r="I11"/>
  <c r="O9"/>
  <c r="J9"/>
  <c r="G9"/>
  <c r="I9"/>
  <c r="O7"/>
  <c r="J7"/>
  <c r="G7"/>
  <c r="I7"/>
  <c r="O5"/>
  <c r="J5"/>
  <c r="G5"/>
  <c r="I5"/>
  <c r="O41" i="347"/>
  <c r="J41"/>
  <c r="G41"/>
  <c r="I41"/>
  <c r="O39"/>
  <c r="J39"/>
  <c r="G39"/>
  <c r="I39"/>
  <c r="O37"/>
  <c r="J37"/>
  <c r="G37"/>
  <c r="I37"/>
  <c r="O35"/>
  <c r="J35"/>
  <c r="G35"/>
  <c r="I35"/>
  <c r="O33"/>
  <c r="J33"/>
  <c r="G33"/>
  <c r="I33"/>
  <c r="O31"/>
  <c r="J31"/>
  <c r="G31"/>
  <c r="I31"/>
  <c r="O29"/>
  <c r="J29"/>
  <c r="G29"/>
  <c r="I29"/>
  <c r="O27"/>
  <c r="J27"/>
  <c r="G27"/>
  <c r="I27"/>
  <c r="O25"/>
  <c r="J25"/>
  <c r="G25"/>
  <c r="I25"/>
  <c r="O23"/>
  <c r="J23"/>
  <c r="G23"/>
  <c r="I23"/>
  <c r="O21"/>
  <c r="J21"/>
  <c r="G21"/>
  <c r="I21"/>
  <c r="O19"/>
  <c r="J19"/>
  <c r="G19"/>
  <c r="I19"/>
  <c r="O17"/>
  <c r="J17"/>
  <c r="G17"/>
  <c r="I17"/>
  <c r="O15"/>
  <c r="J15"/>
  <c r="G15"/>
  <c r="I15"/>
  <c r="O13"/>
  <c r="J13"/>
  <c r="G13"/>
  <c r="I13"/>
  <c r="O11"/>
  <c r="J11"/>
  <c r="G11"/>
  <c r="I11"/>
  <c r="O9"/>
  <c r="J9"/>
  <c r="G9"/>
  <c r="I9"/>
  <c r="O7"/>
  <c r="J7"/>
  <c r="G7"/>
  <c r="I7"/>
  <c r="O5"/>
  <c r="J5"/>
  <c r="G5"/>
  <c r="I5"/>
  <c r="O39" i="346"/>
  <c r="J39"/>
  <c r="G39"/>
  <c r="I39"/>
  <c r="O37"/>
  <c r="J37"/>
  <c r="G37"/>
  <c r="I37"/>
  <c r="O35"/>
  <c r="J35"/>
  <c r="G35"/>
  <c r="I35"/>
  <c r="O33"/>
  <c r="J33"/>
  <c r="G33"/>
  <c r="I33"/>
  <c r="O31"/>
  <c r="J31"/>
  <c r="G31"/>
  <c r="I31"/>
  <c r="O29"/>
  <c r="J29"/>
  <c r="G29"/>
  <c r="I29"/>
  <c r="O27"/>
  <c r="J27"/>
  <c r="G27"/>
  <c r="I27"/>
  <c r="O25"/>
  <c r="J25"/>
  <c r="G25"/>
  <c r="I25"/>
  <c r="O23"/>
  <c r="J23"/>
  <c r="G23"/>
  <c r="I23"/>
  <c r="O21"/>
  <c r="J21"/>
  <c r="G21"/>
  <c r="I21"/>
  <c r="O19"/>
  <c r="J19"/>
  <c r="G19"/>
  <c r="I19"/>
  <c r="O17"/>
  <c r="J17"/>
  <c r="G17"/>
  <c r="I17"/>
  <c r="O15"/>
  <c r="J15"/>
  <c r="G15"/>
  <c r="I15"/>
  <c r="O13"/>
  <c r="J13"/>
  <c r="G13"/>
  <c r="I13"/>
  <c r="O11"/>
  <c r="J11"/>
  <c r="G11"/>
  <c r="I11"/>
  <c r="O9"/>
  <c r="J9"/>
  <c r="G9"/>
  <c r="I9"/>
  <c r="O7"/>
  <c r="J7"/>
  <c r="G7"/>
  <c r="I7"/>
  <c r="O5"/>
  <c r="J5"/>
  <c r="G5"/>
  <c r="I5"/>
  <c r="O12" i="307"/>
  <c r="J12"/>
  <c r="G12"/>
  <c r="I12"/>
  <c r="O29" i="345"/>
  <c r="G29"/>
  <c r="I29"/>
  <c r="J29"/>
  <c r="O27"/>
  <c r="G27"/>
  <c r="I27"/>
  <c r="J27"/>
  <c r="O25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N7"/>
  <c r="O5"/>
  <c r="G5"/>
  <c r="I5"/>
  <c r="J5"/>
  <c r="O41" i="344"/>
  <c r="G41"/>
  <c r="I41"/>
  <c r="J41"/>
  <c r="O39"/>
  <c r="G39"/>
  <c r="I39"/>
  <c r="J39"/>
  <c r="O37"/>
  <c r="G37"/>
  <c r="I37"/>
  <c r="J37"/>
  <c r="O35"/>
  <c r="G35"/>
  <c r="I35"/>
  <c r="J35"/>
  <c r="O33"/>
  <c r="G33"/>
  <c r="I33"/>
  <c r="J33"/>
  <c r="O31"/>
  <c r="G31"/>
  <c r="I31"/>
  <c r="J31"/>
  <c r="O29"/>
  <c r="G29"/>
  <c r="I29"/>
  <c r="J29"/>
  <c r="O27"/>
  <c r="G27"/>
  <c r="I27"/>
  <c r="J27"/>
  <c r="O25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O5"/>
  <c r="G5"/>
  <c r="I5"/>
  <c r="J5"/>
  <c r="O31" i="343"/>
  <c r="G31"/>
  <c r="I31"/>
  <c r="J31"/>
  <c r="O29"/>
  <c r="G29"/>
  <c r="I29"/>
  <c r="J29"/>
  <c r="K29"/>
  <c r="O27"/>
  <c r="G27"/>
  <c r="I27"/>
  <c r="J27"/>
  <c r="O25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N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O5"/>
  <c r="G5"/>
  <c r="I5"/>
  <c r="J5"/>
  <c r="O28" i="342"/>
  <c r="G28"/>
  <c r="I28"/>
  <c r="J28"/>
  <c r="O26"/>
  <c r="G26"/>
  <c r="I26"/>
  <c r="J26"/>
  <c r="O24"/>
  <c r="G24"/>
  <c r="I24"/>
  <c r="J24"/>
  <c r="O22"/>
  <c r="G22"/>
  <c r="I22"/>
  <c r="J22"/>
  <c r="O20"/>
  <c r="G20"/>
  <c r="I20"/>
  <c r="J20"/>
  <c r="O18"/>
  <c r="G18"/>
  <c r="I18"/>
  <c r="J18"/>
  <c r="O16"/>
  <c r="G16"/>
  <c r="I16"/>
  <c r="J16"/>
  <c r="O14"/>
  <c r="G14"/>
  <c r="I14"/>
  <c r="J14"/>
  <c r="O12"/>
  <c r="G12"/>
  <c r="I12"/>
  <c r="J12"/>
  <c r="O10"/>
  <c r="G10"/>
  <c r="I10"/>
  <c r="J10"/>
  <c r="O8"/>
  <c r="G8"/>
  <c r="I8"/>
  <c r="J8"/>
  <c r="O6"/>
  <c r="G6"/>
  <c r="I6"/>
  <c r="J6"/>
  <c r="O43" i="341"/>
  <c r="G43"/>
  <c r="I43"/>
  <c r="J43"/>
  <c r="O41"/>
  <c r="G41"/>
  <c r="I41"/>
  <c r="J41"/>
  <c r="O39"/>
  <c r="G39"/>
  <c r="I39"/>
  <c r="J39"/>
  <c r="O37"/>
  <c r="G37"/>
  <c r="I37"/>
  <c r="J37"/>
  <c r="O35"/>
  <c r="G35"/>
  <c r="I35"/>
  <c r="J35"/>
  <c r="O33"/>
  <c r="G33"/>
  <c r="I33"/>
  <c r="J33"/>
  <c r="O31"/>
  <c r="G31"/>
  <c r="I31"/>
  <c r="J31"/>
  <c r="O29"/>
  <c r="G29"/>
  <c r="I29"/>
  <c r="J29"/>
  <c r="O27"/>
  <c r="G27"/>
  <c r="I27"/>
  <c r="J27"/>
  <c r="O25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O5"/>
  <c r="G5"/>
  <c r="I5"/>
  <c r="J5"/>
  <c r="O28" i="340"/>
  <c r="G28"/>
  <c r="I28"/>
  <c r="J28"/>
  <c r="O26"/>
  <c r="G26"/>
  <c r="I26"/>
  <c r="J26"/>
  <c r="O24"/>
  <c r="G24"/>
  <c r="I24"/>
  <c r="J24"/>
  <c r="O22"/>
  <c r="G22"/>
  <c r="I22"/>
  <c r="J22"/>
  <c r="O20"/>
  <c r="G20"/>
  <c r="I20"/>
  <c r="J20"/>
  <c r="O18"/>
  <c r="G18"/>
  <c r="I18"/>
  <c r="J18"/>
  <c r="O16"/>
  <c r="G16"/>
  <c r="I16"/>
  <c r="J16"/>
  <c r="O14"/>
  <c r="G14"/>
  <c r="I14"/>
  <c r="J14"/>
  <c r="O12"/>
  <c r="G12"/>
  <c r="I12"/>
  <c r="J12"/>
  <c r="O10"/>
  <c r="G10"/>
  <c r="I10"/>
  <c r="J10"/>
  <c r="O8"/>
  <c r="G8"/>
  <c r="I8"/>
  <c r="J8"/>
  <c r="O6"/>
  <c r="G6"/>
  <c r="I6"/>
  <c r="J6"/>
  <c r="O36" i="338"/>
  <c r="G36"/>
  <c r="I36"/>
  <c r="J36"/>
  <c r="O34"/>
  <c r="G34"/>
  <c r="I34"/>
  <c r="J34"/>
  <c r="O32"/>
  <c r="G32"/>
  <c r="I32"/>
  <c r="J32"/>
  <c r="O30"/>
  <c r="G30"/>
  <c r="I30"/>
  <c r="J30"/>
  <c r="O28"/>
  <c r="G28"/>
  <c r="I28"/>
  <c r="J28"/>
  <c r="O26"/>
  <c r="G26"/>
  <c r="I26"/>
  <c r="J26"/>
  <c r="O24"/>
  <c r="G24"/>
  <c r="I24"/>
  <c r="J24"/>
  <c r="O22"/>
  <c r="G22"/>
  <c r="I22"/>
  <c r="J22"/>
  <c r="O20"/>
  <c r="G20"/>
  <c r="I20"/>
  <c r="J20"/>
  <c r="O18"/>
  <c r="G18"/>
  <c r="I18"/>
  <c r="J18"/>
  <c r="O16"/>
  <c r="G16"/>
  <c r="I16"/>
  <c r="J16"/>
  <c r="O14"/>
  <c r="G14"/>
  <c r="I14"/>
  <c r="J14"/>
  <c r="O12"/>
  <c r="G12"/>
  <c r="I12"/>
  <c r="J12"/>
  <c r="O10"/>
  <c r="G10"/>
  <c r="I10"/>
  <c r="J10"/>
  <c r="O8"/>
  <c r="G8"/>
  <c r="I8"/>
  <c r="J8"/>
  <c r="O6"/>
  <c r="G6"/>
  <c r="I6"/>
  <c r="J6"/>
  <c r="O4"/>
  <c r="G4"/>
  <c r="I4"/>
  <c r="J4"/>
  <c r="O43" i="337"/>
  <c r="G43"/>
  <c r="I43"/>
  <c r="J43"/>
  <c r="O41"/>
  <c r="G41"/>
  <c r="I41"/>
  <c r="J41"/>
  <c r="O39"/>
  <c r="G39"/>
  <c r="I39"/>
  <c r="J39"/>
  <c r="O37"/>
  <c r="G37"/>
  <c r="I37"/>
  <c r="J37"/>
  <c r="O35"/>
  <c r="G35"/>
  <c r="I35"/>
  <c r="J35"/>
  <c r="O33"/>
  <c r="G33"/>
  <c r="I33"/>
  <c r="J33"/>
  <c r="O31"/>
  <c r="G31"/>
  <c r="I31"/>
  <c r="J31"/>
  <c r="O29"/>
  <c r="G29"/>
  <c r="I29"/>
  <c r="J29"/>
  <c r="O27"/>
  <c r="G27"/>
  <c r="I27"/>
  <c r="J27"/>
  <c r="O25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O5"/>
  <c r="G5"/>
  <c r="I5"/>
  <c r="J5"/>
  <c r="O43" i="336"/>
  <c r="G43"/>
  <c r="I43"/>
  <c r="J43"/>
  <c r="O41"/>
  <c r="G41"/>
  <c r="I41"/>
  <c r="J41"/>
  <c r="O39"/>
  <c r="G39"/>
  <c r="I39"/>
  <c r="J39"/>
  <c r="O37"/>
  <c r="G37"/>
  <c r="I37"/>
  <c r="J37"/>
  <c r="O35"/>
  <c r="G35"/>
  <c r="I35"/>
  <c r="J35"/>
  <c r="O33"/>
  <c r="G33"/>
  <c r="I33"/>
  <c r="J33"/>
  <c r="O31"/>
  <c r="G31"/>
  <c r="I31"/>
  <c r="J31"/>
  <c r="N31"/>
  <c r="O29"/>
  <c r="G29"/>
  <c r="I29"/>
  <c r="J29"/>
  <c r="O27"/>
  <c r="G27"/>
  <c r="I27"/>
  <c r="J27"/>
  <c r="O25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O5"/>
  <c r="G5"/>
  <c r="I5"/>
  <c r="J5"/>
  <c r="O41" i="335"/>
  <c r="G41"/>
  <c r="I41"/>
  <c r="J41"/>
  <c r="O39"/>
  <c r="G39"/>
  <c r="I39"/>
  <c r="J39"/>
  <c r="O37"/>
  <c r="G37"/>
  <c r="I37"/>
  <c r="J37"/>
  <c r="O35"/>
  <c r="G35"/>
  <c r="I35"/>
  <c r="J35"/>
  <c r="O33"/>
  <c r="G33"/>
  <c r="I33"/>
  <c r="J33"/>
  <c r="K33"/>
  <c r="O31"/>
  <c r="G31"/>
  <c r="I31"/>
  <c r="J31"/>
  <c r="O29"/>
  <c r="G29"/>
  <c r="I29"/>
  <c r="J29"/>
  <c r="O27"/>
  <c r="G27"/>
  <c r="I27"/>
  <c r="J27"/>
  <c r="O25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N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O5"/>
  <c r="G5"/>
  <c r="I5"/>
  <c r="J5"/>
  <c r="K5"/>
  <c r="O43" i="334"/>
  <c r="G43"/>
  <c r="I43"/>
  <c r="J43"/>
  <c r="O41"/>
  <c r="G41"/>
  <c r="I41"/>
  <c r="J41"/>
  <c r="O39"/>
  <c r="G39"/>
  <c r="I39"/>
  <c r="J39"/>
  <c r="K39"/>
  <c r="O37"/>
  <c r="G37"/>
  <c r="I37"/>
  <c r="J37"/>
  <c r="O35"/>
  <c r="G35"/>
  <c r="I35"/>
  <c r="J35"/>
  <c r="O33"/>
  <c r="G33"/>
  <c r="I33"/>
  <c r="J33"/>
  <c r="O31"/>
  <c r="G31"/>
  <c r="I31"/>
  <c r="J31"/>
  <c r="N31"/>
  <c r="O29"/>
  <c r="G29"/>
  <c r="I29"/>
  <c r="J29"/>
  <c r="O27"/>
  <c r="G27"/>
  <c r="I27"/>
  <c r="J27"/>
  <c r="O25"/>
  <c r="G25"/>
  <c r="I25"/>
  <c r="J25"/>
  <c r="O23"/>
  <c r="G23"/>
  <c r="I23"/>
  <c r="J23"/>
  <c r="O21"/>
  <c r="G21"/>
  <c r="I21"/>
  <c r="J21"/>
  <c r="O19"/>
  <c r="G19"/>
  <c r="I19"/>
  <c r="J19"/>
  <c r="K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N9"/>
  <c r="O7"/>
  <c r="G7"/>
  <c r="I7"/>
  <c r="J7"/>
  <c r="O5"/>
  <c r="G5"/>
  <c r="I5"/>
  <c r="J5"/>
  <c r="O43" i="333"/>
  <c r="G43"/>
  <c r="I43"/>
  <c r="J43"/>
  <c r="O41"/>
  <c r="G41"/>
  <c r="I41"/>
  <c r="J41"/>
  <c r="K41"/>
  <c r="O39"/>
  <c r="G39"/>
  <c r="I39"/>
  <c r="J39"/>
  <c r="O37"/>
  <c r="G37"/>
  <c r="I37"/>
  <c r="J37"/>
  <c r="O35"/>
  <c r="G35"/>
  <c r="I35"/>
  <c r="J35"/>
  <c r="N35"/>
  <c r="O33"/>
  <c r="G33"/>
  <c r="I33"/>
  <c r="J33"/>
  <c r="O31"/>
  <c r="G31"/>
  <c r="I31"/>
  <c r="J31"/>
  <c r="N31"/>
  <c r="O29"/>
  <c r="G29"/>
  <c r="I29"/>
  <c r="J29"/>
  <c r="O27"/>
  <c r="G27"/>
  <c r="I27"/>
  <c r="J27"/>
  <c r="O25"/>
  <c r="G25"/>
  <c r="I25"/>
  <c r="J25"/>
  <c r="N25"/>
  <c r="O23"/>
  <c r="G23"/>
  <c r="I23"/>
  <c r="J23"/>
  <c r="O21"/>
  <c r="G21"/>
  <c r="I21"/>
  <c r="J21"/>
  <c r="O19"/>
  <c r="G19"/>
  <c r="I19"/>
  <c r="J19"/>
  <c r="O17"/>
  <c r="G17"/>
  <c r="I17"/>
  <c r="J17"/>
  <c r="O15"/>
  <c r="G15"/>
  <c r="I15"/>
  <c r="J15"/>
  <c r="K15"/>
  <c r="O13"/>
  <c r="G13"/>
  <c r="I13"/>
  <c r="J13"/>
  <c r="O11"/>
  <c r="G11"/>
  <c r="I11"/>
  <c r="J11"/>
  <c r="O9"/>
  <c r="G9"/>
  <c r="I9"/>
  <c r="J9"/>
  <c r="O7"/>
  <c r="G7"/>
  <c r="I7"/>
  <c r="J7"/>
  <c r="O5"/>
  <c r="G5"/>
  <c r="I5"/>
  <c r="J5"/>
  <c r="O33" i="332"/>
  <c r="G33"/>
  <c r="I33"/>
  <c r="J33"/>
  <c r="O31"/>
  <c r="G31"/>
  <c r="I31"/>
  <c r="J31"/>
  <c r="N31"/>
  <c r="O29"/>
  <c r="G29"/>
  <c r="I29"/>
  <c r="J29"/>
  <c r="O27"/>
  <c r="G27"/>
  <c r="I27"/>
  <c r="J27"/>
  <c r="O25"/>
  <c r="G25"/>
  <c r="I25"/>
  <c r="J25"/>
  <c r="O23"/>
  <c r="G23"/>
  <c r="I23"/>
  <c r="J23"/>
  <c r="O21"/>
  <c r="G21"/>
  <c r="I21"/>
  <c r="J21"/>
  <c r="O19"/>
  <c r="G19"/>
  <c r="I19"/>
  <c r="J19"/>
  <c r="K19"/>
  <c r="O17"/>
  <c r="G17"/>
  <c r="I17"/>
  <c r="J17"/>
  <c r="O15"/>
  <c r="G15"/>
  <c r="I15"/>
  <c r="J15"/>
  <c r="N15"/>
  <c r="O13"/>
  <c r="G13"/>
  <c r="I13"/>
  <c r="J13"/>
  <c r="O11"/>
  <c r="G11"/>
  <c r="I11"/>
  <c r="J11"/>
  <c r="O9"/>
  <c r="G9"/>
  <c r="I9"/>
  <c r="J9"/>
  <c r="K9"/>
  <c r="O7"/>
  <c r="G7"/>
  <c r="I7"/>
  <c r="J7"/>
  <c r="O5"/>
  <c r="G5"/>
  <c r="I5"/>
  <c r="J5"/>
  <c r="O33" i="331"/>
  <c r="G33"/>
  <c r="I33"/>
  <c r="J33"/>
  <c r="K33"/>
  <c r="O31"/>
  <c r="G31"/>
  <c r="I31"/>
  <c r="J31"/>
  <c r="O29"/>
  <c r="G29"/>
  <c r="I29"/>
  <c r="J29"/>
  <c r="O27"/>
  <c r="G27"/>
  <c r="I27"/>
  <c r="J27"/>
  <c r="O25"/>
  <c r="G25"/>
  <c r="I25"/>
  <c r="J25"/>
  <c r="K25"/>
  <c r="O23"/>
  <c r="G23"/>
  <c r="I23"/>
  <c r="J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K9"/>
  <c r="O7"/>
  <c r="G7"/>
  <c r="I7"/>
  <c r="J7"/>
  <c r="O5"/>
  <c r="G5"/>
  <c r="I5"/>
  <c r="J5"/>
  <c r="O30" i="173"/>
  <c r="G30"/>
  <c r="I30"/>
  <c r="J30"/>
  <c r="O28"/>
  <c r="G28"/>
  <c r="I28"/>
  <c r="J28"/>
  <c r="O26"/>
  <c r="G26"/>
  <c r="I26"/>
  <c r="J26"/>
  <c r="O24"/>
  <c r="G24"/>
  <c r="I24"/>
  <c r="J24"/>
  <c r="O22"/>
  <c r="G22"/>
  <c r="I22"/>
  <c r="J22"/>
  <c r="O20"/>
  <c r="G20"/>
  <c r="I20"/>
  <c r="J20"/>
  <c r="O18"/>
  <c r="G18"/>
  <c r="I18"/>
  <c r="J18"/>
  <c r="K18"/>
  <c r="O16"/>
  <c r="G16"/>
  <c r="I16"/>
  <c r="J16"/>
  <c r="O14"/>
  <c r="G14"/>
  <c r="I14"/>
  <c r="J14"/>
  <c r="O12"/>
  <c r="G12"/>
  <c r="I12"/>
  <c r="J12"/>
  <c r="K12"/>
  <c r="O10"/>
  <c r="G10"/>
  <c r="I10"/>
  <c r="J10"/>
  <c r="O8"/>
  <c r="G8"/>
  <c r="I8"/>
  <c r="J8"/>
  <c r="O33" i="130"/>
  <c r="G33"/>
  <c r="I33"/>
  <c r="J33"/>
  <c r="K33"/>
  <c r="O31"/>
  <c r="G31"/>
  <c r="I31"/>
  <c r="J31"/>
  <c r="O29"/>
  <c r="G29"/>
  <c r="I29"/>
  <c r="J29"/>
  <c r="O27"/>
  <c r="G27"/>
  <c r="I27"/>
  <c r="J27"/>
  <c r="O25"/>
  <c r="G25"/>
  <c r="I25"/>
  <c r="J25"/>
  <c r="O23"/>
  <c r="G23"/>
  <c r="I23"/>
  <c r="J23"/>
  <c r="N23"/>
  <c r="O21"/>
  <c r="G21"/>
  <c r="I21"/>
  <c r="J21"/>
  <c r="O19"/>
  <c r="G19"/>
  <c r="I19"/>
  <c r="J19"/>
  <c r="O17"/>
  <c r="G17"/>
  <c r="I17"/>
  <c r="J17"/>
  <c r="K17"/>
  <c r="O15"/>
  <c r="G15"/>
  <c r="I15"/>
  <c r="J15"/>
  <c r="O13"/>
  <c r="G13"/>
  <c r="I13"/>
  <c r="J13"/>
  <c r="N13"/>
  <c r="O11"/>
  <c r="G11"/>
  <c r="I11"/>
  <c r="J11"/>
  <c r="O9"/>
  <c r="G9"/>
  <c r="I9"/>
  <c r="J9"/>
  <c r="O7"/>
  <c r="G7"/>
  <c r="I7"/>
  <c r="J7"/>
  <c r="O5"/>
  <c r="G5"/>
  <c r="I5"/>
  <c r="J5"/>
  <c r="O21" i="6"/>
  <c r="G21"/>
  <c r="I21"/>
  <c r="J21"/>
  <c r="O19"/>
  <c r="G19"/>
  <c r="I19"/>
  <c r="J19"/>
  <c r="O17"/>
  <c r="G17"/>
  <c r="I17"/>
  <c r="J17"/>
  <c r="O15"/>
  <c r="G15"/>
  <c r="I15"/>
  <c r="J15"/>
  <c r="N15"/>
  <c r="O13"/>
  <c r="G13"/>
  <c r="I13"/>
  <c r="J13"/>
  <c r="O11"/>
  <c r="G11"/>
  <c r="I11"/>
  <c r="J11"/>
  <c r="O9"/>
  <c r="G9"/>
  <c r="I9"/>
  <c r="J9"/>
  <c r="K9"/>
  <c r="O7"/>
  <c r="G7"/>
  <c r="I7"/>
  <c r="J7"/>
  <c r="O5"/>
  <c r="G5"/>
  <c r="I5"/>
  <c r="J5"/>
  <c r="O32" i="171"/>
  <c r="I32"/>
  <c r="J32"/>
  <c r="O31"/>
  <c r="I31"/>
  <c r="J31"/>
  <c r="O30"/>
  <c r="I30"/>
  <c r="J30"/>
  <c r="K30"/>
  <c r="O29"/>
  <c r="I29"/>
  <c r="J29"/>
  <c r="O28"/>
  <c r="I28"/>
  <c r="J28"/>
  <c r="K28"/>
  <c r="O27"/>
  <c r="I27"/>
  <c r="J27"/>
  <c r="O26"/>
  <c r="I26"/>
  <c r="J26"/>
  <c r="O25"/>
  <c r="I25"/>
  <c r="J25"/>
  <c r="N25"/>
  <c r="O24"/>
  <c r="I24"/>
  <c r="J24"/>
  <c r="O23"/>
  <c r="I23"/>
  <c r="J23"/>
  <c r="O22"/>
  <c r="I22"/>
  <c r="J22"/>
  <c r="K22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K13"/>
  <c r="O11"/>
  <c r="G11"/>
  <c r="I11"/>
  <c r="J11"/>
  <c r="O9"/>
  <c r="G9"/>
  <c r="I9"/>
  <c r="J9"/>
  <c r="O7"/>
  <c r="G7"/>
  <c r="I7"/>
  <c r="J7"/>
  <c r="K7"/>
  <c r="O5"/>
  <c r="G5"/>
  <c r="I5"/>
  <c r="J5"/>
  <c r="O52" i="83"/>
  <c r="I52"/>
  <c r="J52"/>
  <c r="O51"/>
  <c r="I51"/>
  <c r="J51"/>
  <c r="O50"/>
  <c r="I50"/>
  <c r="J50"/>
  <c r="K50"/>
  <c r="O49"/>
  <c r="I49"/>
  <c r="J49"/>
  <c r="O48"/>
  <c r="I48"/>
  <c r="J48"/>
  <c r="K48"/>
  <c r="O47"/>
  <c r="I47"/>
  <c r="J47"/>
  <c r="O46"/>
  <c r="I46"/>
  <c r="J46"/>
  <c r="O45"/>
  <c r="I45"/>
  <c r="J45"/>
  <c r="O44"/>
  <c r="I44"/>
  <c r="J44"/>
  <c r="O43"/>
  <c r="G43"/>
  <c r="I43"/>
  <c r="J43"/>
  <c r="O41"/>
  <c r="G41"/>
  <c r="I41"/>
  <c r="J41"/>
  <c r="N41"/>
  <c r="O39"/>
  <c r="G39"/>
  <c r="I39"/>
  <c r="J39"/>
  <c r="O37"/>
  <c r="G37"/>
  <c r="I37"/>
  <c r="J37"/>
  <c r="K37"/>
  <c r="O35"/>
  <c r="G35"/>
  <c r="I35"/>
  <c r="J35"/>
  <c r="O33"/>
  <c r="G33"/>
  <c r="I33"/>
  <c r="J33"/>
  <c r="O31"/>
  <c r="G31"/>
  <c r="I31"/>
  <c r="J31"/>
  <c r="K31"/>
  <c r="O29"/>
  <c r="G29"/>
  <c r="I29"/>
  <c r="J29"/>
  <c r="O27"/>
  <c r="G27"/>
  <c r="I27"/>
  <c r="J27"/>
  <c r="O25"/>
  <c r="G25"/>
  <c r="I25"/>
  <c r="J25"/>
  <c r="N25"/>
  <c r="O23"/>
  <c r="G23"/>
  <c r="I23"/>
  <c r="J23"/>
  <c r="O21"/>
  <c r="G21"/>
  <c r="I21"/>
  <c r="J21"/>
  <c r="N21"/>
  <c r="O19"/>
  <c r="G19"/>
  <c r="I19"/>
  <c r="J19"/>
  <c r="O17"/>
  <c r="G17"/>
  <c r="I17"/>
  <c r="J17"/>
  <c r="O15"/>
  <c r="G15"/>
  <c r="I15"/>
  <c r="J15"/>
  <c r="K15"/>
  <c r="O13"/>
  <c r="G13"/>
  <c r="I13"/>
  <c r="J13"/>
  <c r="O11"/>
  <c r="G11"/>
  <c r="I11"/>
  <c r="J11"/>
  <c r="O9"/>
  <c r="G9"/>
  <c r="I9"/>
  <c r="J9"/>
  <c r="N9"/>
  <c r="O7"/>
  <c r="G7"/>
  <c r="I7"/>
  <c r="J7"/>
  <c r="O5"/>
  <c r="G5"/>
  <c r="I5"/>
  <c r="J5"/>
  <c r="O39" i="46"/>
  <c r="G39"/>
  <c r="I39"/>
  <c r="J39"/>
  <c r="O37"/>
  <c r="G37"/>
  <c r="I37"/>
  <c r="J37"/>
  <c r="O35"/>
  <c r="G35"/>
  <c r="I35"/>
  <c r="J35"/>
  <c r="O33"/>
  <c r="G33"/>
  <c r="I33"/>
  <c r="J33"/>
  <c r="O31"/>
  <c r="G31"/>
  <c r="I31"/>
  <c r="J31"/>
  <c r="O29"/>
  <c r="G29"/>
  <c r="I29"/>
  <c r="J29"/>
  <c r="O27"/>
  <c r="G27"/>
  <c r="I27"/>
  <c r="J27"/>
  <c r="K27"/>
  <c r="O25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O15"/>
  <c r="G15"/>
  <c r="I15"/>
  <c r="J15"/>
  <c r="K15"/>
  <c r="O13"/>
  <c r="G13"/>
  <c r="I13"/>
  <c r="J13"/>
  <c r="O11"/>
  <c r="G11"/>
  <c r="I11"/>
  <c r="J11"/>
  <c r="O9"/>
  <c r="G9"/>
  <c r="I9"/>
  <c r="J9"/>
  <c r="O7"/>
  <c r="G7"/>
  <c r="I7"/>
  <c r="J7"/>
  <c r="O5"/>
  <c r="G5"/>
  <c r="I5"/>
  <c r="J5"/>
  <c r="O7" i="174"/>
  <c r="G7"/>
  <c r="I7"/>
  <c r="J7"/>
  <c r="O5"/>
  <c r="G5"/>
  <c r="I5"/>
  <c r="J5"/>
  <c r="O43" i="122"/>
  <c r="G43"/>
  <c r="I43"/>
  <c r="J43"/>
  <c r="N43"/>
  <c r="O41"/>
  <c r="G41"/>
  <c r="I41"/>
  <c r="J41"/>
  <c r="O39"/>
  <c r="G39"/>
  <c r="I39"/>
  <c r="J39"/>
  <c r="O37"/>
  <c r="G37"/>
  <c r="I37"/>
  <c r="J37"/>
  <c r="O35"/>
  <c r="G35"/>
  <c r="I35"/>
  <c r="J35"/>
  <c r="O33"/>
  <c r="G33"/>
  <c r="I33"/>
  <c r="J33"/>
  <c r="N33"/>
  <c r="O31"/>
  <c r="G31"/>
  <c r="I31"/>
  <c r="J31"/>
  <c r="O29"/>
  <c r="G29"/>
  <c r="I29"/>
  <c r="J29"/>
  <c r="O27"/>
  <c r="G27"/>
  <c r="I27"/>
  <c r="J27"/>
  <c r="O25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K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O5"/>
  <c r="N5"/>
  <c r="O41" i="198"/>
  <c r="G41"/>
  <c r="I41"/>
  <c r="J41"/>
  <c r="O39"/>
  <c r="G39"/>
  <c r="I39"/>
  <c r="J39"/>
  <c r="O37"/>
  <c r="G37"/>
  <c r="I37"/>
  <c r="J37"/>
  <c r="O35"/>
  <c r="G35"/>
  <c r="I35"/>
  <c r="J35"/>
  <c r="O33"/>
  <c r="G33"/>
  <c r="I33"/>
  <c r="J33"/>
  <c r="O31"/>
  <c r="G31"/>
  <c r="I31"/>
  <c r="J31"/>
  <c r="O29"/>
  <c r="G29"/>
  <c r="I29"/>
  <c r="J29"/>
  <c r="O27"/>
  <c r="G27"/>
  <c r="I27"/>
  <c r="J27"/>
  <c r="K27"/>
  <c r="O25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K17"/>
  <c r="O15"/>
  <c r="G15"/>
  <c r="I15"/>
  <c r="J15"/>
  <c r="N15"/>
  <c r="O13"/>
  <c r="G13"/>
  <c r="I13"/>
  <c r="J13"/>
  <c r="O11"/>
  <c r="G11"/>
  <c r="I11"/>
  <c r="J11"/>
  <c r="O9"/>
  <c r="G9"/>
  <c r="I9"/>
  <c r="J9"/>
  <c r="O7"/>
  <c r="G7"/>
  <c r="I7"/>
  <c r="J7"/>
  <c r="O5"/>
  <c r="G5"/>
  <c r="I5"/>
  <c r="J5"/>
  <c r="O7" i="85"/>
  <c r="G7"/>
  <c r="I7"/>
  <c r="J7"/>
  <c r="O26" i="253"/>
  <c r="G26"/>
  <c r="I26"/>
  <c r="J26"/>
  <c r="O24"/>
  <c r="G24"/>
  <c r="I24"/>
  <c r="J24"/>
  <c r="O22"/>
  <c r="G22"/>
  <c r="I22"/>
  <c r="J22"/>
  <c r="O20"/>
  <c r="G20"/>
  <c r="I20"/>
  <c r="J20"/>
  <c r="O18"/>
  <c r="G18"/>
  <c r="I18"/>
  <c r="J18"/>
  <c r="O16"/>
  <c r="G16"/>
  <c r="I16"/>
  <c r="J16"/>
  <c r="K16"/>
  <c r="O14"/>
  <c r="G14"/>
  <c r="I14"/>
  <c r="J14"/>
  <c r="O12"/>
  <c r="G12"/>
  <c r="I12"/>
  <c r="J12"/>
  <c r="O10"/>
  <c r="G10"/>
  <c r="I10"/>
  <c r="J10"/>
  <c r="N10"/>
  <c r="O8"/>
  <c r="G8"/>
  <c r="I8"/>
  <c r="J8"/>
  <c r="O6"/>
  <c r="G6"/>
  <c r="I6"/>
  <c r="J6"/>
  <c r="G9" i="113"/>
  <c r="I9"/>
  <c r="O27" i="330"/>
  <c r="G27"/>
  <c r="I27"/>
  <c r="J27"/>
  <c r="O25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O5"/>
  <c r="G5"/>
  <c r="I5"/>
  <c r="J5"/>
  <c r="O25" i="329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O5"/>
  <c r="G5"/>
  <c r="I5"/>
  <c r="J5"/>
  <c r="G5" i="5"/>
  <c r="I5"/>
  <c r="J5"/>
  <c r="N5"/>
  <c r="O41" i="325"/>
  <c r="G41"/>
  <c r="I41"/>
  <c r="J41"/>
  <c r="O39"/>
  <c r="G39"/>
  <c r="I39"/>
  <c r="J39"/>
  <c r="O37"/>
  <c r="G37"/>
  <c r="I37"/>
  <c r="J37"/>
  <c r="K37"/>
  <c r="O35"/>
  <c r="G35"/>
  <c r="I35"/>
  <c r="J35"/>
  <c r="O33"/>
  <c r="G33"/>
  <c r="I33"/>
  <c r="J33"/>
  <c r="O31"/>
  <c r="G31"/>
  <c r="I31"/>
  <c r="J31"/>
  <c r="O29"/>
  <c r="G29"/>
  <c r="I29"/>
  <c r="J29"/>
  <c r="O27"/>
  <c r="G27"/>
  <c r="I27"/>
  <c r="J27"/>
  <c r="O25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N7"/>
  <c r="O5"/>
  <c r="G5"/>
  <c r="I5"/>
  <c r="J5"/>
  <c r="N5"/>
  <c r="G9" i="260"/>
  <c r="I9"/>
  <c r="J9"/>
  <c r="K9"/>
  <c r="G7"/>
  <c r="I7"/>
  <c r="J7"/>
  <c r="O45" i="324"/>
  <c r="G45"/>
  <c r="I45"/>
  <c r="J45"/>
  <c r="K45"/>
  <c r="O43"/>
  <c r="G43"/>
  <c r="I43"/>
  <c r="J43"/>
  <c r="O41"/>
  <c r="G41"/>
  <c r="I41"/>
  <c r="J41"/>
  <c r="O39"/>
  <c r="G39"/>
  <c r="I39"/>
  <c r="J39"/>
  <c r="O37"/>
  <c r="G37"/>
  <c r="I37"/>
  <c r="J37"/>
  <c r="O35"/>
  <c r="G35"/>
  <c r="I35"/>
  <c r="J35"/>
  <c r="O33"/>
  <c r="G33"/>
  <c r="I33"/>
  <c r="J33"/>
  <c r="O31"/>
  <c r="G31"/>
  <c r="I31"/>
  <c r="J31"/>
  <c r="O29"/>
  <c r="G29"/>
  <c r="I29"/>
  <c r="J29"/>
  <c r="N29"/>
  <c r="O27"/>
  <c r="G27"/>
  <c r="I27"/>
  <c r="J27"/>
  <c r="O25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K13"/>
  <c r="O11"/>
  <c r="G11"/>
  <c r="I11"/>
  <c r="J11"/>
  <c r="O9"/>
  <c r="G9"/>
  <c r="I9"/>
  <c r="J9"/>
  <c r="O7"/>
  <c r="G7"/>
  <c r="I7"/>
  <c r="J7"/>
  <c r="O5"/>
  <c r="G5"/>
  <c r="I5"/>
  <c r="J5"/>
  <c r="O5" i="220"/>
  <c r="G5"/>
  <c r="I5"/>
  <c r="J5"/>
  <c r="G5" i="178"/>
  <c r="I5"/>
  <c r="J5"/>
  <c r="O29" i="317"/>
  <c r="G29"/>
  <c r="I29"/>
  <c r="J29"/>
  <c r="O27"/>
  <c r="G27"/>
  <c r="I27"/>
  <c r="J27"/>
  <c r="O25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O5"/>
  <c r="G5"/>
  <c r="I5"/>
  <c r="J5"/>
  <c r="G51" i="184"/>
  <c r="I51"/>
  <c r="O31" i="314"/>
  <c r="G31"/>
  <c r="I31"/>
  <c r="J31"/>
  <c r="O29"/>
  <c r="G29"/>
  <c r="I29"/>
  <c r="J29"/>
  <c r="O27"/>
  <c r="G27"/>
  <c r="I27"/>
  <c r="J27"/>
  <c r="O25"/>
  <c r="G25"/>
  <c r="I25"/>
  <c r="J25"/>
  <c r="O23"/>
  <c r="G23"/>
  <c r="I23"/>
  <c r="J23"/>
  <c r="K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K7"/>
  <c r="O43" i="313"/>
  <c r="G43"/>
  <c r="I43"/>
  <c r="J43"/>
  <c r="O41"/>
  <c r="G41"/>
  <c r="I41"/>
  <c r="J41"/>
  <c r="K41"/>
  <c r="O39"/>
  <c r="G39"/>
  <c r="I39"/>
  <c r="J39"/>
  <c r="O37"/>
  <c r="G37"/>
  <c r="I37"/>
  <c r="J37"/>
  <c r="K37"/>
  <c r="O35"/>
  <c r="G35"/>
  <c r="I35"/>
  <c r="J35"/>
  <c r="O33"/>
  <c r="G33"/>
  <c r="I33"/>
  <c r="J33"/>
  <c r="O31"/>
  <c r="G31"/>
  <c r="I31"/>
  <c r="J31"/>
  <c r="O29"/>
  <c r="G29"/>
  <c r="I29"/>
  <c r="J29"/>
  <c r="O27"/>
  <c r="G27"/>
  <c r="I27"/>
  <c r="J27"/>
  <c r="O25"/>
  <c r="G25"/>
  <c r="I25"/>
  <c r="J25"/>
  <c r="O23"/>
  <c r="G23"/>
  <c r="I23"/>
  <c r="J23"/>
  <c r="O21"/>
  <c r="G21"/>
  <c r="I21"/>
  <c r="J21"/>
  <c r="N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N9"/>
  <c r="O7"/>
  <c r="G7"/>
  <c r="I7"/>
  <c r="J7"/>
  <c r="O5"/>
  <c r="G5"/>
  <c r="I5"/>
  <c r="J5"/>
  <c r="N5"/>
  <c r="O81" i="184"/>
  <c r="G81"/>
  <c r="I81"/>
  <c r="J81"/>
  <c r="O79"/>
  <c r="G79"/>
  <c r="I79"/>
  <c r="J79"/>
  <c r="O77"/>
  <c r="G77"/>
  <c r="I77"/>
  <c r="J77"/>
  <c r="O75"/>
  <c r="G75"/>
  <c r="I75"/>
  <c r="J75"/>
  <c r="O73"/>
  <c r="G73"/>
  <c r="I73"/>
  <c r="J73"/>
  <c r="K73"/>
  <c r="O71"/>
  <c r="G71"/>
  <c r="I71"/>
  <c r="J71"/>
  <c r="O69"/>
  <c r="G69"/>
  <c r="I69"/>
  <c r="J69"/>
  <c r="O67"/>
  <c r="G67"/>
  <c r="I67"/>
  <c r="J67"/>
  <c r="O65"/>
  <c r="G65"/>
  <c r="I65"/>
  <c r="J65"/>
  <c r="O63"/>
  <c r="G63"/>
  <c r="I63"/>
  <c r="J63"/>
  <c r="O61"/>
  <c r="G61"/>
  <c r="I61"/>
  <c r="J61"/>
  <c r="O59"/>
  <c r="G59"/>
  <c r="I59"/>
  <c r="J59"/>
  <c r="O57"/>
  <c r="G57"/>
  <c r="I57"/>
  <c r="J57"/>
  <c r="O55"/>
  <c r="G55"/>
  <c r="I55"/>
  <c r="J55"/>
  <c r="O53"/>
  <c r="G53"/>
  <c r="I53"/>
  <c r="J53"/>
  <c r="K53"/>
  <c r="O41" i="311"/>
  <c r="G41"/>
  <c r="I41"/>
  <c r="J41"/>
  <c r="O39"/>
  <c r="G39"/>
  <c r="I39"/>
  <c r="J39"/>
  <c r="O37"/>
  <c r="G37"/>
  <c r="I37"/>
  <c r="J37"/>
  <c r="O35"/>
  <c r="G35"/>
  <c r="I35"/>
  <c r="J35"/>
  <c r="O33"/>
  <c r="G33"/>
  <c r="I33"/>
  <c r="J33"/>
  <c r="O31"/>
  <c r="G31"/>
  <c r="I31"/>
  <c r="J31"/>
  <c r="O29"/>
  <c r="G29"/>
  <c r="I29"/>
  <c r="J29"/>
  <c r="O27"/>
  <c r="G27"/>
  <c r="I27"/>
  <c r="J27"/>
  <c r="O25"/>
  <c r="G25"/>
  <c r="I25"/>
  <c r="J25"/>
  <c r="O23"/>
  <c r="G23"/>
  <c r="I23"/>
  <c r="J23"/>
  <c r="O21"/>
  <c r="G21"/>
  <c r="I21"/>
  <c r="J21"/>
  <c r="N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N11"/>
  <c r="O9"/>
  <c r="G9"/>
  <c r="I9"/>
  <c r="J9"/>
  <c r="O7"/>
  <c r="G7"/>
  <c r="I7"/>
  <c r="J7"/>
  <c r="O5"/>
  <c r="G5"/>
  <c r="I5"/>
  <c r="J5"/>
  <c r="O27" i="310"/>
  <c r="G27"/>
  <c r="I27"/>
  <c r="J27"/>
  <c r="O25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O5"/>
  <c r="G5"/>
  <c r="I5"/>
  <c r="J5"/>
  <c r="K5"/>
  <c r="O41" i="309"/>
  <c r="G41"/>
  <c r="I41"/>
  <c r="J41"/>
  <c r="O39"/>
  <c r="G39"/>
  <c r="I39"/>
  <c r="J39"/>
  <c r="O37"/>
  <c r="G37"/>
  <c r="I37"/>
  <c r="J37"/>
  <c r="O35"/>
  <c r="G35"/>
  <c r="I35"/>
  <c r="J35"/>
  <c r="O33"/>
  <c r="G33"/>
  <c r="I33"/>
  <c r="J33"/>
  <c r="O31"/>
  <c r="G31"/>
  <c r="I31"/>
  <c r="J31"/>
  <c r="O29"/>
  <c r="G29"/>
  <c r="I29"/>
  <c r="J29"/>
  <c r="O27"/>
  <c r="G27"/>
  <c r="I27"/>
  <c r="J27"/>
  <c r="O25"/>
  <c r="G25"/>
  <c r="I25"/>
  <c r="J25"/>
  <c r="N25"/>
  <c r="O23"/>
  <c r="G23"/>
  <c r="I23"/>
  <c r="J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O5"/>
  <c r="G5"/>
  <c r="I5"/>
  <c r="J5"/>
  <c r="O36" i="308"/>
  <c r="J36"/>
  <c r="G36"/>
  <c r="I36"/>
  <c r="K36"/>
  <c r="O35" i="307"/>
  <c r="G35"/>
  <c r="I35"/>
  <c r="J35"/>
  <c r="O33"/>
  <c r="G33"/>
  <c r="I33"/>
  <c r="J33"/>
  <c r="O31"/>
  <c r="G31"/>
  <c r="I31"/>
  <c r="J31"/>
  <c r="K31"/>
  <c r="O29"/>
  <c r="G29"/>
  <c r="I29"/>
  <c r="J29"/>
  <c r="O26"/>
  <c r="G26"/>
  <c r="I26"/>
  <c r="J26"/>
  <c r="O24"/>
  <c r="G24"/>
  <c r="I24"/>
  <c r="J24"/>
  <c r="O22"/>
  <c r="G22"/>
  <c r="I22"/>
  <c r="J22"/>
  <c r="O20"/>
  <c r="G20"/>
  <c r="I20"/>
  <c r="J20"/>
  <c r="O18"/>
  <c r="G18"/>
  <c r="I18"/>
  <c r="J18"/>
  <c r="O16"/>
  <c r="G16"/>
  <c r="I16"/>
  <c r="J16"/>
  <c r="O13"/>
  <c r="G13"/>
  <c r="I13"/>
  <c r="J13"/>
  <c r="O9"/>
  <c r="G9"/>
  <c r="I9"/>
  <c r="J9"/>
  <c r="O7"/>
  <c r="G7"/>
  <c r="I7"/>
  <c r="J7"/>
  <c r="O5"/>
  <c r="G5"/>
  <c r="I5"/>
  <c r="J5"/>
  <c r="O51" i="184"/>
  <c r="J51"/>
  <c r="O49"/>
  <c r="G49"/>
  <c r="I49"/>
  <c r="J49"/>
  <c r="O47"/>
  <c r="G47"/>
  <c r="I47"/>
  <c r="J47"/>
  <c r="O45"/>
  <c r="G45"/>
  <c r="I45"/>
  <c r="J45"/>
  <c r="O43"/>
  <c r="G43"/>
  <c r="I43"/>
  <c r="J43"/>
  <c r="O41"/>
  <c r="G41"/>
  <c r="I41"/>
  <c r="J41"/>
  <c r="O39"/>
  <c r="G39"/>
  <c r="I39"/>
  <c r="J39"/>
  <c r="O37"/>
  <c r="G37"/>
  <c r="I37"/>
  <c r="J37"/>
  <c r="O35"/>
  <c r="G35"/>
  <c r="I35"/>
  <c r="J35"/>
  <c r="K35"/>
  <c r="G33"/>
  <c r="I33"/>
  <c r="K33"/>
  <c r="O31"/>
  <c r="G31"/>
  <c r="I31"/>
  <c r="J31"/>
  <c r="O29"/>
  <c r="G29"/>
  <c r="I29"/>
  <c r="J29"/>
  <c r="O27"/>
  <c r="G27"/>
  <c r="I27"/>
  <c r="J27"/>
  <c r="O25"/>
  <c r="G25"/>
  <c r="I25"/>
  <c r="J25"/>
  <c r="G13" i="37"/>
  <c r="I13"/>
  <c r="J13"/>
  <c r="O41" i="305"/>
  <c r="G41"/>
  <c r="I41"/>
  <c r="J41"/>
  <c r="O39"/>
  <c r="G39"/>
  <c r="I39"/>
  <c r="J39"/>
  <c r="K39"/>
  <c r="O37"/>
  <c r="G37"/>
  <c r="I37"/>
  <c r="J37"/>
  <c r="O35"/>
  <c r="G35"/>
  <c r="I35"/>
  <c r="J35"/>
  <c r="O33"/>
  <c r="G33"/>
  <c r="I33"/>
  <c r="J33"/>
  <c r="O31"/>
  <c r="G31"/>
  <c r="I31"/>
  <c r="J31"/>
  <c r="O29"/>
  <c r="G29"/>
  <c r="I29"/>
  <c r="J29"/>
  <c r="N29"/>
  <c r="O27"/>
  <c r="G27"/>
  <c r="I27"/>
  <c r="J27"/>
  <c r="O25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N7"/>
  <c r="O5"/>
  <c r="G5"/>
  <c r="I5"/>
  <c r="J5"/>
  <c r="O28" i="303"/>
  <c r="G28"/>
  <c r="I28"/>
  <c r="J28"/>
  <c r="O26"/>
  <c r="G26"/>
  <c r="I26"/>
  <c r="J26"/>
  <c r="O24"/>
  <c r="G24"/>
  <c r="I24"/>
  <c r="J24"/>
  <c r="O22"/>
  <c r="G22"/>
  <c r="I22"/>
  <c r="J22"/>
  <c r="O20"/>
  <c r="G20"/>
  <c r="I20"/>
  <c r="J20"/>
  <c r="O18"/>
  <c r="G18"/>
  <c r="I18"/>
  <c r="J18"/>
  <c r="O16"/>
  <c r="G16"/>
  <c r="I16"/>
  <c r="J16"/>
  <c r="O14"/>
  <c r="G14"/>
  <c r="I14"/>
  <c r="J14"/>
  <c r="K14"/>
  <c r="O12"/>
  <c r="G12"/>
  <c r="I12"/>
  <c r="J12"/>
  <c r="O10"/>
  <c r="G10"/>
  <c r="I10"/>
  <c r="J10"/>
  <c r="O8"/>
  <c r="G8"/>
  <c r="I8"/>
  <c r="J8"/>
  <c r="O6"/>
  <c r="G6"/>
  <c r="I6"/>
  <c r="J6"/>
  <c r="O45" i="301"/>
  <c r="G45"/>
  <c r="I45"/>
  <c r="J45"/>
  <c r="O43"/>
  <c r="G43"/>
  <c r="I43"/>
  <c r="J43"/>
  <c r="O41"/>
  <c r="G41"/>
  <c r="I41"/>
  <c r="J41"/>
  <c r="O39"/>
  <c r="G39"/>
  <c r="I39"/>
  <c r="J39"/>
  <c r="O37"/>
  <c r="G37"/>
  <c r="I37"/>
  <c r="J37"/>
  <c r="O35"/>
  <c r="G35"/>
  <c r="I35"/>
  <c r="J35"/>
  <c r="O33"/>
  <c r="G33"/>
  <c r="I33"/>
  <c r="J33"/>
  <c r="O31"/>
  <c r="G31"/>
  <c r="I31"/>
  <c r="J31"/>
  <c r="O29"/>
  <c r="G29"/>
  <c r="I29"/>
  <c r="J29"/>
  <c r="O27"/>
  <c r="G27"/>
  <c r="I27"/>
  <c r="J27"/>
  <c r="O25"/>
  <c r="G25"/>
  <c r="I25"/>
  <c r="J25"/>
  <c r="O23"/>
  <c r="G23"/>
  <c r="I23"/>
  <c r="J23"/>
  <c r="N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O5"/>
  <c r="G5"/>
  <c r="I5"/>
  <c r="J5"/>
  <c r="O43" i="299"/>
  <c r="J43"/>
  <c r="G43"/>
  <c r="I43"/>
  <c r="O41"/>
  <c r="J41"/>
  <c r="G41"/>
  <c r="I41"/>
  <c r="O39"/>
  <c r="J39"/>
  <c r="G39"/>
  <c r="I39"/>
  <c r="O37"/>
  <c r="J37"/>
  <c r="G37"/>
  <c r="I37"/>
  <c r="O35"/>
  <c r="J35"/>
  <c r="G35"/>
  <c r="I35"/>
  <c r="O33"/>
  <c r="J33"/>
  <c r="G33"/>
  <c r="I33"/>
  <c r="O31"/>
  <c r="J31"/>
  <c r="G31"/>
  <c r="I31"/>
  <c r="O29"/>
  <c r="J29"/>
  <c r="G29"/>
  <c r="I29"/>
  <c r="O27"/>
  <c r="J27"/>
  <c r="G27"/>
  <c r="I27"/>
  <c r="O25"/>
  <c r="J25"/>
  <c r="G25"/>
  <c r="I25"/>
  <c r="O23"/>
  <c r="J23"/>
  <c r="G23"/>
  <c r="I23"/>
  <c r="O21"/>
  <c r="J21"/>
  <c r="G21"/>
  <c r="I21"/>
  <c r="K21"/>
  <c r="O19"/>
  <c r="J19"/>
  <c r="G19"/>
  <c r="I19"/>
  <c r="O17"/>
  <c r="J17"/>
  <c r="G17"/>
  <c r="I17"/>
  <c r="O15"/>
  <c r="J15"/>
  <c r="G15"/>
  <c r="I15"/>
  <c r="O13"/>
  <c r="J13"/>
  <c r="G13"/>
  <c r="I13"/>
  <c r="O11"/>
  <c r="J11"/>
  <c r="G11"/>
  <c r="I11"/>
  <c r="O9"/>
  <c r="J9"/>
  <c r="G9"/>
  <c r="I9"/>
  <c r="O7"/>
  <c r="J7"/>
  <c r="G7"/>
  <c r="I7"/>
  <c r="O5"/>
  <c r="J5"/>
  <c r="G5"/>
  <c r="I5"/>
  <c r="J5" i="290"/>
  <c r="O41" i="297"/>
  <c r="J41"/>
  <c r="G41"/>
  <c r="I41"/>
  <c r="N41"/>
  <c r="O39"/>
  <c r="J39"/>
  <c r="G39"/>
  <c r="I39"/>
  <c r="O37"/>
  <c r="J37"/>
  <c r="G37"/>
  <c r="I37"/>
  <c r="O35"/>
  <c r="J35"/>
  <c r="G35"/>
  <c r="I35"/>
  <c r="O33"/>
  <c r="J33"/>
  <c r="G33"/>
  <c r="I33"/>
  <c r="O31"/>
  <c r="J31"/>
  <c r="G31"/>
  <c r="I31"/>
  <c r="O29"/>
  <c r="J29"/>
  <c r="G29"/>
  <c r="I29"/>
  <c r="O27"/>
  <c r="J27"/>
  <c r="G27"/>
  <c r="I27"/>
  <c r="O25"/>
  <c r="J25"/>
  <c r="G25"/>
  <c r="I25"/>
  <c r="O23"/>
  <c r="J23"/>
  <c r="G23"/>
  <c r="I23"/>
  <c r="O21"/>
  <c r="J21"/>
  <c r="G21"/>
  <c r="I21"/>
  <c r="O19"/>
  <c r="J19"/>
  <c r="G19"/>
  <c r="I19"/>
  <c r="O17"/>
  <c r="J17"/>
  <c r="G17"/>
  <c r="I17"/>
  <c r="O15"/>
  <c r="J15"/>
  <c r="G15"/>
  <c r="I15"/>
  <c r="N15"/>
  <c r="O13"/>
  <c r="J13"/>
  <c r="G13"/>
  <c r="I13"/>
  <c r="K13"/>
  <c r="O11"/>
  <c r="J11"/>
  <c r="G11"/>
  <c r="I11"/>
  <c r="O9"/>
  <c r="J9"/>
  <c r="G9"/>
  <c r="I9"/>
  <c r="O7"/>
  <c r="J7"/>
  <c r="G7"/>
  <c r="I7"/>
  <c r="O5"/>
  <c r="J5"/>
  <c r="G5"/>
  <c r="I5"/>
  <c r="O35" i="294"/>
  <c r="J35"/>
  <c r="G35"/>
  <c r="I35"/>
  <c r="N35"/>
  <c r="O33"/>
  <c r="J33"/>
  <c r="G33"/>
  <c r="I33"/>
  <c r="O31"/>
  <c r="J31"/>
  <c r="G31"/>
  <c r="I31"/>
  <c r="O29"/>
  <c r="J29"/>
  <c r="G29"/>
  <c r="I29"/>
  <c r="O27"/>
  <c r="J27"/>
  <c r="G27"/>
  <c r="I27"/>
  <c r="N27"/>
  <c r="O25"/>
  <c r="J25"/>
  <c r="G25"/>
  <c r="I25"/>
  <c r="O23"/>
  <c r="J23"/>
  <c r="G23"/>
  <c r="I23"/>
  <c r="O21"/>
  <c r="J21"/>
  <c r="G21"/>
  <c r="I21"/>
  <c r="O19"/>
  <c r="J19"/>
  <c r="G19"/>
  <c r="I19"/>
  <c r="O17"/>
  <c r="J17"/>
  <c r="G17"/>
  <c r="I17"/>
  <c r="O15"/>
  <c r="J15"/>
  <c r="G15"/>
  <c r="I15"/>
  <c r="O13"/>
  <c r="J13"/>
  <c r="G13"/>
  <c r="I13"/>
  <c r="O11"/>
  <c r="J11"/>
  <c r="G11"/>
  <c r="I11"/>
  <c r="O9"/>
  <c r="J9"/>
  <c r="G9"/>
  <c r="I9"/>
  <c r="O7"/>
  <c r="J7"/>
  <c r="G7"/>
  <c r="I7"/>
  <c r="O5"/>
  <c r="J5"/>
  <c r="G5"/>
  <c r="I5"/>
  <c r="O43" i="292"/>
  <c r="J43"/>
  <c r="G43"/>
  <c r="I43"/>
  <c r="O41"/>
  <c r="J41"/>
  <c r="G41"/>
  <c r="I41"/>
  <c r="O39"/>
  <c r="J39"/>
  <c r="G39"/>
  <c r="I39"/>
  <c r="O37"/>
  <c r="J37"/>
  <c r="G37"/>
  <c r="I37"/>
  <c r="O35"/>
  <c r="J35"/>
  <c r="G35"/>
  <c r="I35"/>
  <c r="O33"/>
  <c r="J33"/>
  <c r="G33"/>
  <c r="I33"/>
  <c r="O31"/>
  <c r="J31"/>
  <c r="G31"/>
  <c r="I31"/>
  <c r="O29"/>
  <c r="J29"/>
  <c r="G29"/>
  <c r="I29"/>
  <c r="O27"/>
  <c r="J27"/>
  <c r="G27"/>
  <c r="I27"/>
  <c r="O25"/>
  <c r="J25"/>
  <c r="G25"/>
  <c r="I25"/>
  <c r="O23"/>
  <c r="J23"/>
  <c r="G23"/>
  <c r="I23"/>
  <c r="O21"/>
  <c r="J21"/>
  <c r="G21"/>
  <c r="I21"/>
  <c r="O19"/>
  <c r="J19"/>
  <c r="G19"/>
  <c r="I19"/>
  <c r="O17"/>
  <c r="J17"/>
  <c r="G17"/>
  <c r="I17"/>
  <c r="O15"/>
  <c r="J15"/>
  <c r="G15"/>
  <c r="I15"/>
  <c r="O13"/>
  <c r="J13"/>
  <c r="G13"/>
  <c r="I13"/>
  <c r="O11"/>
  <c r="J11"/>
  <c r="G11"/>
  <c r="I11"/>
  <c r="O9"/>
  <c r="J9"/>
  <c r="G9"/>
  <c r="I9"/>
  <c r="O7"/>
  <c r="J7"/>
  <c r="G7"/>
  <c r="I7"/>
  <c r="O5"/>
  <c r="J5"/>
  <c r="G5"/>
  <c r="I5"/>
  <c r="O45" i="290"/>
  <c r="J45"/>
  <c r="G45"/>
  <c r="I45"/>
  <c r="O43"/>
  <c r="J43"/>
  <c r="G43"/>
  <c r="I43"/>
  <c r="O41"/>
  <c r="J41"/>
  <c r="G41"/>
  <c r="I41"/>
  <c r="O39"/>
  <c r="J39"/>
  <c r="G39"/>
  <c r="I39"/>
  <c r="O37"/>
  <c r="J37"/>
  <c r="G37"/>
  <c r="I37"/>
  <c r="O35"/>
  <c r="J35"/>
  <c r="G35"/>
  <c r="I35"/>
  <c r="N35"/>
  <c r="O33"/>
  <c r="J33"/>
  <c r="G33"/>
  <c r="I33"/>
  <c r="O31"/>
  <c r="J31"/>
  <c r="G31"/>
  <c r="I31"/>
  <c r="O29"/>
  <c r="J29"/>
  <c r="G29"/>
  <c r="I29"/>
  <c r="O27"/>
  <c r="J27"/>
  <c r="G27"/>
  <c r="I27"/>
  <c r="O25"/>
  <c r="J25"/>
  <c r="G25"/>
  <c r="I25"/>
  <c r="O23"/>
  <c r="J23"/>
  <c r="G23"/>
  <c r="I23"/>
  <c r="O21"/>
  <c r="J21"/>
  <c r="G21"/>
  <c r="I21"/>
  <c r="O19"/>
  <c r="J19"/>
  <c r="G19"/>
  <c r="I19"/>
  <c r="O17"/>
  <c r="J17"/>
  <c r="G17"/>
  <c r="I17"/>
  <c r="O15"/>
  <c r="J15"/>
  <c r="G15"/>
  <c r="I15"/>
  <c r="O13"/>
  <c r="J13"/>
  <c r="G13"/>
  <c r="I13"/>
  <c r="O11"/>
  <c r="J11"/>
  <c r="G11"/>
  <c r="I11"/>
  <c r="O9"/>
  <c r="J9"/>
  <c r="G9"/>
  <c r="I9"/>
  <c r="O7"/>
  <c r="J7"/>
  <c r="G7"/>
  <c r="I7"/>
  <c r="O5"/>
  <c r="G5"/>
  <c r="I5"/>
  <c r="O41" i="287"/>
  <c r="G41"/>
  <c r="I41"/>
  <c r="J41"/>
  <c r="O39"/>
  <c r="G39"/>
  <c r="I39"/>
  <c r="J39"/>
  <c r="O37"/>
  <c r="G37"/>
  <c r="I37"/>
  <c r="J37"/>
  <c r="O35"/>
  <c r="G35"/>
  <c r="I35"/>
  <c r="J35"/>
  <c r="O33"/>
  <c r="G33"/>
  <c r="I33"/>
  <c r="J33"/>
  <c r="O31"/>
  <c r="G31"/>
  <c r="I31"/>
  <c r="J31"/>
  <c r="O29"/>
  <c r="G29"/>
  <c r="I29"/>
  <c r="J29"/>
  <c r="O27"/>
  <c r="G27"/>
  <c r="I27"/>
  <c r="J27"/>
  <c r="O25"/>
  <c r="G25"/>
  <c r="I25"/>
  <c r="J25"/>
  <c r="O23"/>
  <c r="G23"/>
  <c r="I23"/>
  <c r="J23"/>
  <c r="O21"/>
  <c r="G21"/>
  <c r="I21"/>
  <c r="J21"/>
  <c r="K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O5"/>
  <c r="G5"/>
  <c r="I5"/>
  <c r="J5"/>
  <c r="N5"/>
  <c r="O39" i="285"/>
  <c r="G39"/>
  <c r="I39"/>
  <c r="J39"/>
  <c r="O37"/>
  <c r="G37"/>
  <c r="I37"/>
  <c r="J37"/>
  <c r="O35"/>
  <c r="G35"/>
  <c r="I35"/>
  <c r="J35"/>
  <c r="O33"/>
  <c r="G33"/>
  <c r="I33"/>
  <c r="J33"/>
  <c r="O31"/>
  <c r="G31"/>
  <c r="I31"/>
  <c r="J31"/>
  <c r="O29"/>
  <c r="G29"/>
  <c r="I29"/>
  <c r="J29"/>
  <c r="O27"/>
  <c r="G27"/>
  <c r="I27"/>
  <c r="J27"/>
  <c r="O25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O5"/>
  <c r="G5"/>
  <c r="I5"/>
  <c r="J5"/>
  <c r="G5" i="264"/>
  <c r="I5"/>
  <c r="J5"/>
  <c r="G5" i="240"/>
  <c r="I5"/>
  <c r="J5"/>
  <c r="O43" i="283"/>
  <c r="J43"/>
  <c r="G43"/>
  <c r="I43"/>
  <c r="K43"/>
  <c r="O41"/>
  <c r="J41"/>
  <c r="G41"/>
  <c r="I41"/>
  <c r="O39"/>
  <c r="J39"/>
  <c r="G39"/>
  <c r="I39"/>
  <c r="O37"/>
  <c r="J37"/>
  <c r="G37"/>
  <c r="I37"/>
  <c r="O35"/>
  <c r="J35"/>
  <c r="G35"/>
  <c r="I35"/>
  <c r="O33"/>
  <c r="J33"/>
  <c r="G33"/>
  <c r="I33"/>
  <c r="O31"/>
  <c r="J31"/>
  <c r="G31"/>
  <c r="I31"/>
  <c r="O29"/>
  <c r="J29"/>
  <c r="G29"/>
  <c r="I29"/>
  <c r="O27"/>
  <c r="J27"/>
  <c r="G27"/>
  <c r="I27"/>
  <c r="O25"/>
  <c r="J25"/>
  <c r="G25"/>
  <c r="I25"/>
  <c r="O23"/>
  <c r="J23"/>
  <c r="G23"/>
  <c r="I23"/>
  <c r="O21"/>
  <c r="J21"/>
  <c r="G21"/>
  <c r="I21"/>
  <c r="O19"/>
  <c r="J19"/>
  <c r="G19"/>
  <c r="I19"/>
  <c r="O17"/>
  <c r="J17"/>
  <c r="G17"/>
  <c r="I17"/>
  <c r="O15"/>
  <c r="J15"/>
  <c r="G15"/>
  <c r="I15"/>
  <c r="N15"/>
  <c r="O13"/>
  <c r="J13"/>
  <c r="G13"/>
  <c r="I13"/>
  <c r="K13"/>
  <c r="O11"/>
  <c r="J11"/>
  <c r="G11"/>
  <c r="I11"/>
  <c r="N11"/>
  <c r="O9"/>
  <c r="J9"/>
  <c r="G9"/>
  <c r="I9"/>
  <c r="N9"/>
  <c r="O7"/>
  <c r="J7"/>
  <c r="G7"/>
  <c r="I7"/>
  <c r="O5"/>
  <c r="J5"/>
  <c r="G5"/>
  <c r="I5"/>
  <c r="N5"/>
  <c r="O35" i="282"/>
  <c r="G35"/>
  <c r="I35"/>
  <c r="J35"/>
  <c r="O33"/>
  <c r="G33"/>
  <c r="I33"/>
  <c r="J33"/>
  <c r="O31"/>
  <c r="G31"/>
  <c r="I31"/>
  <c r="J31"/>
  <c r="O29"/>
  <c r="G29"/>
  <c r="I29"/>
  <c r="J29"/>
  <c r="O27"/>
  <c r="G27"/>
  <c r="I27"/>
  <c r="J27"/>
  <c r="O25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O5"/>
  <c r="G5"/>
  <c r="I5"/>
  <c r="J5"/>
  <c r="O29" i="280"/>
  <c r="G29"/>
  <c r="I29"/>
  <c r="J29"/>
  <c r="O27"/>
  <c r="G27"/>
  <c r="I27"/>
  <c r="J27"/>
  <c r="O25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O5"/>
  <c r="G5"/>
  <c r="I5"/>
  <c r="J5"/>
  <c r="O44" i="279"/>
  <c r="G44"/>
  <c r="I44"/>
  <c r="J44"/>
  <c r="O42"/>
  <c r="G42"/>
  <c r="I42"/>
  <c r="J42"/>
  <c r="O40"/>
  <c r="G40"/>
  <c r="I40"/>
  <c r="J40"/>
  <c r="O38"/>
  <c r="G38"/>
  <c r="I38"/>
  <c r="J38"/>
  <c r="O36"/>
  <c r="G36"/>
  <c r="I36"/>
  <c r="J36"/>
  <c r="K36"/>
  <c r="O34"/>
  <c r="G34"/>
  <c r="I34"/>
  <c r="J34"/>
  <c r="O32"/>
  <c r="G32"/>
  <c r="I32"/>
  <c r="J32"/>
  <c r="N32"/>
  <c r="O30"/>
  <c r="G30"/>
  <c r="I30"/>
  <c r="J30"/>
  <c r="O28"/>
  <c r="G28"/>
  <c r="I28"/>
  <c r="J28"/>
  <c r="O26"/>
  <c r="G26"/>
  <c r="I26"/>
  <c r="J26"/>
  <c r="O24"/>
  <c r="G24"/>
  <c r="I24"/>
  <c r="J24"/>
  <c r="O22"/>
  <c r="G22"/>
  <c r="I22"/>
  <c r="J22"/>
  <c r="O20"/>
  <c r="G20"/>
  <c r="I20"/>
  <c r="J20"/>
  <c r="O18"/>
  <c r="G18"/>
  <c r="I18"/>
  <c r="J18"/>
  <c r="O16"/>
  <c r="G16"/>
  <c r="I16"/>
  <c r="J16"/>
  <c r="O14"/>
  <c r="G14"/>
  <c r="I14"/>
  <c r="J14"/>
  <c r="O12"/>
  <c r="G12"/>
  <c r="I12"/>
  <c r="J12"/>
  <c r="O10"/>
  <c r="G10"/>
  <c r="I10"/>
  <c r="J10"/>
  <c r="O8"/>
  <c r="G8"/>
  <c r="I8"/>
  <c r="J8"/>
  <c r="O6"/>
  <c r="G6"/>
  <c r="I6"/>
  <c r="J6"/>
  <c r="O43" i="278"/>
  <c r="G43"/>
  <c r="I43"/>
  <c r="J43"/>
  <c r="O41"/>
  <c r="G41"/>
  <c r="I41"/>
  <c r="J41"/>
  <c r="O39"/>
  <c r="G39"/>
  <c r="I39"/>
  <c r="J39"/>
  <c r="N39"/>
  <c r="O37"/>
  <c r="G37"/>
  <c r="I37"/>
  <c r="J37"/>
  <c r="K37"/>
  <c r="O35"/>
  <c r="G35"/>
  <c r="I35"/>
  <c r="J35"/>
  <c r="O33"/>
  <c r="G33"/>
  <c r="I33"/>
  <c r="J33"/>
  <c r="O31"/>
  <c r="G31"/>
  <c r="I31"/>
  <c r="J31"/>
  <c r="O29"/>
  <c r="G29"/>
  <c r="I29"/>
  <c r="J29"/>
  <c r="O27"/>
  <c r="G27"/>
  <c r="I27"/>
  <c r="J27"/>
  <c r="O25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O5"/>
  <c r="G5"/>
  <c r="I5"/>
  <c r="J5"/>
  <c r="O45" i="274"/>
  <c r="G45"/>
  <c r="I45"/>
  <c r="J45"/>
  <c r="N45"/>
  <c r="O43"/>
  <c r="G43"/>
  <c r="I43"/>
  <c r="J43"/>
  <c r="O41"/>
  <c r="G41"/>
  <c r="I41"/>
  <c r="J41"/>
  <c r="N41"/>
  <c r="O39"/>
  <c r="G39"/>
  <c r="I39"/>
  <c r="J39"/>
  <c r="O37"/>
  <c r="G37"/>
  <c r="I37"/>
  <c r="J37"/>
  <c r="N37"/>
  <c r="O35"/>
  <c r="G35"/>
  <c r="I35"/>
  <c r="J35"/>
  <c r="O33"/>
  <c r="G33"/>
  <c r="I33"/>
  <c r="J33"/>
  <c r="O31"/>
  <c r="G31"/>
  <c r="I31"/>
  <c r="J31"/>
  <c r="O29"/>
  <c r="G29"/>
  <c r="I29"/>
  <c r="J29"/>
  <c r="O27"/>
  <c r="G27"/>
  <c r="I27"/>
  <c r="J27"/>
  <c r="O25"/>
  <c r="G25"/>
  <c r="I25"/>
  <c r="J25"/>
  <c r="O23"/>
  <c r="G23"/>
  <c r="I23"/>
  <c r="J23"/>
  <c r="O21"/>
  <c r="G21"/>
  <c r="I21"/>
  <c r="J21"/>
  <c r="N21"/>
  <c r="O19"/>
  <c r="G19"/>
  <c r="I19"/>
  <c r="J19"/>
  <c r="O17"/>
  <c r="G17"/>
  <c r="I17"/>
  <c r="J17"/>
  <c r="O15"/>
  <c r="G15"/>
  <c r="I15"/>
  <c r="J15"/>
  <c r="N15"/>
  <c r="O13"/>
  <c r="G13"/>
  <c r="I13"/>
  <c r="J13"/>
  <c r="O11"/>
  <c r="G11"/>
  <c r="I11"/>
  <c r="J11"/>
  <c r="O9"/>
  <c r="G9"/>
  <c r="I9"/>
  <c r="J9"/>
  <c r="O7"/>
  <c r="G7"/>
  <c r="I7"/>
  <c r="J7"/>
  <c r="O5"/>
  <c r="G5"/>
  <c r="I5"/>
  <c r="J5"/>
  <c r="O45" i="273"/>
  <c r="G45"/>
  <c r="I45"/>
  <c r="J45"/>
  <c r="O43"/>
  <c r="G43"/>
  <c r="I43"/>
  <c r="J43"/>
  <c r="O41"/>
  <c r="G41"/>
  <c r="I41"/>
  <c r="J41"/>
  <c r="N41"/>
  <c r="O39"/>
  <c r="G39"/>
  <c r="I39"/>
  <c r="J39"/>
  <c r="O37"/>
  <c r="G37"/>
  <c r="I37"/>
  <c r="J37"/>
  <c r="N37"/>
  <c r="O35"/>
  <c r="G35"/>
  <c r="I35"/>
  <c r="J35"/>
  <c r="O33"/>
  <c r="G33"/>
  <c r="I33"/>
  <c r="J33"/>
  <c r="O31"/>
  <c r="G31"/>
  <c r="I31"/>
  <c r="J31"/>
  <c r="O29"/>
  <c r="G29"/>
  <c r="I29"/>
  <c r="J29"/>
  <c r="O27"/>
  <c r="G27"/>
  <c r="I27"/>
  <c r="J27"/>
  <c r="O25"/>
  <c r="G25"/>
  <c r="I25"/>
  <c r="J25"/>
  <c r="N25"/>
  <c r="O23"/>
  <c r="G23"/>
  <c r="I23"/>
  <c r="J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O5"/>
  <c r="G5"/>
  <c r="I5"/>
  <c r="J5"/>
  <c r="N5"/>
  <c r="O37" i="272"/>
  <c r="G37"/>
  <c r="I37"/>
  <c r="J37"/>
  <c r="O35"/>
  <c r="G35"/>
  <c r="I35"/>
  <c r="J35"/>
  <c r="K35"/>
  <c r="O33"/>
  <c r="G33"/>
  <c r="I33"/>
  <c r="J33"/>
  <c r="O31"/>
  <c r="G31"/>
  <c r="I31"/>
  <c r="J31"/>
  <c r="O29"/>
  <c r="G29"/>
  <c r="I29"/>
  <c r="J29"/>
  <c r="O27"/>
  <c r="G27"/>
  <c r="I27"/>
  <c r="J27"/>
  <c r="O25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N7"/>
  <c r="O5"/>
  <c r="G5"/>
  <c r="I5"/>
  <c r="J5"/>
  <c r="O33" i="270"/>
  <c r="G33"/>
  <c r="I33"/>
  <c r="J33"/>
  <c r="O31"/>
  <c r="G31"/>
  <c r="I31"/>
  <c r="J31"/>
  <c r="O29"/>
  <c r="G29"/>
  <c r="I29"/>
  <c r="J29"/>
  <c r="O27"/>
  <c r="G27"/>
  <c r="I27"/>
  <c r="J27"/>
  <c r="O25"/>
  <c r="G25"/>
  <c r="I25"/>
  <c r="J25"/>
  <c r="O23"/>
  <c r="G23"/>
  <c r="I23"/>
  <c r="J23"/>
  <c r="N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O5"/>
  <c r="G5"/>
  <c r="I5"/>
  <c r="J5"/>
  <c r="O43" i="265"/>
  <c r="J43"/>
  <c r="G43"/>
  <c r="I43"/>
  <c r="K43"/>
  <c r="O41"/>
  <c r="J41"/>
  <c r="G41"/>
  <c r="I41"/>
  <c r="O39"/>
  <c r="J39"/>
  <c r="G39"/>
  <c r="I39"/>
  <c r="O37"/>
  <c r="J37"/>
  <c r="G37"/>
  <c r="I37"/>
  <c r="O35"/>
  <c r="J35"/>
  <c r="G35"/>
  <c r="I35"/>
  <c r="O33"/>
  <c r="J33"/>
  <c r="G33"/>
  <c r="I33"/>
  <c r="K33"/>
  <c r="O31"/>
  <c r="J31"/>
  <c r="G31"/>
  <c r="I31"/>
  <c r="O29"/>
  <c r="J29"/>
  <c r="G29"/>
  <c r="I29"/>
  <c r="O27"/>
  <c r="J27"/>
  <c r="G27"/>
  <c r="I27"/>
  <c r="K27"/>
  <c r="O25"/>
  <c r="J25"/>
  <c r="G25"/>
  <c r="I25"/>
  <c r="O23"/>
  <c r="J23"/>
  <c r="G23"/>
  <c r="I23"/>
  <c r="O21"/>
  <c r="J21"/>
  <c r="G21"/>
  <c r="I21"/>
  <c r="O19"/>
  <c r="J19"/>
  <c r="G19"/>
  <c r="I19"/>
  <c r="O17"/>
  <c r="J17"/>
  <c r="G17"/>
  <c r="I17"/>
  <c r="K17"/>
  <c r="O15"/>
  <c r="J15"/>
  <c r="G15"/>
  <c r="I15"/>
  <c r="O13"/>
  <c r="J13"/>
  <c r="G13"/>
  <c r="I13"/>
  <c r="O11"/>
  <c r="J11"/>
  <c r="G11"/>
  <c r="I11"/>
  <c r="O9"/>
  <c r="J9"/>
  <c r="G9"/>
  <c r="I9"/>
  <c r="O7"/>
  <c r="J7"/>
  <c r="G7"/>
  <c r="I7"/>
  <c r="N7"/>
  <c r="O5"/>
  <c r="J5"/>
  <c r="G5"/>
  <c r="I5"/>
  <c r="O45" i="264"/>
  <c r="J45"/>
  <c r="G45"/>
  <c r="I45"/>
  <c r="O43"/>
  <c r="J43"/>
  <c r="G43"/>
  <c r="I43"/>
  <c r="O41"/>
  <c r="J41"/>
  <c r="G41"/>
  <c r="I41"/>
  <c r="O39"/>
  <c r="J39"/>
  <c r="G39"/>
  <c r="I39"/>
  <c r="O37"/>
  <c r="J37"/>
  <c r="G37"/>
  <c r="I37"/>
  <c r="O35"/>
  <c r="J35"/>
  <c r="G35"/>
  <c r="I35"/>
  <c r="O33"/>
  <c r="J33"/>
  <c r="G33"/>
  <c r="I33"/>
  <c r="O31"/>
  <c r="J31"/>
  <c r="G31"/>
  <c r="I31"/>
  <c r="K31"/>
  <c r="O29"/>
  <c r="J29"/>
  <c r="G29"/>
  <c r="I29"/>
  <c r="O27"/>
  <c r="J27"/>
  <c r="G27"/>
  <c r="I27"/>
  <c r="O25"/>
  <c r="J25"/>
  <c r="G25"/>
  <c r="I25"/>
  <c r="N25"/>
  <c r="O23"/>
  <c r="J23"/>
  <c r="G23"/>
  <c r="I23"/>
  <c r="O21"/>
  <c r="J21"/>
  <c r="G21"/>
  <c r="I21"/>
  <c r="O19"/>
  <c r="J19"/>
  <c r="G19"/>
  <c r="I19"/>
  <c r="O17"/>
  <c r="J17"/>
  <c r="G17"/>
  <c r="I17"/>
  <c r="O15"/>
  <c r="J15"/>
  <c r="G15"/>
  <c r="I15"/>
  <c r="K15"/>
  <c r="O13"/>
  <c r="J13"/>
  <c r="G13"/>
  <c r="I13"/>
  <c r="O11"/>
  <c r="J11"/>
  <c r="G11"/>
  <c r="I11"/>
  <c r="O9"/>
  <c r="J9"/>
  <c r="G9"/>
  <c r="I9"/>
  <c r="O7"/>
  <c r="J7"/>
  <c r="G7"/>
  <c r="I7"/>
  <c r="O5"/>
  <c r="G5" i="262"/>
  <c r="I5"/>
  <c r="J5"/>
  <c r="N5"/>
  <c r="O45"/>
  <c r="J45"/>
  <c r="G45"/>
  <c r="I45"/>
  <c r="O43"/>
  <c r="J43"/>
  <c r="G43"/>
  <c r="I43"/>
  <c r="O41"/>
  <c r="J41"/>
  <c r="G41"/>
  <c r="I41"/>
  <c r="O39"/>
  <c r="J39"/>
  <c r="G39"/>
  <c r="I39"/>
  <c r="O37"/>
  <c r="J37"/>
  <c r="G37"/>
  <c r="I37"/>
  <c r="K37"/>
  <c r="O35"/>
  <c r="J35"/>
  <c r="G35"/>
  <c r="I35"/>
  <c r="K35"/>
  <c r="O33"/>
  <c r="J33"/>
  <c r="G33"/>
  <c r="I33"/>
  <c r="O31"/>
  <c r="J31"/>
  <c r="G31"/>
  <c r="I31"/>
  <c r="N31"/>
  <c r="O29"/>
  <c r="J29"/>
  <c r="G29"/>
  <c r="I29"/>
  <c r="O27"/>
  <c r="J27"/>
  <c r="G27"/>
  <c r="I27"/>
  <c r="O25"/>
  <c r="J25"/>
  <c r="G25"/>
  <c r="I25"/>
  <c r="O23"/>
  <c r="J23"/>
  <c r="G23"/>
  <c r="I23"/>
  <c r="O21"/>
  <c r="J21"/>
  <c r="G21"/>
  <c r="I21"/>
  <c r="O19"/>
  <c r="J19"/>
  <c r="G19"/>
  <c r="I19"/>
  <c r="N19"/>
  <c r="O17"/>
  <c r="J17"/>
  <c r="G17"/>
  <c r="I17"/>
  <c r="O15"/>
  <c r="J15"/>
  <c r="G15"/>
  <c r="I15"/>
  <c r="O13"/>
  <c r="J13"/>
  <c r="G13"/>
  <c r="I13"/>
  <c r="O11"/>
  <c r="J11"/>
  <c r="G11"/>
  <c r="I11"/>
  <c r="O9"/>
  <c r="J9"/>
  <c r="G9"/>
  <c r="I9"/>
  <c r="N9"/>
  <c r="O7"/>
  <c r="J7"/>
  <c r="G7"/>
  <c r="I7"/>
  <c r="O5"/>
  <c r="O39" i="260"/>
  <c r="J39"/>
  <c r="G39"/>
  <c r="I39"/>
  <c r="O37"/>
  <c r="J37"/>
  <c r="G37"/>
  <c r="I37"/>
  <c r="O35"/>
  <c r="J35"/>
  <c r="G35"/>
  <c r="I35"/>
  <c r="O33"/>
  <c r="J33"/>
  <c r="G33"/>
  <c r="I33"/>
  <c r="O31"/>
  <c r="J31"/>
  <c r="G31"/>
  <c r="I31"/>
  <c r="O29"/>
  <c r="J29"/>
  <c r="G29"/>
  <c r="I29"/>
  <c r="K29"/>
  <c r="O27"/>
  <c r="J27"/>
  <c r="G27"/>
  <c r="I27"/>
  <c r="O25"/>
  <c r="J25"/>
  <c r="G25"/>
  <c r="I25"/>
  <c r="O23"/>
  <c r="J23"/>
  <c r="G23"/>
  <c r="I23"/>
  <c r="O21"/>
  <c r="J21"/>
  <c r="G21"/>
  <c r="I21"/>
  <c r="O19"/>
  <c r="J19"/>
  <c r="G19"/>
  <c r="I19"/>
  <c r="O17"/>
  <c r="J17"/>
  <c r="G17"/>
  <c r="I17"/>
  <c r="O15"/>
  <c r="J15"/>
  <c r="G15"/>
  <c r="I15"/>
  <c r="O13"/>
  <c r="J13"/>
  <c r="G13"/>
  <c r="I13"/>
  <c r="O11"/>
  <c r="J11"/>
  <c r="G11"/>
  <c r="I11"/>
  <c r="O9"/>
  <c r="O7"/>
  <c r="O5"/>
  <c r="J5"/>
  <c r="G5"/>
  <c r="I5"/>
  <c r="O23" i="252"/>
  <c r="J23"/>
  <c r="G23"/>
  <c r="I23"/>
  <c r="K23"/>
  <c r="O21"/>
  <c r="J21"/>
  <c r="G21"/>
  <c r="I21"/>
  <c r="O19"/>
  <c r="J19"/>
  <c r="G19"/>
  <c r="I19"/>
  <c r="O17"/>
  <c r="J17"/>
  <c r="G17"/>
  <c r="I17"/>
  <c r="K17"/>
  <c r="O15"/>
  <c r="J15"/>
  <c r="G15"/>
  <c r="I15"/>
  <c r="O13"/>
  <c r="J13"/>
  <c r="G13"/>
  <c r="I13"/>
  <c r="O11"/>
  <c r="J11"/>
  <c r="G11"/>
  <c r="I11"/>
  <c r="O9"/>
  <c r="J9"/>
  <c r="G9"/>
  <c r="I9"/>
  <c r="O7"/>
  <c r="J7"/>
  <c r="G7"/>
  <c r="I7"/>
  <c r="N7"/>
  <c r="O5"/>
  <c r="J5"/>
  <c r="G5"/>
  <c r="I5"/>
  <c r="J27" i="56"/>
  <c r="J25"/>
  <c r="J23"/>
  <c r="J21"/>
  <c r="G21"/>
  <c r="I21"/>
  <c r="N21"/>
  <c r="J19"/>
  <c r="J17"/>
  <c r="J15"/>
  <c r="J13"/>
  <c r="J11"/>
  <c r="J9"/>
  <c r="J7"/>
  <c r="G7"/>
  <c r="I7"/>
  <c r="K7"/>
  <c r="J5"/>
  <c r="O43" i="245"/>
  <c r="G43"/>
  <c r="I43"/>
  <c r="J43"/>
  <c r="O41"/>
  <c r="G41"/>
  <c r="I41"/>
  <c r="J41"/>
  <c r="O39"/>
  <c r="G39"/>
  <c r="I39"/>
  <c r="J39"/>
  <c r="N39"/>
  <c r="O37"/>
  <c r="G37"/>
  <c r="I37"/>
  <c r="J37"/>
  <c r="O35"/>
  <c r="G35"/>
  <c r="I35"/>
  <c r="J35"/>
  <c r="O33"/>
  <c r="G33"/>
  <c r="I33"/>
  <c r="J33"/>
  <c r="K33"/>
  <c r="O31"/>
  <c r="G31"/>
  <c r="I31"/>
  <c r="J31"/>
  <c r="O29"/>
  <c r="G29"/>
  <c r="I29"/>
  <c r="J29"/>
  <c r="K29"/>
  <c r="O27"/>
  <c r="G27"/>
  <c r="I27"/>
  <c r="J27"/>
  <c r="O25"/>
  <c r="G25"/>
  <c r="I25"/>
  <c r="J25"/>
  <c r="O23"/>
  <c r="G23"/>
  <c r="I23"/>
  <c r="J23"/>
  <c r="O21"/>
  <c r="G21"/>
  <c r="I21"/>
  <c r="J21"/>
  <c r="O19"/>
  <c r="G19"/>
  <c r="I19"/>
  <c r="J19"/>
  <c r="O17"/>
  <c r="G17"/>
  <c r="I17"/>
  <c r="J17"/>
  <c r="O15"/>
  <c r="G15"/>
  <c r="I15"/>
  <c r="J15"/>
  <c r="O13"/>
  <c r="G13"/>
  <c r="I13"/>
  <c r="J13"/>
  <c r="O11"/>
  <c r="G11"/>
  <c r="I11"/>
  <c r="J11"/>
  <c r="O9"/>
  <c r="G9"/>
  <c r="I9"/>
  <c r="J9"/>
  <c r="O7"/>
  <c r="G7"/>
  <c r="I7"/>
  <c r="J7"/>
  <c r="K7"/>
  <c r="O5"/>
  <c r="G5"/>
  <c r="I5"/>
  <c r="J5"/>
  <c r="G27" i="25"/>
  <c r="I27"/>
  <c r="G25"/>
  <c r="I25"/>
  <c r="G23"/>
  <c r="I23"/>
  <c r="G21"/>
  <c r="I21"/>
  <c r="G19"/>
  <c r="I19"/>
  <c r="J19"/>
  <c r="N19"/>
  <c r="G17"/>
  <c r="I17"/>
  <c r="G15"/>
  <c r="I15"/>
  <c r="J15"/>
  <c r="G13"/>
  <c r="I13"/>
  <c r="G11"/>
  <c r="I11"/>
  <c r="G9"/>
  <c r="I9"/>
  <c r="G7"/>
  <c r="I7"/>
  <c r="G5"/>
  <c r="I5"/>
  <c r="J5"/>
  <c r="G39" i="85"/>
  <c r="I39"/>
  <c r="G37"/>
  <c r="I37"/>
  <c r="G35"/>
  <c r="I35"/>
  <c r="G33"/>
  <c r="I33"/>
  <c r="J33"/>
  <c r="G31"/>
  <c r="I31"/>
  <c r="G29"/>
  <c r="I29"/>
  <c r="G27"/>
  <c r="I27"/>
  <c r="J27"/>
  <c r="G25"/>
  <c r="I25"/>
  <c r="J25"/>
  <c r="G23"/>
  <c r="I23"/>
  <c r="G21"/>
  <c r="I21"/>
  <c r="G19"/>
  <c r="I19"/>
  <c r="G17"/>
  <c r="I17"/>
  <c r="G15"/>
  <c r="I15"/>
  <c r="G13"/>
  <c r="I13"/>
  <c r="G11"/>
  <c r="I11"/>
  <c r="J11"/>
  <c r="G9"/>
  <c r="I9"/>
  <c r="G43" i="63"/>
  <c r="I43"/>
  <c r="J43"/>
  <c r="G41"/>
  <c r="I41"/>
  <c r="G39"/>
  <c r="I39"/>
  <c r="J39"/>
  <c r="G37"/>
  <c r="I37"/>
  <c r="J37"/>
  <c r="G35"/>
  <c r="I35"/>
  <c r="G33"/>
  <c r="I33"/>
  <c r="G31"/>
  <c r="I31"/>
  <c r="J31"/>
  <c r="G29"/>
  <c r="I29"/>
  <c r="G27"/>
  <c r="I27"/>
  <c r="G25"/>
  <c r="I25"/>
  <c r="J25"/>
  <c r="G23"/>
  <c r="I23"/>
  <c r="J23"/>
  <c r="K23"/>
  <c r="G21"/>
  <c r="I21"/>
  <c r="G19"/>
  <c r="I19"/>
  <c r="G17"/>
  <c r="I17"/>
  <c r="G15"/>
  <c r="I15"/>
  <c r="J15"/>
  <c r="G13"/>
  <c r="I13"/>
  <c r="G11"/>
  <c r="I11"/>
  <c r="G9"/>
  <c r="I9"/>
  <c r="G7"/>
  <c r="I7"/>
  <c r="J7"/>
  <c r="G5"/>
  <c r="I5"/>
  <c r="G35" i="232"/>
  <c r="I35"/>
  <c r="G33"/>
  <c r="I33"/>
  <c r="G31"/>
  <c r="I31"/>
  <c r="G29"/>
  <c r="I29"/>
  <c r="G27"/>
  <c r="I27"/>
  <c r="G25"/>
  <c r="I25"/>
  <c r="J25"/>
  <c r="G23"/>
  <c r="I23"/>
  <c r="J23"/>
  <c r="G21"/>
  <c r="I21"/>
  <c r="G19"/>
  <c r="I19"/>
  <c r="J19"/>
  <c r="G17"/>
  <c r="I17"/>
  <c r="J17"/>
  <c r="G15"/>
  <c r="I15"/>
  <c r="G13"/>
  <c r="I13"/>
  <c r="G11"/>
  <c r="I11"/>
  <c r="J11"/>
  <c r="G9"/>
  <c r="I9"/>
  <c r="G7"/>
  <c r="I7"/>
  <c r="G5"/>
  <c r="I5"/>
  <c r="G43" i="195"/>
  <c r="I43"/>
  <c r="G41"/>
  <c r="I41"/>
  <c r="G39"/>
  <c r="I39"/>
  <c r="G37"/>
  <c r="I37"/>
  <c r="G35"/>
  <c r="I35"/>
  <c r="G33"/>
  <c r="I33"/>
  <c r="G31"/>
  <c r="I31"/>
  <c r="J31"/>
  <c r="G29"/>
  <c r="I29"/>
  <c r="J29"/>
  <c r="G27"/>
  <c r="I27"/>
  <c r="G25"/>
  <c r="I25"/>
  <c r="G23"/>
  <c r="I23"/>
  <c r="G21"/>
  <c r="I21"/>
  <c r="G19"/>
  <c r="I19"/>
  <c r="J19"/>
  <c r="G17"/>
  <c r="I17"/>
  <c r="G15"/>
  <c r="I15"/>
  <c r="J15"/>
  <c r="G13"/>
  <c r="I13"/>
  <c r="J13"/>
  <c r="G11"/>
  <c r="I11"/>
  <c r="G9"/>
  <c r="I9"/>
  <c r="G7"/>
  <c r="I7"/>
  <c r="J7"/>
  <c r="G5"/>
  <c r="I5"/>
  <c r="G29" i="93"/>
  <c r="I29"/>
  <c r="G27"/>
  <c r="I27"/>
  <c r="J27"/>
  <c r="G25"/>
  <c r="I25"/>
  <c r="G23"/>
  <c r="I23"/>
  <c r="G21"/>
  <c r="I21"/>
  <c r="G19"/>
  <c r="I19"/>
  <c r="G17"/>
  <c r="I17"/>
  <c r="J17"/>
  <c r="G15"/>
  <c r="I15"/>
  <c r="G13"/>
  <c r="I13"/>
  <c r="J13"/>
  <c r="N13"/>
  <c r="G11"/>
  <c r="I11"/>
  <c r="G9"/>
  <c r="I9"/>
  <c r="J9"/>
  <c r="N9"/>
  <c r="G7"/>
  <c r="I7"/>
  <c r="G5"/>
  <c r="I5"/>
  <c r="G26" i="30"/>
  <c r="I26"/>
  <c r="G24"/>
  <c r="I24"/>
  <c r="J24"/>
  <c r="G22"/>
  <c r="I22"/>
  <c r="G20"/>
  <c r="I20"/>
  <c r="G18"/>
  <c r="I18"/>
  <c r="J18"/>
  <c r="G16"/>
  <c r="I16"/>
  <c r="G14"/>
  <c r="I14"/>
  <c r="G12"/>
  <c r="I12"/>
  <c r="G10"/>
  <c r="I10"/>
  <c r="G8"/>
  <c r="I8"/>
  <c r="G6"/>
  <c r="I6"/>
  <c r="J6"/>
  <c r="G45" i="220"/>
  <c r="I45"/>
  <c r="J45"/>
  <c r="G43"/>
  <c r="I43"/>
  <c r="G41"/>
  <c r="I41"/>
  <c r="G39"/>
  <c r="I39"/>
  <c r="G37"/>
  <c r="I37"/>
  <c r="G35"/>
  <c r="I35"/>
  <c r="G33"/>
  <c r="I33"/>
  <c r="J33"/>
  <c r="G31"/>
  <c r="I31"/>
  <c r="G29"/>
  <c r="I29"/>
  <c r="G27"/>
  <c r="I27"/>
  <c r="J27"/>
  <c r="K27"/>
  <c r="G25"/>
  <c r="I25"/>
  <c r="G23"/>
  <c r="I23"/>
  <c r="J23"/>
  <c r="G21"/>
  <c r="I21"/>
  <c r="G19"/>
  <c r="I19"/>
  <c r="G17"/>
  <c r="I17"/>
  <c r="G15"/>
  <c r="I15"/>
  <c r="G13"/>
  <c r="I13"/>
  <c r="J13"/>
  <c r="G11"/>
  <c r="I11"/>
  <c r="J11"/>
  <c r="G9"/>
  <c r="I9"/>
  <c r="J9"/>
  <c r="G7"/>
  <c r="I7"/>
  <c r="G27" i="237"/>
  <c r="I27"/>
  <c r="G25"/>
  <c r="I25"/>
  <c r="J25"/>
  <c r="K25"/>
  <c r="G23"/>
  <c r="I23"/>
  <c r="G21"/>
  <c r="I21"/>
  <c r="J21"/>
  <c r="G19"/>
  <c r="I19"/>
  <c r="G17"/>
  <c r="I17"/>
  <c r="G15"/>
  <c r="I15"/>
  <c r="J15"/>
  <c r="G13"/>
  <c r="I13"/>
  <c r="G11"/>
  <c r="I11"/>
  <c r="G9"/>
  <c r="I9"/>
  <c r="J9"/>
  <c r="G7"/>
  <c r="I7"/>
  <c r="G5"/>
  <c r="I5"/>
  <c r="G43" i="146"/>
  <c r="I43"/>
  <c r="J43"/>
  <c r="K43"/>
  <c r="G41"/>
  <c r="I41"/>
  <c r="J41"/>
  <c r="G39"/>
  <c r="I39"/>
  <c r="G37"/>
  <c r="I37"/>
  <c r="G35"/>
  <c r="I35"/>
  <c r="G33"/>
  <c r="I33"/>
  <c r="J33"/>
  <c r="G31"/>
  <c r="I31"/>
  <c r="J31"/>
  <c r="G29"/>
  <c r="I29"/>
  <c r="J29"/>
  <c r="G27"/>
  <c r="I27"/>
  <c r="G25"/>
  <c r="I25"/>
  <c r="G23"/>
  <c r="I23"/>
  <c r="J23"/>
  <c r="G21"/>
  <c r="I21"/>
  <c r="G19"/>
  <c r="I19"/>
  <c r="G17"/>
  <c r="I17"/>
  <c r="J17"/>
  <c r="G15"/>
  <c r="I15"/>
  <c r="G13"/>
  <c r="I13"/>
  <c r="G11"/>
  <c r="I11"/>
  <c r="G9"/>
  <c r="I9"/>
  <c r="G7"/>
  <c r="I7"/>
  <c r="J7"/>
  <c r="G5"/>
  <c r="I5"/>
  <c r="G43" i="137"/>
  <c r="I43"/>
  <c r="G41"/>
  <c r="I41"/>
  <c r="J41"/>
  <c r="G39"/>
  <c r="I39"/>
  <c r="G37"/>
  <c r="I37"/>
  <c r="G35"/>
  <c r="I35"/>
  <c r="J35"/>
  <c r="N35"/>
  <c r="G33"/>
  <c r="I33"/>
  <c r="G31"/>
  <c r="I31"/>
  <c r="G29"/>
  <c r="I29"/>
  <c r="J29"/>
  <c r="G27"/>
  <c r="I27"/>
  <c r="J27"/>
  <c r="G25"/>
  <c r="I25"/>
  <c r="G23"/>
  <c r="I23"/>
  <c r="G21"/>
  <c r="I21"/>
  <c r="J21"/>
  <c r="N21"/>
  <c r="G19"/>
  <c r="I19"/>
  <c r="G17"/>
  <c r="I17"/>
  <c r="G15"/>
  <c r="I15"/>
  <c r="G13"/>
  <c r="I13"/>
  <c r="G11"/>
  <c r="I11"/>
  <c r="J11"/>
  <c r="G9"/>
  <c r="I9"/>
  <c r="G7"/>
  <c r="I7"/>
  <c r="G5"/>
  <c r="I5"/>
  <c r="G45" i="101"/>
  <c r="I45"/>
  <c r="G43"/>
  <c r="I43"/>
  <c r="G41"/>
  <c r="I41"/>
  <c r="G39"/>
  <c r="I39"/>
  <c r="G37"/>
  <c r="I37"/>
  <c r="J37"/>
  <c r="G35"/>
  <c r="I35"/>
  <c r="G33"/>
  <c r="I33"/>
  <c r="G31"/>
  <c r="I31"/>
  <c r="G29"/>
  <c r="I29"/>
  <c r="G27"/>
  <c r="I27"/>
  <c r="G25"/>
  <c r="I25"/>
  <c r="J25"/>
  <c r="G23"/>
  <c r="I23"/>
  <c r="G21"/>
  <c r="I21"/>
  <c r="J21"/>
  <c r="G19"/>
  <c r="I19"/>
  <c r="G17"/>
  <c r="I17"/>
  <c r="G15"/>
  <c r="I15"/>
  <c r="G13"/>
  <c r="I13"/>
  <c r="G11"/>
  <c r="I11"/>
  <c r="G9"/>
  <c r="I9"/>
  <c r="J9"/>
  <c r="N9"/>
  <c r="G7"/>
  <c r="I7"/>
  <c r="G43" i="164"/>
  <c r="I43"/>
  <c r="G41"/>
  <c r="I41"/>
  <c r="G39"/>
  <c r="I39"/>
  <c r="J39"/>
  <c r="N39"/>
  <c r="G37"/>
  <c r="I37"/>
  <c r="J37"/>
  <c r="G35"/>
  <c r="I35"/>
  <c r="G33"/>
  <c r="I33"/>
  <c r="G31"/>
  <c r="I31"/>
  <c r="G29"/>
  <c r="I29"/>
  <c r="G27"/>
  <c r="I27"/>
  <c r="G25"/>
  <c r="I25"/>
  <c r="G23"/>
  <c r="I23"/>
  <c r="G21"/>
  <c r="I21"/>
  <c r="J21"/>
  <c r="G19"/>
  <c r="I19"/>
  <c r="G17"/>
  <c r="I17"/>
  <c r="J17"/>
  <c r="G15"/>
  <c r="I15"/>
  <c r="G13"/>
  <c r="I13"/>
  <c r="G11"/>
  <c r="I11"/>
  <c r="J11"/>
  <c r="G9"/>
  <c r="I9"/>
  <c r="G7"/>
  <c r="I7"/>
  <c r="G5"/>
  <c r="I5"/>
  <c r="G41" i="136"/>
  <c r="I41"/>
  <c r="G39"/>
  <c r="I39"/>
  <c r="G37"/>
  <c r="I37"/>
  <c r="J37"/>
  <c r="G35"/>
  <c r="I35"/>
  <c r="G33"/>
  <c r="I33"/>
  <c r="J33"/>
  <c r="G31"/>
  <c r="I31"/>
  <c r="G29"/>
  <c r="I29"/>
  <c r="G27"/>
  <c r="I27"/>
  <c r="G25"/>
  <c r="I25"/>
  <c r="G23"/>
  <c r="I23"/>
  <c r="G21"/>
  <c r="I21"/>
  <c r="J21"/>
  <c r="G19"/>
  <c r="I19"/>
  <c r="G17"/>
  <c r="I17"/>
  <c r="G15"/>
  <c r="I15"/>
  <c r="G13"/>
  <c r="I13"/>
  <c r="G11"/>
  <c r="I11"/>
  <c r="J11"/>
  <c r="G9"/>
  <c r="I9"/>
  <c r="G7"/>
  <c r="I7"/>
  <c r="G5"/>
  <c r="I5"/>
  <c r="G43" i="197"/>
  <c r="I43"/>
  <c r="G41"/>
  <c r="I41"/>
  <c r="G39"/>
  <c r="I39"/>
  <c r="J39"/>
  <c r="N39"/>
  <c r="G37"/>
  <c r="I37"/>
  <c r="J37"/>
  <c r="G35"/>
  <c r="I35"/>
  <c r="G33"/>
  <c r="I33"/>
  <c r="G31"/>
  <c r="I31"/>
  <c r="G29"/>
  <c r="I29"/>
  <c r="G27"/>
  <c r="I27"/>
  <c r="J27"/>
  <c r="K27"/>
  <c r="G25"/>
  <c r="I25"/>
  <c r="G23"/>
  <c r="I23"/>
  <c r="G21"/>
  <c r="I21"/>
  <c r="G19"/>
  <c r="I19"/>
  <c r="G17"/>
  <c r="I17"/>
  <c r="G15"/>
  <c r="I15"/>
  <c r="J15"/>
  <c r="G13"/>
  <c r="I13"/>
  <c r="J13"/>
  <c r="K13"/>
  <c r="G11"/>
  <c r="I11"/>
  <c r="J11"/>
  <c r="G9"/>
  <c r="I9"/>
  <c r="G7"/>
  <c r="I7"/>
  <c r="G5"/>
  <c r="I5"/>
  <c r="G45" i="76"/>
  <c r="I45"/>
  <c r="J45"/>
  <c r="G43"/>
  <c r="I43"/>
  <c r="J43"/>
  <c r="G41"/>
  <c r="I41"/>
  <c r="J41"/>
  <c r="G39"/>
  <c r="I39"/>
  <c r="G37"/>
  <c r="I37"/>
  <c r="G35"/>
  <c r="I35"/>
  <c r="G33"/>
  <c r="I33"/>
  <c r="J33"/>
  <c r="G31"/>
  <c r="I31"/>
  <c r="G29"/>
  <c r="I29"/>
  <c r="G27"/>
  <c r="I27"/>
  <c r="G25"/>
  <c r="I25"/>
  <c r="J25"/>
  <c r="K25"/>
  <c r="G23"/>
  <c r="I23"/>
  <c r="G21"/>
  <c r="I21"/>
  <c r="G19"/>
  <c r="I19"/>
  <c r="J19"/>
  <c r="K19"/>
  <c r="G17"/>
  <c r="I17"/>
  <c r="G15"/>
  <c r="I15"/>
  <c r="G13"/>
  <c r="I13"/>
  <c r="J13"/>
  <c r="G11"/>
  <c r="I11"/>
  <c r="J11"/>
  <c r="G9"/>
  <c r="I9"/>
  <c r="G7"/>
  <c r="I7"/>
  <c r="G41" i="178"/>
  <c r="I41"/>
  <c r="G39"/>
  <c r="I39"/>
  <c r="G37"/>
  <c r="I37"/>
  <c r="J37"/>
  <c r="G35"/>
  <c r="I35"/>
  <c r="G33"/>
  <c r="I33"/>
  <c r="G31"/>
  <c r="I31"/>
  <c r="G29"/>
  <c r="I29"/>
  <c r="J29"/>
  <c r="G27"/>
  <c r="I27"/>
  <c r="G25"/>
  <c r="I25"/>
  <c r="G23"/>
  <c r="I23"/>
  <c r="J23"/>
  <c r="G21"/>
  <c r="I21"/>
  <c r="G19"/>
  <c r="I19"/>
  <c r="G17"/>
  <c r="I17"/>
  <c r="G15"/>
  <c r="I15"/>
  <c r="J15"/>
  <c r="N15"/>
  <c r="G13"/>
  <c r="I13"/>
  <c r="J13"/>
  <c r="G11"/>
  <c r="I11"/>
  <c r="J11"/>
  <c r="G9"/>
  <c r="I9"/>
  <c r="J9"/>
  <c r="G7"/>
  <c r="I7"/>
  <c r="G43" i="74"/>
  <c r="I43"/>
  <c r="J43"/>
  <c r="G41"/>
  <c r="I41"/>
  <c r="G39"/>
  <c r="I39"/>
  <c r="G37"/>
  <c r="I37"/>
  <c r="G35"/>
  <c r="I35"/>
  <c r="G33"/>
  <c r="I33"/>
  <c r="G31"/>
  <c r="I31"/>
  <c r="G29"/>
  <c r="I29"/>
  <c r="J29"/>
  <c r="G27"/>
  <c r="I27"/>
  <c r="J27"/>
  <c r="G25"/>
  <c r="I25"/>
  <c r="G23"/>
  <c r="I23"/>
  <c r="G21"/>
  <c r="I21"/>
  <c r="G19"/>
  <c r="I19"/>
  <c r="J19"/>
  <c r="G17"/>
  <c r="I17"/>
  <c r="J17"/>
  <c r="G15"/>
  <c r="I15"/>
  <c r="G13"/>
  <c r="I13"/>
  <c r="G11"/>
  <c r="I11"/>
  <c r="J11"/>
  <c r="G9"/>
  <c r="I9"/>
  <c r="J9"/>
  <c r="G7"/>
  <c r="I7"/>
  <c r="G5"/>
  <c r="I5"/>
  <c r="G45" i="41"/>
  <c r="I45"/>
  <c r="G43"/>
  <c r="I43"/>
  <c r="J43"/>
  <c r="G41"/>
  <c r="I41"/>
  <c r="G39"/>
  <c r="I39"/>
  <c r="G37"/>
  <c r="I37"/>
  <c r="J37"/>
  <c r="G35"/>
  <c r="I35"/>
  <c r="J35"/>
  <c r="G33"/>
  <c r="I33"/>
  <c r="G31"/>
  <c r="I31"/>
  <c r="G29"/>
  <c r="I29"/>
  <c r="G27"/>
  <c r="I27"/>
  <c r="J27"/>
  <c r="G25"/>
  <c r="I25"/>
  <c r="G23"/>
  <c r="I23"/>
  <c r="J23"/>
  <c r="G21"/>
  <c r="I21"/>
  <c r="G19"/>
  <c r="I19"/>
  <c r="G17"/>
  <c r="I17"/>
  <c r="G15"/>
  <c r="I15"/>
  <c r="J15"/>
  <c r="G13"/>
  <c r="I13"/>
  <c r="G11"/>
  <c r="I11"/>
  <c r="G9"/>
  <c r="I9"/>
  <c r="G7"/>
  <c r="I7"/>
  <c r="G24" i="190"/>
  <c r="I24"/>
  <c r="J24"/>
  <c r="G22"/>
  <c r="I22"/>
  <c r="G20"/>
  <c r="I20"/>
  <c r="J20"/>
  <c r="G18"/>
  <c r="I18"/>
  <c r="J18"/>
  <c r="G16"/>
  <c r="I16"/>
  <c r="G14"/>
  <c r="I14"/>
  <c r="J14"/>
  <c r="G12"/>
  <c r="I12"/>
  <c r="G10"/>
  <c r="I10"/>
  <c r="J10"/>
  <c r="G8"/>
  <c r="I8"/>
  <c r="J8"/>
  <c r="G6"/>
  <c r="I6"/>
  <c r="J6"/>
  <c r="G31" i="42"/>
  <c r="I31"/>
  <c r="G29"/>
  <c r="I29"/>
  <c r="J29"/>
  <c r="G27"/>
  <c r="I27"/>
  <c r="J27"/>
  <c r="G25"/>
  <c r="I25"/>
  <c r="G23"/>
  <c r="I23"/>
  <c r="G21"/>
  <c r="I21"/>
  <c r="G19"/>
  <c r="I19"/>
  <c r="G17"/>
  <c r="I17"/>
  <c r="J17"/>
  <c r="G15"/>
  <c r="I15"/>
  <c r="G13"/>
  <c r="I13"/>
  <c r="G11"/>
  <c r="I11"/>
  <c r="G9"/>
  <c r="I9"/>
  <c r="G7"/>
  <c r="I7"/>
  <c r="G5"/>
  <c r="I5"/>
  <c r="J5"/>
  <c r="G33" i="125"/>
  <c r="I33"/>
  <c r="G31"/>
  <c r="I31"/>
  <c r="G29"/>
  <c r="I29"/>
  <c r="J29"/>
  <c r="G27"/>
  <c r="I27"/>
  <c r="G25"/>
  <c r="I25"/>
  <c r="G23"/>
  <c r="I23"/>
  <c r="G21"/>
  <c r="I21"/>
  <c r="G19"/>
  <c r="I19"/>
  <c r="G17"/>
  <c r="I17"/>
  <c r="G15"/>
  <c r="I15"/>
  <c r="J15"/>
  <c r="G13"/>
  <c r="I13"/>
  <c r="J13"/>
  <c r="G11"/>
  <c r="I11"/>
  <c r="G9"/>
  <c r="I9"/>
  <c r="G7"/>
  <c r="I7"/>
  <c r="G5"/>
  <c r="I5"/>
  <c r="J5"/>
  <c r="G41" i="31"/>
  <c r="I41"/>
  <c r="G39"/>
  <c r="I39"/>
  <c r="J39"/>
  <c r="G37"/>
  <c r="I37"/>
  <c r="G35"/>
  <c r="I35"/>
  <c r="J35"/>
  <c r="G33"/>
  <c r="I33"/>
  <c r="G31"/>
  <c r="I31"/>
  <c r="J31"/>
  <c r="G29"/>
  <c r="I29"/>
  <c r="G27"/>
  <c r="I27"/>
  <c r="J27"/>
  <c r="G25"/>
  <c r="I25"/>
  <c r="G23"/>
  <c r="I23"/>
  <c r="J23"/>
  <c r="G21"/>
  <c r="I21"/>
  <c r="G19"/>
  <c r="I19"/>
  <c r="G17"/>
  <c r="I17"/>
  <c r="G15"/>
  <c r="I15"/>
  <c r="J15"/>
  <c r="G13"/>
  <c r="I13"/>
  <c r="G11"/>
  <c r="I11"/>
  <c r="G9"/>
  <c r="I9"/>
  <c r="G7"/>
  <c r="I7"/>
  <c r="J7"/>
  <c r="G5"/>
  <c r="I5"/>
  <c r="G31" i="32"/>
  <c r="I31"/>
  <c r="J31"/>
  <c r="G29"/>
  <c r="I29"/>
  <c r="G27"/>
  <c r="I27"/>
  <c r="G25"/>
  <c r="I25"/>
  <c r="J25"/>
  <c r="G23"/>
  <c r="I23"/>
  <c r="J23"/>
  <c r="G21"/>
  <c r="I21"/>
  <c r="J21"/>
  <c r="G19"/>
  <c r="I19"/>
  <c r="J19"/>
  <c r="G17"/>
  <c r="I17"/>
  <c r="J17"/>
  <c r="G15"/>
  <c r="I15"/>
  <c r="J15"/>
  <c r="G13"/>
  <c r="I13"/>
  <c r="J13"/>
  <c r="N13"/>
  <c r="G11"/>
  <c r="I11"/>
  <c r="G9"/>
  <c r="I9"/>
  <c r="G7"/>
  <c r="I7"/>
  <c r="G5"/>
  <c r="I5"/>
  <c r="J5"/>
  <c r="G31" i="214"/>
  <c r="I31"/>
  <c r="G29"/>
  <c r="I29"/>
  <c r="G27"/>
  <c r="I27"/>
  <c r="J27"/>
  <c r="G25"/>
  <c r="I25"/>
  <c r="G23"/>
  <c r="I23"/>
  <c r="G21"/>
  <c r="I21"/>
  <c r="G19"/>
  <c r="I19"/>
  <c r="J19"/>
  <c r="G17"/>
  <c r="I17"/>
  <c r="J17"/>
  <c r="G15"/>
  <c r="I15"/>
  <c r="G13"/>
  <c r="I13"/>
  <c r="G11"/>
  <c r="I11"/>
  <c r="J11"/>
  <c r="G9"/>
  <c r="I9"/>
  <c r="G7"/>
  <c r="I7"/>
  <c r="G5"/>
  <c r="I5"/>
  <c r="G41" i="241"/>
  <c r="I41"/>
  <c r="J41"/>
  <c r="G39"/>
  <c r="I39"/>
  <c r="G37"/>
  <c r="I37"/>
  <c r="G35"/>
  <c r="I35"/>
  <c r="G33"/>
  <c r="I33"/>
  <c r="J33"/>
  <c r="G31"/>
  <c r="I31"/>
  <c r="G29"/>
  <c r="I29"/>
  <c r="J29"/>
  <c r="G27"/>
  <c r="I27"/>
  <c r="J27"/>
  <c r="G25"/>
  <c r="I25"/>
  <c r="J25"/>
  <c r="G23"/>
  <c r="I23"/>
  <c r="G21"/>
  <c r="I21"/>
  <c r="G19"/>
  <c r="I19"/>
  <c r="J19"/>
  <c r="G17"/>
  <c r="I17"/>
  <c r="G15"/>
  <c r="I15"/>
  <c r="J15"/>
  <c r="G13"/>
  <c r="I13"/>
  <c r="G11"/>
  <c r="I11"/>
  <c r="G9"/>
  <c r="I9"/>
  <c r="G7"/>
  <c r="I7"/>
  <c r="G5"/>
  <c r="I5"/>
  <c r="G37" i="14"/>
  <c r="I37"/>
  <c r="J37"/>
  <c r="G35"/>
  <c r="I35"/>
  <c r="G33"/>
  <c r="I33"/>
  <c r="G31"/>
  <c r="I31"/>
  <c r="J31"/>
  <c r="G29"/>
  <c r="I29"/>
  <c r="J29"/>
  <c r="N29"/>
  <c r="G27"/>
  <c r="I27"/>
  <c r="G25"/>
  <c r="I25"/>
  <c r="J25"/>
  <c r="G23"/>
  <c r="I23"/>
  <c r="J23"/>
  <c r="G21"/>
  <c r="I21"/>
  <c r="J21"/>
  <c r="G19"/>
  <c r="I19"/>
  <c r="G17"/>
  <c r="I17"/>
  <c r="J17"/>
  <c r="G15"/>
  <c r="I15"/>
  <c r="G13"/>
  <c r="I13"/>
  <c r="G11"/>
  <c r="I11"/>
  <c r="G9"/>
  <c r="I9"/>
  <c r="G7"/>
  <c r="I7"/>
  <c r="G5"/>
  <c r="I5"/>
  <c r="J5"/>
  <c r="N5"/>
  <c r="G33" i="124"/>
  <c r="I33"/>
  <c r="J33"/>
  <c r="G31"/>
  <c r="I31"/>
  <c r="G29"/>
  <c r="I29"/>
  <c r="G27"/>
  <c r="I27"/>
  <c r="G25"/>
  <c r="I25"/>
  <c r="J25"/>
  <c r="G23"/>
  <c r="I23"/>
  <c r="G21"/>
  <c r="I21"/>
  <c r="J21"/>
  <c r="K21"/>
  <c r="G19"/>
  <c r="I19"/>
  <c r="G17"/>
  <c r="I17"/>
  <c r="G15"/>
  <c r="I15"/>
  <c r="G13"/>
  <c r="I13"/>
  <c r="G11"/>
  <c r="I11"/>
  <c r="J11"/>
  <c r="G9"/>
  <c r="I9"/>
  <c r="G7"/>
  <c r="I7"/>
  <c r="J7"/>
  <c r="G5"/>
  <c r="I5"/>
  <c r="G43" i="47"/>
  <c r="I43"/>
  <c r="J43"/>
  <c r="G41"/>
  <c r="I41"/>
  <c r="J41"/>
  <c r="G39"/>
  <c r="I39"/>
  <c r="J39"/>
  <c r="G37"/>
  <c r="I37"/>
  <c r="J37"/>
  <c r="G35"/>
  <c r="I35"/>
  <c r="J35"/>
  <c r="G33"/>
  <c r="I33"/>
  <c r="G31"/>
  <c r="I31"/>
  <c r="G29"/>
  <c r="I29"/>
  <c r="J29"/>
  <c r="G27"/>
  <c r="I27"/>
  <c r="G25"/>
  <c r="I25"/>
  <c r="G23"/>
  <c r="I23"/>
  <c r="J23"/>
  <c r="G21"/>
  <c r="I21"/>
  <c r="J21"/>
  <c r="G19"/>
  <c r="I19"/>
  <c r="J19"/>
  <c r="G17"/>
  <c r="I17"/>
  <c r="G15"/>
  <c r="I15"/>
  <c r="J15"/>
  <c r="G13"/>
  <c r="I13"/>
  <c r="J13"/>
  <c r="N13"/>
  <c r="G11"/>
  <c r="I11"/>
  <c r="J11"/>
  <c r="G7"/>
  <c r="I7"/>
  <c r="G35" i="98"/>
  <c r="I35"/>
  <c r="J35"/>
  <c r="G33"/>
  <c r="I33"/>
  <c r="J33"/>
  <c r="G31"/>
  <c r="I31"/>
  <c r="G29"/>
  <c r="I29"/>
  <c r="G27"/>
  <c r="I27"/>
  <c r="J27"/>
  <c r="G25"/>
  <c r="I25"/>
  <c r="G23"/>
  <c r="I23"/>
  <c r="G21"/>
  <c r="I21"/>
  <c r="G19"/>
  <c r="I19"/>
  <c r="J19"/>
  <c r="G17"/>
  <c r="I17"/>
  <c r="G15"/>
  <c r="I15"/>
  <c r="G13"/>
  <c r="I13"/>
  <c r="J13"/>
  <c r="N13"/>
  <c r="G11"/>
  <c r="I11"/>
  <c r="J11"/>
  <c r="K11"/>
  <c r="G9"/>
  <c r="I9"/>
  <c r="G7"/>
  <c r="I7"/>
  <c r="G5"/>
  <c r="I5"/>
  <c r="G37" i="72"/>
  <c r="I37"/>
  <c r="G35"/>
  <c r="I35"/>
  <c r="G33"/>
  <c r="I33"/>
  <c r="G31"/>
  <c r="I31"/>
  <c r="G29"/>
  <c r="I29"/>
  <c r="J29"/>
  <c r="G27"/>
  <c r="I27"/>
  <c r="J27"/>
  <c r="G25"/>
  <c r="I25"/>
  <c r="G23"/>
  <c r="I23"/>
  <c r="G21"/>
  <c r="I21"/>
  <c r="J21"/>
  <c r="G19"/>
  <c r="I19"/>
  <c r="G17"/>
  <c r="I17"/>
  <c r="J17"/>
  <c r="G15"/>
  <c r="I15"/>
  <c r="G13"/>
  <c r="I13"/>
  <c r="G11"/>
  <c r="I11"/>
  <c r="G9"/>
  <c r="I9"/>
  <c r="G7"/>
  <c r="I7"/>
  <c r="G5"/>
  <c r="I5"/>
  <c r="G41" i="233"/>
  <c r="I41"/>
  <c r="G39"/>
  <c r="I39"/>
  <c r="G37"/>
  <c r="I37"/>
  <c r="G35"/>
  <c r="I35"/>
  <c r="G33"/>
  <c r="I33"/>
  <c r="J33"/>
  <c r="K33"/>
  <c r="G31"/>
  <c r="I31"/>
  <c r="J31"/>
  <c r="G29"/>
  <c r="I29"/>
  <c r="G27"/>
  <c r="I27"/>
  <c r="G25"/>
  <c r="I25"/>
  <c r="J25"/>
  <c r="G23"/>
  <c r="I23"/>
  <c r="G21"/>
  <c r="I21"/>
  <c r="J21"/>
  <c r="G19"/>
  <c r="I19"/>
  <c r="G17"/>
  <c r="I17"/>
  <c r="J17"/>
  <c r="G15"/>
  <c r="I15"/>
  <c r="G13"/>
  <c r="I13"/>
  <c r="G11"/>
  <c r="I11"/>
  <c r="G9"/>
  <c r="I9"/>
  <c r="G7"/>
  <c r="I7"/>
  <c r="J7"/>
  <c r="G5"/>
  <c r="I5"/>
  <c r="G41" i="205"/>
  <c r="I41"/>
  <c r="G39"/>
  <c r="I39"/>
  <c r="G37"/>
  <c r="I37"/>
  <c r="G35"/>
  <c r="I35"/>
  <c r="G33"/>
  <c r="I33"/>
  <c r="G31"/>
  <c r="I31"/>
  <c r="J31"/>
  <c r="G29"/>
  <c r="I29"/>
  <c r="G27"/>
  <c r="I27"/>
  <c r="G25"/>
  <c r="I25"/>
  <c r="G23"/>
  <c r="I23"/>
  <c r="G21"/>
  <c r="I21"/>
  <c r="J21"/>
  <c r="G19"/>
  <c r="I19"/>
  <c r="G17"/>
  <c r="I17"/>
  <c r="J17"/>
  <c r="G15"/>
  <c r="I15"/>
  <c r="G13"/>
  <c r="I13"/>
  <c r="G11"/>
  <c r="I11"/>
  <c r="G9"/>
  <c r="I9"/>
  <c r="J9"/>
  <c r="G7"/>
  <c r="I7"/>
  <c r="G5"/>
  <c r="I5"/>
  <c r="G33" i="139"/>
  <c r="I33"/>
  <c r="J33"/>
  <c r="N33"/>
  <c r="G31"/>
  <c r="I31"/>
  <c r="J31"/>
  <c r="G29"/>
  <c r="I29"/>
  <c r="J29"/>
  <c r="G27"/>
  <c r="I27"/>
  <c r="G25"/>
  <c r="I25"/>
  <c r="G23"/>
  <c r="I23"/>
  <c r="G21"/>
  <c r="I21"/>
  <c r="G19"/>
  <c r="I19"/>
  <c r="J19"/>
  <c r="G17"/>
  <c r="I17"/>
  <c r="J17"/>
  <c r="G15"/>
  <c r="I15"/>
  <c r="G13"/>
  <c r="I13"/>
  <c r="J13"/>
  <c r="G11"/>
  <c r="I11"/>
  <c r="G9"/>
  <c r="I9"/>
  <c r="J9"/>
  <c r="G7"/>
  <c r="I7"/>
  <c r="J7"/>
  <c r="G5"/>
  <c r="I5"/>
  <c r="J5"/>
  <c r="G25" i="194"/>
  <c r="I25"/>
  <c r="J25"/>
  <c r="G23"/>
  <c r="I23"/>
  <c r="G21"/>
  <c r="I21"/>
  <c r="G19"/>
  <c r="I19"/>
  <c r="G17"/>
  <c r="I17"/>
  <c r="J17"/>
  <c r="N17"/>
  <c r="G15"/>
  <c r="I15"/>
  <c r="G13"/>
  <c r="I13"/>
  <c r="G11"/>
  <c r="I11"/>
  <c r="G9"/>
  <c r="I9"/>
  <c r="J9"/>
  <c r="G7"/>
  <c r="I7"/>
  <c r="J7"/>
  <c r="G5"/>
  <c r="I5"/>
  <c r="G37" i="96"/>
  <c r="I37"/>
  <c r="G35"/>
  <c r="I35"/>
  <c r="G33"/>
  <c r="I33"/>
  <c r="G31"/>
  <c r="I31"/>
  <c r="G29"/>
  <c r="I29"/>
  <c r="G27"/>
  <c r="I27"/>
  <c r="J27"/>
  <c r="G25"/>
  <c r="I25"/>
  <c r="G23"/>
  <c r="I23"/>
  <c r="J23"/>
  <c r="G21"/>
  <c r="I21"/>
  <c r="J21"/>
  <c r="G19"/>
  <c r="I19"/>
  <c r="G17"/>
  <c r="I17"/>
  <c r="G15"/>
  <c r="I15"/>
  <c r="J15"/>
  <c r="G13"/>
  <c r="I13"/>
  <c r="J13"/>
  <c r="G11"/>
  <c r="I11"/>
  <c r="G9"/>
  <c r="I9"/>
  <c r="G30" i="109"/>
  <c r="I30"/>
  <c r="G28"/>
  <c r="I28"/>
  <c r="G26"/>
  <c r="I26"/>
  <c r="J26"/>
  <c r="G24"/>
  <c r="I24"/>
  <c r="J24"/>
  <c r="G22"/>
  <c r="I22"/>
  <c r="G20"/>
  <c r="I20"/>
  <c r="G18"/>
  <c r="I18"/>
  <c r="G16"/>
  <c r="I16"/>
  <c r="G14"/>
  <c r="I14"/>
  <c r="J14"/>
  <c r="G12"/>
  <c r="I12"/>
  <c r="G10"/>
  <c r="I10"/>
  <c r="G8"/>
  <c r="I8"/>
  <c r="J8"/>
  <c r="I6"/>
  <c r="J6"/>
  <c r="G37" i="57"/>
  <c r="I37"/>
  <c r="J37"/>
  <c r="G35"/>
  <c r="I35"/>
  <c r="G33"/>
  <c r="I33"/>
  <c r="G31"/>
  <c r="I31"/>
  <c r="J31"/>
  <c r="G29"/>
  <c r="I29"/>
  <c r="J29"/>
  <c r="G27"/>
  <c r="I27"/>
  <c r="G25"/>
  <c r="I25"/>
  <c r="G23"/>
  <c r="I23"/>
  <c r="G21"/>
  <c r="I21"/>
  <c r="G19"/>
  <c r="I19"/>
  <c r="J19"/>
  <c r="G17"/>
  <c r="I17"/>
  <c r="G15"/>
  <c r="I15"/>
  <c r="G13"/>
  <c r="I13"/>
  <c r="G11"/>
  <c r="I11"/>
  <c r="G9"/>
  <c r="I9"/>
  <c r="J9"/>
  <c r="G7"/>
  <c r="I7"/>
  <c r="G5"/>
  <c r="I5"/>
  <c r="G23" i="184"/>
  <c r="I23"/>
  <c r="J23"/>
  <c r="G21"/>
  <c r="I21"/>
  <c r="J21"/>
  <c r="G19"/>
  <c r="I19"/>
  <c r="J19"/>
  <c r="G17"/>
  <c r="I17"/>
  <c r="G15"/>
  <c r="I15"/>
  <c r="G13"/>
  <c r="I13"/>
  <c r="G11"/>
  <c r="I11"/>
  <c r="G9"/>
  <c r="I9"/>
  <c r="G7"/>
  <c r="I7"/>
  <c r="J7"/>
  <c r="G5"/>
  <c r="I5"/>
  <c r="G37" i="199"/>
  <c r="I37"/>
  <c r="J37"/>
  <c r="G35"/>
  <c r="I35"/>
  <c r="J35"/>
  <c r="N35"/>
  <c r="G33"/>
  <c r="I33"/>
  <c r="G31"/>
  <c r="I31"/>
  <c r="G29"/>
  <c r="I29"/>
  <c r="J29"/>
  <c r="N29"/>
  <c r="G27"/>
  <c r="I27"/>
  <c r="G25"/>
  <c r="I25"/>
  <c r="G23"/>
  <c r="I23"/>
  <c r="G21"/>
  <c r="I21"/>
  <c r="J21"/>
  <c r="G19"/>
  <c r="I19"/>
  <c r="G17"/>
  <c r="I17"/>
  <c r="J17"/>
  <c r="K17"/>
  <c r="G15"/>
  <c r="I15"/>
  <c r="G13"/>
  <c r="I13"/>
  <c r="J13"/>
  <c r="K13"/>
  <c r="G11"/>
  <c r="I11"/>
  <c r="J11"/>
  <c r="G9"/>
  <c r="I9"/>
  <c r="G7"/>
  <c r="I7"/>
  <c r="G5"/>
  <c r="I5"/>
  <c r="J5"/>
  <c r="N5"/>
  <c r="G27" i="126"/>
  <c r="I27"/>
  <c r="J27"/>
  <c r="G25"/>
  <c r="I25"/>
  <c r="G23"/>
  <c r="I23"/>
  <c r="G21"/>
  <c r="I21"/>
  <c r="G19"/>
  <c r="I19"/>
  <c r="J19"/>
  <c r="G17"/>
  <c r="I17"/>
  <c r="G15"/>
  <c r="I15"/>
  <c r="G13"/>
  <c r="I13"/>
  <c r="G11"/>
  <c r="I11"/>
  <c r="J11"/>
  <c r="G9"/>
  <c r="I9"/>
  <c r="J9"/>
  <c r="G7"/>
  <c r="I7"/>
  <c r="G5"/>
  <c r="I5"/>
  <c r="G43" i="5"/>
  <c r="I43"/>
  <c r="G41"/>
  <c r="I41"/>
  <c r="G39"/>
  <c r="I39"/>
  <c r="G37"/>
  <c r="I37"/>
  <c r="J37"/>
  <c r="G35"/>
  <c r="I35"/>
  <c r="G33"/>
  <c r="I33"/>
  <c r="J33"/>
  <c r="G31"/>
  <c r="I31"/>
  <c r="J31"/>
  <c r="G29"/>
  <c r="I29"/>
  <c r="J29"/>
  <c r="K29"/>
  <c r="G27"/>
  <c r="I27"/>
  <c r="J27"/>
  <c r="G25"/>
  <c r="I25"/>
  <c r="J25"/>
  <c r="G23"/>
  <c r="I23"/>
  <c r="G21"/>
  <c r="I21"/>
  <c r="G19"/>
  <c r="I19"/>
  <c r="J19"/>
  <c r="G17"/>
  <c r="I17"/>
  <c r="G15"/>
  <c r="I15"/>
  <c r="J15"/>
  <c r="G13"/>
  <c r="I13"/>
  <c r="G11"/>
  <c r="I11"/>
  <c r="G9"/>
  <c r="I9"/>
  <c r="G7"/>
  <c r="I7"/>
  <c r="J7"/>
  <c r="G37" i="88"/>
  <c r="I37"/>
  <c r="J37"/>
  <c r="G35"/>
  <c r="I35"/>
  <c r="G33"/>
  <c r="I33"/>
  <c r="J33"/>
  <c r="N33"/>
  <c r="G31"/>
  <c r="I31"/>
  <c r="G29"/>
  <c r="I29"/>
  <c r="J29"/>
  <c r="G27"/>
  <c r="I27"/>
  <c r="G25"/>
  <c r="I25"/>
  <c r="J25"/>
  <c r="G23"/>
  <c r="I23"/>
  <c r="J23"/>
  <c r="G21"/>
  <c r="I21"/>
  <c r="G19"/>
  <c r="I19"/>
  <c r="G17"/>
  <c r="I17"/>
  <c r="J17"/>
  <c r="G15"/>
  <c r="I15"/>
  <c r="G13"/>
  <c r="I13"/>
  <c r="J13"/>
  <c r="G11"/>
  <c r="I11"/>
  <c r="G9"/>
  <c r="I9"/>
  <c r="J9"/>
  <c r="G7"/>
  <c r="I7"/>
  <c r="J7"/>
  <c r="G5"/>
  <c r="I5"/>
  <c r="J5"/>
  <c r="G45" i="69"/>
  <c r="I45"/>
  <c r="J45"/>
  <c r="G43"/>
  <c r="I43"/>
  <c r="G41"/>
  <c r="I41"/>
  <c r="G39"/>
  <c r="I39"/>
  <c r="J39"/>
  <c r="N39"/>
  <c r="G37"/>
  <c r="I37"/>
  <c r="J37"/>
  <c r="G35"/>
  <c r="I35"/>
  <c r="J35"/>
  <c r="G33"/>
  <c r="I33"/>
  <c r="G31"/>
  <c r="I31"/>
  <c r="J31"/>
  <c r="N31"/>
  <c r="G29"/>
  <c r="I29"/>
  <c r="J29"/>
  <c r="G27"/>
  <c r="I27"/>
  <c r="G25"/>
  <c r="I25"/>
  <c r="J25"/>
  <c r="G23"/>
  <c r="I23"/>
  <c r="G21"/>
  <c r="I21"/>
  <c r="G19"/>
  <c r="I19"/>
  <c r="G17"/>
  <c r="I17"/>
  <c r="G15"/>
  <c r="I15"/>
  <c r="J15"/>
  <c r="G13"/>
  <c r="I13"/>
  <c r="J13"/>
  <c r="G11"/>
  <c r="I11"/>
  <c r="G9"/>
  <c r="I9"/>
  <c r="G7"/>
  <c r="I7"/>
  <c r="G39" i="188"/>
  <c r="I39"/>
  <c r="J39"/>
  <c r="G37"/>
  <c r="I37"/>
  <c r="G35"/>
  <c r="I35"/>
  <c r="G33"/>
  <c r="I33"/>
  <c r="G31"/>
  <c r="I31"/>
  <c r="G29"/>
  <c r="I29"/>
  <c r="G27"/>
  <c r="I27"/>
  <c r="J27"/>
  <c r="G25"/>
  <c r="I25"/>
  <c r="J25"/>
  <c r="N25"/>
  <c r="G23"/>
  <c r="I23"/>
  <c r="J23"/>
  <c r="G21"/>
  <c r="I21"/>
  <c r="G19"/>
  <c r="I19"/>
  <c r="G17"/>
  <c r="I17"/>
  <c r="G15"/>
  <c r="I15"/>
  <c r="J15"/>
  <c r="N15"/>
  <c r="G13"/>
  <c r="I13"/>
  <c r="J13"/>
  <c r="N13"/>
  <c r="G11"/>
  <c r="I11"/>
  <c r="G9"/>
  <c r="I9"/>
  <c r="G7"/>
  <c r="I7"/>
  <c r="J7"/>
  <c r="G5"/>
  <c r="I5"/>
  <c r="G39" i="79"/>
  <c r="I39"/>
  <c r="J39"/>
  <c r="G37"/>
  <c r="I37"/>
  <c r="J37"/>
  <c r="G35"/>
  <c r="I35"/>
  <c r="G33"/>
  <c r="I33"/>
  <c r="G31"/>
  <c r="I31"/>
  <c r="G29"/>
  <c r="I29"/>
  <c r="G27"/>
  <c r="I27"/>
  <c r="G25"/>
  <c r="I25"/>
  <c r="G23"/>
  <c r="I23"/>
  <c r="J23"/>
  <c r="G21"/>
  <c r="I21"/>
  <c r="G19"/>
  <c r="I19"/>
  <c r="G17"/>
  <c r="I17"/>
  <c r="G15"/>
  <c r="I15"/>
  <c r="G13"/>
  <c r="I13"/>
  <c r="G11"/>
  <c r="I11"/>
  <c r="G9"/>
  <c r="I9"/>
  <c r="G7"/>
  <c r="I7"/>
  <c r="J7"/>
  <c r="K7"/>
  <c r="G5"/>
  <c r="I5"/>
  <c r="J5"/>
  <c r="N5"/>
  <c r="G41" i="60"/>
  <c r="I41"/>
  <c r="J41"/>
  <c r="G39"/>
  <c r="I39"/>
  <c r="G37"/>
  <c r="I37"/>
  <c r="G35"/>
  <c r="I35"/>
  <c r="J35"/>
  <c r="G33"/>
  <c r="I33"/>
  <c r="G31"/>
  <c r="I31"/>
  <c r="J31"/>
  <c r="G29"/>
  <c r="I29"/>
  <c r="G27"/>
  <c r="I27"/>
  <c r="J27"/>
  <c r="K27"/>
  <c r="G25"/>
  <c r="I25"/>
  <c r="G23"/>
  <c r="I23"/>
  <c r="J23"/>
  <c r="G21"/>
  <c r="I21"/>
  <c r="G19"/>
  <c r="I19"/>
  <c r="G17"/>
  <c r="I17"/>
  <c r="J17"/>
  <c r="G15"/>
  <c r="I15"/>
  <c r="G13"/>
  <c r="I13"/>
  <c r="G11"/>
  <c r="I11"/>
  <c r="J11"/>
  <c r="G9"/>
  <c r="I9"/>
  <c r="J9"/>
  <c r="G7"/>
  <c r="I7"/>
  <c r="G5"/>
  <c r="I5"/>
  <c r="J5"/>
  <c r="G45" i="210"/>
  <c r="I45"/>
  <c r="J45"/>
  <c r="G45" i="209"/>
  <c r="I45"/>
  <c r="J45"/>
  <c r="G43"/>
  <c r="I43"/>
  <c r="G41"/>
  <c r="I41"/>
  <c r="J41"/>
  <c r="K41"/>
  <c r="G39"/>
  <c r="I39"/>
  <c r="J39"/>
  <c r="G37"/>
  <c r="I37"/>
  <c r="G35"/>
  <c r="I35"/>
  <c r="G33"/>
  <c r="I33"/>
  <c r="G31"/>
  <c r="I31"/>
  <c r="G29"/>
  <c r="I29"/>
  <c r="J29"/>
  <c r="G27"/>
  <c r="I27"/>
  <c r="J27"/>
  <c r="K27"/>
  <c r="G25"/>
  <c r="I25"/>
  <c r="G23"/>
  <c r="I23"/>
  <c r="J23"/>
  <c r="G21"/>
  <c r="I21"/>
  <c r="J21"/>
  <c r="G19"/>
  <c r="I19"/>
  <c r="J19"/>
  <c r="G17"/>
  <c r="I17"/>
  <c r="G15"/>
  <c r="I15"/>
  <c r="G13"/>
  <c r="I13"/>
  <c r="J13"/>
  <c r="G11"/>
  <c r="I11"/>
  <c r="J11"/>
  <c r="G9"/>
  <c r="I9"/>
  <c r="G7"/>
  <c r="I7"/>
  <c r="G43" i="65"/>
  <c r="I43"/>
  <c r="J43"/>
  <c r="G41"/>
  <c r="I41"/>
  <c r="J41"/>
  <c r="G39"/>
  <c r="I39"/>
  <c r="G37"/>
  <c r="I37"/>
  <c r="J37"/>
  <c r="G35"/>
  <c r="I35"/>
  <c r="J35"/>
  <c r="G33"/>
  <c r="I33"/>
  <c r="G31"/>
  <c r="I31"/>
  <c r="J31"/>
  <c r="G29"/>
  <c r="I29"/>
  <c r="G27"/>
  <c r="I27"/>
  <c r="J27"/>
  <c r="G25"/>
  <c r="I25"/>
  <c r="G23"/>
  <c r="I23"/>
  <c r="J23"/>
  <c r="G21"/>
  <c r="I21"/>
  <c r="G19"/>
  <c r="I19"/>
  <c r="J19"/>
  <c r="G17"/>
  <c r="I17"/>
  <c r="J17"/>
  <c r="N17"/>
  <c r="G15"/>
  <c r="I15"/>
  <c r="G13"/>
  <c r="I13"/>
  <c r="J13"/>
  <c r="G11"/>
  <c r="I11"/>
  <c r="J11"/>
  <c r="G9"/>
  <c r="I9"/>
  <c r="G7"/>
  <c r="I7"/>
  <c r="G5"/>
  <c r="I5"/>
  <c r="G41" i="2"/>
  <c r="I41"/>
  <c r="J41"/>
  <c r="K41"/>
  <c r="G39"/>
  <c r="I39"/>
  <c r="G37"/>
  <c r="I37"/>
  <c r="J37"/>
  <c r="G35"/>
  <c r="I35"/>
  <c r="G33"/>
  <c r="I33"/>
  <c r="J33"/>
  <c r="G31"/>
  <c r="I31"/>
  <c r="G29"/>
  <c r="I29"/>
  <c r="J29"/>
  <c r="G27"/>
  <c r="I27"/>
  <c r="G25"/>
  <c r="I25"/>
  <c r="J25"/>
  <c r="G23"/>
  <c r="I23"/>
  <c r="G21"/>
  <c r="I21"/>
  <c r="J21"/>
  <c r="G19"/>
  <c r="I19"/>
  <c r="J19"/>
  <c r="G17"/>
  <c r="I17"/>
  <c r="J17"/>
  <c r="G15"/>
  <c r="I15"/>
  <c r="G13"/>
  <c r="I13"/>
  <c r="J13"/>
  <c r="G11"/>
  <c r="I11"/>
  <c r="J11"/>
  <c r="G9"/>
  <c r="I9"/>
  <c r="J9"/>
  <c r="G7"/>
  <c r="I7"/>
  <c r="G5"/>
  <c r="I5"/>
  <c r="J5"/>
  <c r="N5"/>
  <c r="G45" i="179"/>
  <c r="I45"/>
  <c r="G43"/>
  <c r="I43"/>
  <c r="J43"/>
  <c r="G41"/>
  <c r="I41"/>
  <c r="G39"/>
  <c r="I39"/>
  <c r="J39"/>
  <c r="G37"/>
  <c r="I37"/>
  <c r="G35"/>
  <c r="I35"/>
  <c r="J35"/>
  <c r="G33"/>
  <c r="I33"/>
  <c r="J33"/>
  <c r="G31"/>
  <c r="I31"/>
  <c r="J31"/>
  <c r="G29"/>
  <c r="I29"/>
  <c r="G27"/>
  <c r="I27"/>
  <c r="J27"/>
  <c r="G25"/>
  <c r="I25"/>
  <c r="J25"/>
  <c r="K25"/>
  <c r="G23"/>
  <c r="I23"/>
  <c r="G21"/>
  <c r="I21"/>
  <c r="G19"/>
  <c r="I19"/>
  <c r="J19"/>
  <c r="G17"/>
  <c r="I17"/>
  <c r="J17"/>
  <c r="N17"/>
  <c r="G15"/>
  <c r="I15"/>
  <c r="J15"/>
  <c r="K15"/>
  <c r="G13"/>
  <c r="I13"/>
  <c r="G11"/>
  <c r="I11"/>
  <c r="G9"/>
  <c r="I9"/>
  <c r="G7"/>
  <c r="I7"/>
  <c r="J7"/>
  <c r="G37" i="113"/>
  <c r="I37"/>
  <c r="G35"/>
  <c r="I35"/>
  <c r="J35"/>
  <c r="G33"/>
  <c r="I33"/>
  <c r="J33"/>
  <c r="G31"/>
  <c r="I31"/>
  <c r="G29"/>
  <c r="I29"/>
  <c r="G27"/>
  <c r="I27"/>
  <c r="J27"/>
  <c r="G25"/>
  <c r="I25"/>
  <c r="G23"/>
  <c r="I23"/>
  <c r="G21"/>
  <c r="I21"/>
  <c r="G19"/>
  <c r="I19"/>
  <c r="J19"/>
  <c r="G17"/>
  <c r="I17"/>
  <c r="J17"/>
  <c r="G15"/>
  <c r="I15"/>
  <c r="J15"/>
  <c r="G13"/>
  <c r="I13"/>
  <c r="G11"/>
  <c r="I11"/>
  <c r="G7"/>
  <c r="I7"/>
  <c r="G5"/>
  <c r="I5"/>
  <c r="G45" i="18"/>
  <c r="I45"/>
  <c r="G43"/>
  <c r="I43"/>
  <c r="J43"/>
  <c r="G41"/>
  <c r="I41"/>
  <c r="J41"/>
  <c r="N41"/>
  <c r="G39"/>
  <c r="I39"/>
  <c r="G37"/>
  <c r="I37"/>
  <c r="G35"/>
  <c r="I35"/>
  <c r="G33"/>
  <c r="I33"/>
  <c r="G31"/>
  <c r="I31"/>
  <c r="G29"/>
  <c r="I29"/>
  <c r="G27"/>
  <c r="I27"/>
  <c r="J27"/>
  <c r="G25"/>
  <c r="I25"/>
  <c r="J25"/>
  <c r="G23"/>
  <c r="I23"/>
  <c r="G21"/>
  <c r="I21"/>
  <c r="G19"/>
  <c r="I19"/>
  <c r="G17"/>
  <c r="I17"/>
  <c r="J17"/>
  <c r="G15"/>
  <c r="I15"/>
  <c r="G13"/>
  <c r="I13"/>
  <c r="G11"/>
  <c r="I11"/>
  <c r="G9"/>
  <c r="I9"/>
  <c r="J9"/>
  <c r="G7"/>
  <c r="I7"/>
  <c r="J7"/>
  <c r="G43" i="204"/>
  <c r="I43"/>
  <c r="G41"/>
  <c r="I41"/>
  <c r="G39"/>
  <c r="I39"/>
  <c r="J39"/>
  <c r="G37"/>
  <c r="I37"/>
  <c r="J37"/>
  <c r="G35"/>
  <c r="I35"/>
  <c r="J35"/>
  <c r="N35"/>
  <c r="G33"/>
  <c r="I33"/>
  <c r="J33"/>
  <c r="G31"/>
  <c r="I31"/>
  <c r="J31"/>
  <c r="G29"/>
  <c r="I29"/>
  <c r="G27"/>
  <c r="I27"/>
  <c r="J27"/>
  <c r="G25"/>
  <c r="I25"/>
  <c r="G23"/>
  <c r="I23"/>
  <c r="G21"/>
  <c r="I21"/>
  <c r="J21"/>
  <c r="G19"/>
  <c r="I19"/>
  <c r="G17"/>
  <c r="I17"/>
  <c r="J17"/>
  <c r="G15"/>
  <c r="I15"/>
  <c r="G13"/>
  <c r="I13"/>
  <c r="G11"/>
  <c r="I11"/>
  <c r="J11"/>
  <c r="G9"/>
  <c r="I9"/>
  <c r="J9"/>
  <c r="N9"/>
  <c r="G7"/>
  <c r="I7"/>
  <c r="J7"/>
  <c r="G5"/>
  <c r="I5"/>
  <c r="G38" i="183"/>
  <c r="I38"/>
  <c r="G36"/>
  <c r="I36"/>
  <c r="J36"/>
  <c r="G34"/>
  <c r="I34"/>
  <c r="G32"/>
  <c r="I32"/>
  <c r="G30"/>
  <c r="I30"/>
  <c r="J30"/>
  <c r="K30"/>
  <c r="G28"/>
  <c r="I28"/>
  <c r="G26"/>
  <c r="I26"/>
  <c r="G24"/>
  <c r="I24"/>
  <c r="J24"/>
  <c r="G22"/>
  <c r="I22"/>
  <c r="G20"/>
  <c r="I20"/>
  <c r="G18"/>
  <c r="I18"/>
  <c r="J18"/>
  <c r="G16"/>
  <c r="I16"/>
  <c r="J16"/>
  <c r="G14"/>
  <c r="I14"/>
  <c r="G12"/>
  <c r="I12"/>
  <c r="J12"/>
  <c r="G10"/>
  <c r="I10"/>
  <c r="J10"/>
  <c r="G8"/>
  <c r="I8"/>
  <c r="J8"/>
  <c r="G6"/>
  <c r="I6"/>
  <c r="J6"/>
  <c r="G29" i="191"/>
  <c r="I29"/>
  <c r="J29"/>
  <c r="N29"/>
  <c r="G27"/>
  <c r="I27"/>
  <c r="G25"/>
  <c r="I25"/>
  <c r="G23"/>
  <c r="I23"/>
  <c r="G21"/>
  <c r="I21"/>
  <c r="G19"/>
  <c r="I19"/>
  <c r="G17"/>
  <c r="I17"/>
  <c r="G15"/>
  <c r="I15"/>
  <c r="J15"/>
  <c r="N15"/>
  <c r="G13"/>
  <c r="I13"/>
  <c r="J13"/>
  <c r="G11"/>
  <c r="I11"/>
  <c r="J11"/>
  <c r="G9"/>
  <c r="I9"/>
  <c r="G7"/>
  <c r="I7"/>
  <c r="G5"/>
  <c r="I5"/>
  <c r="J5"/>
  <c r="G27" i="68"/>
  <c r="I27"/>
  <c r="G25"/>
  <c r="I25"/>
  <c r="J25"/>
  <c r="G23"/>
  <c r="I23"/>
  <c r="J23"/>
  <c r="N23"/>
  <c r="G21"/>
  <c r="I21"/>
  <c r="J21"/>
  <c r="G19"/>
  <c r="I19"/>
  <c r="J19"/>
  <c r="G17"/>
  <c r="I17"/>
  <c r="J17"/>
  <c r="G15"/>
  <c r="I15"/>
  <c r="G13"/>
  <c r="I13"/>
  <c r="J13"/>
  <c r="G11"/>
  <c r="I11"/>
  <c r="J11"/>
  <c r="G9"/>
  <c r="I9"/>
  <c r="J9"/>
  <c r="G7"/>
  <c r="I7"/>
  <c r="J7"/>
  <c r="G5"/>
  <c r="I5"/>
  <c r="K5"/>
  <c r="G43" i="221"/>
  <c r="I43"/>
  <c r="G41"/>
  <c r="I41"/>
  <c r="G39"/>
  <c r="I39"/>
  <c r="G37"/>
  <c r="I37"/>
  <c r="G35"/>
  <c r="I35"/>
  <c r="J35"/>
  <c r="G33"/>
  <c r="I33"/>
  <c r="G31"/>
  <c r="I31"/>
  <c r="J31"/>
  <c r="G29"/>
  <c r="I29"/>
  <c r="G27"/>
  <c r="I27"/>
  <c r="G25"/>
  <c r="I25"/>
  <c r="J25"/>
  <c r="G23"/>
  <c r="I23"/>
  <c r="J23"/>
  <c r="N23"/>
  <c r="G21"/>
  <c r="I21"/>
  <c r="J21"/>
  <c r="G19"/>
  <c r="I19"/>
  <c r="G17"/>
  <c r="I17"/>
  <c r="J17"/>
  <c r="G15"/>
  <c r="I15"/>
  <c r="J15"/>
  <c r="G13"/>
  <c r="I13"/>
  <c r="G11"/>
  <c r="I11"/>
  <c r="G9"/>
  <c r="I9"/>
  <c r="G7"/>
  <c r="I7"/>
  <c r="G5"/>
  <c r="I5"/>
  <c r="J5"/>
  <c r="G35" i="140"/>
  <c r="I35"/>
  <c r="G33"/>
  <c r="I33"/>
  <c r="G31"/>
  <c r="I31"/>
  <c r="J31"/>
  <c r="G29"/>
  <c r="I29"/>
  <c r="G27"/>
  <c r="I27"/>
  <c r="J27"/>
  <c r="G25"/>
  <c r="I25"/>
  <c r="G23"/>
  <c r="I23"/>
  <c r="G21"/>
  <c r="I21"/>
  <c r="G19"/>
  <c r="I19"/>
  <c r="J19"/>
  <c r="G17"/>
  <c r="I17"/>
  <c r="J17"/>
  <c r="G15"/>
  <c r="I15"/>
  <c r="J15"/>
  <c r="N15"/>
  <c r="G13"/>
  <c r="I13"/>
  <c r="J13"/>
  <c r="G11"/>
  <c r="I11"/>
  <c r="G9"/>
  <c r="I9"/>
  <c r="J9"/>
  <c r="G7"/>
  <c r="I7"/>
  <c r="J7"/>
  <c r="G5"/>
  <c r="I5"/>
  <c r="J5"/>
  <c r="G43" i="229"/>
  <c r="I43"/>
  <c r="G41"/>
  <c r="I41"/>
  <c r="G39"/>
  <c r="I39"/>
  <c r="J39"/>
  <c r="G37"/>
  <c r="I37"/>
  <c r="G35"/>
  <c r="I35"/>
  <c r="G33"/>
  <c r="I33"/>
  <c r="J33"/>
  <c r="G31"/>
  <c r="I31"/>
  <c r="J31"/>
  <c r="G29"/>
  <c r="I29"/>
  <c r="J29"/>
  <c r="G27"/>
  <c r="I27"/>
  <c r="J27"/>
  <c r="G25"/>
  <c r="I25"/>
  <c r="J25"/>
  <c r="G23"/>
  <c r="I23"/>
  <c r="G21"/>
  <c r="I21"/>
  <c r="J21"/>
  <c r="G19"/>
  <c r="I19"/>
  <c r="G17"/>
  <c r="I17"/>
  <c r="J17"/>
  <c r="G15"/>
  <c r="I15"/>
  <c r="J15"/>
  <c r="G13"/>
  <c r="I13"/>
  <c r="J13"/>
  <c r="G11"/>
  <c r="I11"/>
  <c r="G9"/>
  <c r="I9"/>
  <c r="J9"/>
  <c r="G7"/>
  <c r="I7"/>
  <c r="J7"/>
  <c r="G5"/>
  <c r="I5"/>
  <c r="G37" i="226"/>
  <c r="I37"/>
  <c r="J37"/>
  <c r="G35"/>
  <c r="I35"/>
  <c r="J35"/>
  <c r="G33"/>
  <c r="I33"/>
  <c r="J33"/>
  <c r="G31"/>
  <c r="I31"/>
  <c r="G29"/>
  <c r="I29"/>
  <c r="G27"/>
  <c r="I27"/>
  <c r="J27"/>
  <c r="G25"/>
  <c r="I25"/>
  <c r="G23"/>
  <c r="I23"/>
  <c r="G21"/>
  <c r="I21"/>
  <c r="J21"/>
  <c r="G19"/>
  <c r="I19"/>
  <c r="J19"/>
  <c r="G17"/>
  <c r="I17"/>
  <c r="J17"/>
  <c r="G15"/>
  <c r="I15"/>
  <c r="J15"/>
  <c r="G13"/>
  <c r="I13"/>
  <c r="J13"/>
  <c r="G11"/>
  <c r="I11"/>
  <c r="J11"/>
  <c r="G9"/>
  <c r="I9"/>
  <c r="G7"/>
  <c r="I7"/>
  <c r="J7"/>
  <c r="G5"/>
  <c r="I5"/>
  <c r="G39" i="127"/>
  <c r="I39"/>
  <c r="J39"/>
  <c r="G37"/>
  <c r="I37"/>
  <c r="J37"/>
  <c r="G35"/>
  <c r="I35"/>
  <c r="G33"/>
  <c r="I33"/>
  <c r="G31"/>
  <c r="I31"/>
  <c r="J31"/>
  <c r="G29"/>
  <c r="I29"/>
  <c r="J29"/>
  <c r="N29"/>
  <c r="G27"/>
  <c r="I27"/>
  <c r="G25"/>
  <c r="I25"/>
  <c r="J25"/>
  <c r="G23"/>
  <c r="I23"/>
  <c r="J23"/>
  <c r="G21"/>
  <c r="I21"/>
  <c r="J21"/>
  <c r="G19"/>
  <c r="I19"/>
  <c r="J19"/>
  <c r="G17"/>
  <c r="I17"/>
  <c r="G15"/>
  <c r="I15"/>
  <c r="J15"/>
  <c r="G13"/>
  <c r="I13"/>
  <c r="J13"/>
  <c r="G11"/>
  <c r="I11"/>
  <c r="J11"/>
  <c r="G9"/>
  <c r="I9"/>
  <c r="J9"/>
  <c r="G7"/>
  <c r="I7"/>
  <c r="J7"/>
  <c r="G5"/>
  <c r="I5"/>
  <c r="J5"/>
  <c r="G25" i="181"/>
  <c r="I25"/>
  <c r="J25"/>
  <c r="K25"/>
  <c r="G23"/>
  <c r="I23"/>
  <c r="J23"/>
  <c r="G21"/>
  <c r="I21"/>
  <c r="J21"/>
  <c r="G19"/>
  <c r="I19"/>
  <c r="J19"/>
  <c r="K19"/>
  <c r="G17"/>
  <c r="I17"/>
  <c r="G15"/>
  <c r="I15"/>
  <c r="J15"/>
  <c r="G13"/>
  <c r="I13"/>
  <c r="J13"/>
  <c r="G11"/>
  <c r="I11"/>
  <c r="G9"/>
  <c r="I9"/>
  <c r="J9"/>
  <c r="G7"/>
  <c r="I7"/>
  <c r="J7"/>
  <c r="G5"/>
  <c r="I5"/>
  <c r="J5"/>
  <c r="G43" i="240"/>
  <c r="I43"/>
  <c r="J43"/>
  <c r="K43"/>
  <c r="G41"/>
  <c r="I41"/>
  <c r="G39"/>
  <c r="I39"/>
  <c r="J39"/>
  <c r="G37"/>
  <c r="I37"/>
  <c r="J37"/>
  <c r="G35"/>
  <c r="I35"/>
  <c r="J35"/>
  <c r="N35"/>
  <c r="G33"/>
  <c r="I33"/>
  <c r="J33"/>
  <c r="G31"/>
  <c r="I31"/>
  <c r="G29"/>
  <c r="I29"/>
  <c r="G27"/>
  <c r="I27"/>
  <c r="J27"/>
  <c r="G25"/>
  <c r="I25"/>
  <c r="J25"/>
  <c r="G23"/>
  <c r="I23"/>
  <c r="G21"/>
  <c r="I21"/>
  <c r="G19"/>
  <c r="I19"/>
  <c r="J19"/>
  <c r="G17"/>
  <c r="I17"/>
  <c r="J17"/>
  <c r="G15"/>
  <c r="I15"/>
  <c r="J15"/>
  <c r="G13"/>
  <c r="I13"/>
  <c r="G11"/>
  <c r="I11"/>
  <c r="G9"/>
  <c r="I9"/>
  <c r="J9"/>
  <c r="G7"/>
  <c r="I7"/>
  <c r="G43" i="37"/>
  <c r="I43"/>
  <c r="J43"/>
  <c r="G41"/>
  <c r="I41"/>
  <c r="J41"/>
  <c r="G39"/>
  <c r="I39"/>
  <c r="G37"/>
  <c r="I37"/>
  <c r="J37"/>
  <c r="G35"/>
  <c r="I35"/>
  <c r="G33"/>
  <c r="I33"/>
  <c r="J33"/>
  <c r="G31"/>
  <c r="I31"/>
  <c r="J31"/>
  <c r="G29"/>
  <c r="I29"/>
  <c r="J29"/>
  <c r="G27"/>
  <c r="I27"/>
  <c r="J27"/>
  <c r="G25"/>
  <c r="I25"/>
  <c r="J25"/>
  <c r="G23"/>
  <c r="I23"/>
  <c r="J23"/>
  <c r="K23"/>
  <c r="G21"/>
  <c r="I21"/>
  <c r="J21"/>
  <c r="G19"/>
  <c r="I19"/>
  <c r="G17"/>
  <c r="I17"/>
  <c r="J17"/>
  <c r="G15"/>
  <c r="I15"/>
  <c r="J15"/>
  <c r="G11"/>
  <c r="I11"/>
  <c r="G9"/>
  <c r="I9"/>
  <c r="J9"/>
  <c r="G7"/>
  <c r="I7"/>
  <c r="J7"/>
  <c r="G45" i="159"/>
  <c r="I45"/>
  <c r="J45"/>
  <c r="G43"/>
  <c r="I43"/>
  <c r="J43"/>
  <c r="G41"/>
  <c r="I41"/>
  <c r="J41"/>
  <c r="G39"/>
  <c r="I39"/>
  <c r="J39"/>
  <c r="G37"/>
  <c r="I37"/>
  <c r="J37"/>
  <c r="G35"/>
  <c r="I35"/>
  <c r="J35"/>
  <c r="G33"/>
  <c r="I33"/>
  <c r="J33"/>
  <c r="G31"/>
  <c r="I31"/>
  <c r="J31"/>
  <c r="G29"/>
  <c r="I29"/>
  <c r="J29"/>
  <c r="G27"/>
  <c r="I27"/>
  <c r="J27"/>
  <c r="G25"/>
  <c r="I25"/>
  <c r="J25"/>
  <c r="G23"/>
  <c r="I23"/>
  <c r="G21"/>
  <c r="I21"/>
  <c r="G19"/>
  <c r="I19"/>
  <c r="G17"/>
  <c r="I17"/>
  <c r="J17"/>
  <c r="G15"/>
  <c r="I15"/>
  <c r="J15"/>
  <c r="G13"/>
  <c r="I13"/>
  <c r="J13"/>
  <c r="G11"/>
  <c r="I11"/>
  <c r="J11"/>
  <c r="G9"/>
  <c r="I9"/>
  <c r="G7"/>
  <c r="I7"/>
  <c r="G27" i="56"/>
  <c r="I27"/>
  <c r="K27"/>
  <c r="G25"/>
  <c r="I25"/>
  <c r="K25"/>
  <c r="G23"/>
  <c r="I23"/>
  <c r="G19"/>
  <c r="I19"/>
  <c r="G17"/>
  <c r="I17"/>
  <c r="K17"/>
  <c r="G15"/>
  <c r="I15"/>
  <c r="N15"/>
  <c r="G13"/>
  <c r="I13"/>
  <c r="G11"/>
  <c r="I11"/>
  <c r="G9"/>
  <c r="I9"/>
  <c r="N9"/>
  <c r="G5"/>
  <c r="I5"/>
  <c r="G45" i="185"/>
  <c r="I45"/>
  <c r="G43"/>
  <c r="I43"/>
  <c r="J43"/>
  <c r="G41"/>
  <c r="I41"/>
  <c r="J41"/>
  <c r="K41"/>
  <c r="G39"/>
  <c r="I39"/>
  <c r="J39"/>
  <c r="G37"/>
  <c r="I37"/>
  <c r="J37"/>
  <c r="G35"/>
  <c r="I35"/>
  <c r="J35"/>
  <c r="G33"/>
  <c r="I33"/>
  <c r="J33"/>
  <c r="G31"/>
  <c r="I31"/>
  <c r="G29"/>
  <c r="I29"/>
  <c r="J29"/>
  <c r="G27"/>
  <c r="I27"/>
  <c r="J27"/>
  <c r="K27"/>
  <c r="G25"/>
  <c r="I25"/>
  <c r="J25"/>
  <c r="G23"/>
  <c r="I23"/>
  <c r="J23"/>
  <c r="G21"/>
  <c r="I21"/>
  <c r="G19"/>
  <c r="I19"/>
  <c r="G17"/>
  <c r="I17"/>
  <c r="G15"/>
  <c r="I15"/>
  <c r="J15"/>
  <c r="N15"/>
  <c r="G13"/>
  <c r="I13"/>
  <c r="J13"/>
  <c r="K13"/>
  <c r="G11"/>
  <c r="I11"/>
  <c r="G9"/>
  <c r="I9"/>
  <c r="G7"/>
  <c r="I7"/>
  <c r="G5" i="85"/>
  <c r="I5"/>
  <c r="J30" i="93"/>
  <c r="G5" i="101"/>
  <c r="I5"/>
  <c r="G5" i="76"/>
  <c r="I5"/>
  <c r="G5" i="41"/>
  <c r="I5"/>
  <c r="G5" i="47"/>
  <c r="I5"/>
  <c r="J5"/>
  <c r="K5"/>
  <c r="G5" i="69"/>
  <c r="I5"/>
  <c r="J5"/>
  <c r="N5"/>
  <c r="G5" i="209"/>
  <c r="I5"/>
  <c r="J5"/>
  <c r="G5" i="179"/>
  <c r="I5"/>
  <c r="J5"/>
  <c r="K5"/>
  <c r="G5" i="18"/>
  <c r="I5"/>
  <c r="J5"/>
  <c r="G5" i="37"/>
  <c r="I5"/>
  <c r="G5" i="159"/>
  <c r="I5"/>
  <c r="J5"/>
  <c r="G5" i="185"/>
  <c r="I5"/>
  <c r="J5"/>
  <c r="N5"/>
  <c r="J7" i="98"/>
  <c r="K7"/>
  <c r="J15" i="68"/>
  <c r="J27"/>
  <c r="J7" i="221"/>
  <c r="J11"/>
  <c r="J19"/>
  <c r="J27"/>
  <c r="J39"/>
  <c r="J43"/>
  <c r="J11" i="140"/>
  <c r="J23"/>
  <c r="J35"/>
  <c r="J11" i="229"/>
  <c r="J19"/>
  <c r="K19"/>
  <c r="J23"/>
  <c r="J35"/>
  <c r="J43"/>
  <c r="J5" i="226"/>
  <c r="J9"/>
  <c r="J25"/>
  <c r="J29"/>
  <c r="J27" i="127"/>
  <c r="J35"/>
  <c r="J39" i="37"/>
  <c r="J9" i="159"/>
  <c r="J21"/>
  <c r="S44" i="199"/>
  <c r="O45" i="159"/>
  <c r="O43"/>
  <c r="O41"/>
  <c r="O39"/>
  <c r="O37"/>
  <c r="O35"/>
  <c r="O33"/>
  <c r="O31"/>
  <c r="O29"/>
  <c r="O27"/>
  <c r="O25"/>
  <c r="O23"/>
  <c r="J23"/>
  <c r="O21"/>
  <c r="O19"/>
  <c r="J19"/>
  <c r="O17"/>
  <c r="O15"/>
  <c r="O13"/>
  <c r="O11"/>
  <c r="O9"/>
  <c r="O7"/>
  <c r="J7"/>
  <c r="O5"/>
  <c r="O43" i="37"/>
  <c r="O41"/>
  <c r="O39"/>
  <c r="O37"/>
  <c r="O35"/>
  <c r="J35"/>
  <c r="O33"/>
  <c r="O31"/>
  <c r="O29"/>
  <c r="O27"/>
  <c r="O25"/>
  <c r="O23"/>
  <c r="O21"/>
  <c r="O19"/>
  <c r="J19"/>
  <c r="O17"/>
  <c r="O15"/>
  <c r="O13"/>
  <c r="O11"/>
  <c r="J11"/>
  <c r="O9"/>
  <c r="O7"/>
  <c r="O5"/>
  <c r="J5"/>
  <c r="O43" i="240"/>
  <c r="O41"/>
  <c r="J41"/>
  <c r="O39"/>
  <c r="O37"/>
  <c r="O35"/>
  <c r="O33"/>
  <c r="O31"/>
  <c r="J31"/>
  <c r="O29"/>
  <c r="J29"/>
  <c r="O27"/>
  <c r="O25"/>
  <c r="O23"/>
  <c r="J23"/>
  <c r="K23"/>
  <c r="O21"/>
  <c r="J21"/>
  <c r="O19"/>
  <c r="O17"/>
  <c r="O15"/>
  <c r="O13"/>
  <c r="J13"/>
  <c r="O11"/>
  <c r="J11"/>
  <c r="O9"/>
  <c r="O7"/>
  <c r="J7"/>
  <c r="O25" i="181"/>
  <c r="O23"/>
  <c r="O21"/>
  <c r="O19"/>
  <c r="O17"/>
  <c r="J17"/>
  <c r="O15"/>
  <c r="O13"/>
  <c r="O11"/>
  <c r="J11"/>
  <c r="O9"/>
  <c r="O7"/>
  <c r="O5"/>
  <c r="O39" i="127"/>
  <c r="O37"/>
  <c r="O35"/>
  <c r="O33"/>
  <c r="J33"/>
  <c r="O31"/>
  <c r="O29"/>
  <c r="O27"/>
  <c r="O25"/>
  <c r="O23"/>
  <c r="O21"/>
  <c r="O19"/>
  <c r="O17"/>
  <c r="J17"/>
  <c r="O15"/>
  <c r="O13"/>
  <c r="O11"/>
  <c r="O9"/>
  <c r="O7"/>
  <c r="O5"/>
  <c r="O37" i="226"/>
  <c r="O35"/>
  <c r="O33"/>
  <c r="O31"/>
  <c r="J31"/>
  <c r="K31"/>
  <c r="O29"/>
  <c r="O27"/>
  <c r="O25"/>
  <c r="O23"/>
  <c r="J23"/>
  <c r="K23"/>
  <c r="O21"/>
  <c r="O19"/>
  <c r="O17"/>
  <c r="O15"/>
  <c r="O13"/>
  <c r="O11"/>
  <c r="O9"/>
  <c r="O7"/>
  <c r="O5"/>
  <c r="O43" i="229"/>
  <c r="O41"/>
  <c r="J41"/>
  <c r="O39"/>
  <c r="O37"/>
  <c r="J37"/>
  <c r="N37"/>
  <c r="O35"/>
  <c r="O33"/>
  <c r="O31"/>
  <c r="O29"/>
  <c r="O27"/>
  <c r="O25"/>
  <c r="O23"/>
  <c r="O21"/>
  <c r="O19"/>
  <c r="O17"/>
  <c r="O15"/>
  <c r="O13"/>
  <c r="O11"/>
  <c r="O9"/>
  <c r="O7"/>
  <c r="O5"/>
  <c r="J5"/>
  <c r="O35" i="140"/>
  <c r="O33"/>
  <c r="J33"/>
  <c r="O31"/>
  <c r="O29"/>
  <c r="J29"/>
  <c r="O27"/>
  <c r="O25"/>
  <c r="J25"/>
  <c r="O23"/>
  <c r="O21"/>
  <c r="J21"/>
  <c r="O19"/>
  <c r="O17"/>
  <c r="O15"/>
  <c r="O13"/>
  <c r="O11"/>
  <c r="O9"/>
  <c r="O7"/>
  <c r="O5"/>
  <c r="O43" i="221"/>
  <c r="O41"/>
  <c r="J41"/>
  <c r="O39"/>
  <c r="O37"/>
  <c r="J37"/>
  <c r="O35"/>
  <c r="O33"/>
  <c r="J33"/>
  <c r="O31"/>
  <c r="O29"/>
  <c r="J29"/>
  <c r="O27"/>
  <c r="O25"/>
  <c r="O23"/>
  <c r="O21"/>
  <c r="O19"/>
  <c r="O17"/>
  <c r="O15"/>
  <c r="O13"/>
  <c r="J13"/>
  <c r="K13"/>
  <c r="O11"/>
  <c r="O9"/>
  <c r="J9"/>
  <c r="O7"/>
  <c r="O5"/>
  <c r="O27" i="68"/>
  <c r="O25"/>
  <c r="O23"/>
  <c r="O21"/>
  <c r="O19"/>
  <c r="O17"/>
  <c r="O15"/>
  <c r="O13"/>
  <c r="O11"/>
  <c r="O9"/>
  <c r="O7"/>
  <c r="O29" i="191"/>
  <c r="O27"/>
  <c r="J27"/>
  <c r="N27"/>
  <c r="O25"/>
  <c r="J25"/>
  <c r="O23"/>
  <c r="J23"/>
  <c r="O21"/>
  <c r="J21"/>
  <c r="O19"/>
  <c r="J19"/>
  <c r="O17"/>
  <c r="J17"/>
  <c r="O15"/>
  <c r="O13"/>
  <c r="O11"/>
  <c r="O9"/>
  <c r="J9"/>
  <c r="O7"/>
  <c r="J7"/>
  <c r="O5"/>
  <c r="O38" i="183"/>
  <c r="J38"/>
  <c r="O36"/>
  <c r="O34"/>
  <c r="J34"/>
  <c r="N34"/>
  <c r="O32"/>
  <c r="J32"/>
  <c r="O30"/>
  <c r="O28"/>
  <c r="J28"/>
  <c r="O26"/>
  <c r="J26"/>
  <c r="O24"/>
  <c r="O22"/>
  <c r="J22"/>
  <c r="O20"/>
  <c r="J20"/>
  <c r="O18"/>
  <c r="O16"/>
  <c r="O14"/>
  <c r="J14"/>
  <c r="K14"/>
  <c r="O12"/>
  <c r="O10"/>
  <c r="O8"/>
  <c r="O6"/>
  <c r="O43" i="204"/>
  <c r="J43"/>
  <c r="O41"/>
  <c r="J41"/>
  <c r="O39"/>
  <c r="O37"/>
  <c r="O35"/>
  <c r="O33"/>
  <c r="O31"/>
  <c r="O29"/>
  <c r="J29"/>
  <c r="O27"/>
  <c r="O25"/>
  <c r="J25"/>
  <c r="N25"/>
  <c r="O23"/>
  <c r="J23"/>
  <c r="O21"/>
  <c r="O19"/>
  <c r="J19"/>
  <c r="O17"/>
  <c r="O15"/>
  <c r="J15"/>
  <c r="O13"/>
  <c r="J13"/>
  <c r="O11"/>
  <c r="O9"/>
  <c r="O7"/>
  <c r="O5"/>
  <c r="J5"/>
  <c r="O45" i="18"/>
  <c r="J45"/>
  <c r="O43"/>
  <c r="O41"/>
  <c r="O39"/>
  <c r="J39"/>
  <c r="N39"/>
  <c r="O37"/>
  <c r="J37"/>
  <c r="O35"/>
  <c r="J35"/>
  <c r="O33"/>
  <c r="J33"/>
  <c r="O31"/>
  <c r="J31"/>
  <c r="K31"/>
  <c r="O29"/>
  <c r="J29"/>
  <c r="O27"/>
  <c r="O25"/>
  <c r="O23"/>
  <c r="J23"/>
  <c r="O21"/>
  <c r="J21"/>
  <c r="N21"/>
  <c r="O19"/>
  <c r="J19"/>
  <c r="O17"/>
  <c r="O15"/>
  <c r="J15"/>
  <c r="K15"/>
  <c r="O13"/>
  <c r="J13"/>
  <c r="N13"/>
  <c r="O11"/>
  <c r="J11"/>
  <c r="O9"/>
  <c r="O7"/>
  <c r="O5"/>
  <c r="O37" i="113"/>
  <c r="J37"/>
  <c r="O35"/>
  <c r="O33"/>
  <c r="O31"/>
  <c r="J31"/>
  <c r="O29"/>
  <c r="J29"/>
  <c r="O27"/>
  <c r="O25"/>
  <c r="J25"/>
  <c r="O23"/>
  <c r="J23"/>
  <c r="O21"/>
  <c r="J21"/>
  <c r="O19"/>
  <c r="O17"/>
  <c r="O15"/>
  <c r="O13"/>
  <c r="J13"/>
  <c r="N13"/>
  <c r="O11"/>
  <c r="J11"/>
  <c r="O9"/>
  <c r="J9"/>
  <c r="O7"/>
  <c r="J7"/>
  <c r="O5"/>
  <c r="J5"/>
  <c r="O45" i="179"/>
  <c r="J45"/>
  <c r="O43"/>
  <c r="O41"/>
  <c r="J41"/>
  <c r="N41"/>
  <c r="O39"/>
  <c r="O37"/>
  <c r="J37"/>
  <c r="N37"/>
  <c r="O35"/>
  <c r="O33"/>
  <c r="O31"/>
  <c r="O29"/>
  <c r="J29"/>
  <c r="N29"/>
  <c r="O27"/>
  <c r="O25"/>
  <c r="O23"/>
  <c r="J23"/>
  <c r="O21"/>
  <c r="J21"/>
  <c r="O19"/>
  <c r="O17"/>
  <c r="O15"/>
  <c r="O13"/>
  <c r="J13"/>
  <c r="O11"/>
  <c r="J11"/>
  <c r="O9"/>
  <c r="J9"/>
  <c r="O7"/>
  <c r="O5"/>
  <c r="O41" i="2"/>
  <c r="O39"/>
  <c r="J39"/>
  <c r="O37"/>
  <c r="O35"/>
  <c r="J35"/>
  <c r="O33"/>
  <c r="O31"/>
  <c r="J31"/>
  <c r="O29"/>
  <c r="O27"/>
  <c r="J27"/>
  <c r="O25"/>
  <c r="O23"/>
  <c r="J23"/>
  <c r="O21"/>
  <c r="O19"/>
  <c r="O17"/>
  <c r="O15"/>
  <c r="J15"/>
  <c r="O13"/>
  <c r="O11"/>
  <c r="O9"/>
  <c r="O7"/>
  <c r="J7"/>
  <c r="O5"/>
  <c r="O43" i="65"/>
  <c r="O41"/>
  <c r="O39"/>
  <c r="J39"/>
  <c r="O37"/>
  <c r="O35"/>
  <c r="O33"/>
  <c r="J33"/>
  <c r="O31"/>
  <c r="O29"/>
  <c r="J29"/>
  <c r="O27"/>
  <c r="O25"/>
  <c r="J25"/>
  <c r="O23"/>
  <c r="O21"/>
  <c r="J21"/>
  <c r="N21"/>
  <c r="O19"/>
  <c r="O17"/>
  <c r="O15"/>
  <c r="J15"/>
  <c r="O13"/>
  <c r="O11"/>
  <c r="O9"/>
  <c r="J9"/>
  <c r="N9"/>
  <c r="O7"/>
  <c r="J7"/>
  <c r="O5"/>
  <c r="J5"/>
  <c r="O45" i="209"/>
  <c r="O43"/>
  <c r="J43"/>
  <c r="O41"/>
  <c r="O39"/>
  <c r="O37"/>
  <c r="J37"/>
  <c r="O35"/>
  <c r="J35"/>
  <c r="K35"/>
  <c r="O33"/>
  <c r="J33"/>
  <c r="O31"/>
  <c r="J31"/>
  <c r="O29"/>
  <c r="O27"/>
  <c r="O25"/>
  <c r="J25"/>
  <c r="K25"/>
  <c r="O23"/>
  <c r="O21"/>
  <c r="O19"/>
  <c r="O17"/>
  <c r="J17"/>
  <c r="O15"/>
  <c r="J15"/>
  <c r="O13"/>
  <c r="O11"/>
  <c r="O9"/>
  <c r="J9"/>
  <c r="O7"/>
  <c r="J7"/>
  <c r="O5"/>
  <c r="O45" i="210"/>
  <c r="O41" i="60"/>
  <c r="O39"/>
  <c r="J39"/>
  <c r="O37"/>
  <c r="J37"/>
  <c r="O35"/>
  <c r="O33"/>
  <c r="J33"/>
  <c r="N33"/>
  <c r="O31"/>
  <c r="O29"/>
  <c r="J29"/>
  <c r="O27"/>
  <c r="O25"/>
  <c r="J25"/>
  <c r="O23"/>
  <c r="O21"/>
  <c r="J21"/>
  <c r="N21"/>
  <c r="O19"/>
  <c r="J19"/>
  <c r="O17"/>
  <c r="O15"/>
  <c r="J15"/>
  <c r="K15"/>
  <c r="O13"/>
  <c r="J13"/>
  <c r="O11"/>
  <c r="O9"/>
  <c r="O7"/>
  <c r="J7"/>
  <c r="N7"/>
  <c r="O39" i="79"/>
  <c r="O37"/>
  <c r="O35"/>
  <c r="J35"/>
  <c r="O33"/>
  <c r="J33"/>
  <c r="O31"/>
  <c r="J31"/>
  <c r="O29"/>
  <c r="J29"/>
  <c r="O27"/>
  <c r="J27"/>
  <c r="K27"/>
  <c r="O25"/>
  <c r="J25"/>
  <c r="O23"/>
  <c r="O21"/>
  <c r="J21"/>
  <c r="N21"/>
  <c r="O19"/>
  <c r="J19"/>
  <c r="O17"/>
  <c r="J17"/>
  <c r="O15"/>
  <c r="J15"/>
  <c r="O13"/>
  <c r="J13"/>
  <c r="O11"/>
  <c r="J11"/>
  <c r="O9"/>
  <c r="J9"/>
  <c r="O7"/>
  <c r="O5"/>
  <c r="O39" i="188"/>
  <c r="O37"/>
  <c r="J37"/>
  <c r="O35"/>
  <c r="J35"/>
  <c r="O33"/>
  <c r="J33"/>
  <c r="N33"/>
  <c r="O31"/>
  <c r="J31"/>
  <c r="O29"/>
  <c r="J29"/>
  <c r="O27"/>
  <c r="O25"/>
  <c r="O23"/>
  <c r="O21"/>
  <c r="J21"/>
  <c r="O19"/>
  <c r="J19"/>
  <c r="N19"/>
  <c r="O17"/>
  <c r="J17"/>
  <c r="N17"/>
  <c r="O15"/>
  <c r="O13"/>
  <c r="O11"/>
  <c r="J11"/>
  <c r="O9"/>
  <c r="J9"/>
  <c r="O7"/>
  <c r="O5"/>
  <c r="J5"/>
  <c r="O45" i="69"/>
  <c r="O43"/>
  <c r="J43"/>
  <c r="K43"/>
  <c r="O41"/>
  <c r="J41"/>
  <c r="O39"/>
  <c r="O37"/>
  <c r="O35"/>
  <c r="O33"/>
  <c r="J33"/>
  <c r="K33"/>
  <c r="O31"/>
  <c r="O29"/>
  <c r="O27"/>
  <c r="J27"/>
  <c r="O25"/>
  <c r="O23"/>
  <c r="J23"/>
  <c r="O21"/>
  <c r="J21"/>
  <c r="K21"/>
  <c r="O19"/>
  <c r="J19"/>
  <c r="O17"/>
  <c r="J17"/>
  <c r="O15"/>
  <c r="O13"/>
  <c r="O11"/>
  <c r="J11"/>
  <c r="O9"/>
  <c r="J9"/>
  <c r="O7"/>
  <c r="J7"/>
  <c r="O5"/>
  <c r="O37" i="88"/>
  <c r="O35"/>
  <c r="J35"/>
  <c r="O33"/>
  <c r="O31"/>
  <c r="J31"/>
  <c r="O29"/>
  <c r="O27"/>
  <c r="J27"/>
  <c r="O25"/>
  <c r="O23"/>
  <c r="O21"/>
  <c r="J21"/>
  <c r="O19"/>
  <c r="J19"/>
  <c r="O17"/>
  <c r="O15"/>
  <c r="J15"/>
  <c r="O13"/>
  <c r="O11"/>
  <c r="J11"/>
  <c r="O9"/>
  <c r="O7"/>
  <c r="O5"/>
  <c r="O43" i="5"/>
  <c r="J43"/>
  <c r="O41"/>
  <c r="J41"/>
  <c r="O39"/>
  <c r="J39"/>
  <c r="O37"/>
  <c r="O35"/>
  <c r="J35"/>
  <c r="O33"/>
  <c r="O31"/>
  <c r="O29"/>
  <c r="O27"/>
  <c r="O25"/>
  <c r="O23"/>
  <c r="J23"/>
  <c r="O21"/>
  <c r="J21"/>
  <c r="K21"/>
  <c r="O19"/>
  <c r="O17"/>
  <c r="J17"/>
  <c r="O15"/>
  <c r="O13"/>
  <c r="J13"/>
  <c r="O11"/>
  <c r="J11"/>
  <c r="O9"/>
  <c r="J9"/>
  <c r="O7"/>
  <c r="O5"/>
  <c r="O27" i="126"/>
  <c r="O25"/>
  <c r="J25"/>
  <c r="O23"/>
  <c r="J23"/>
  <c r="O21"/>
  <c r="J21"/>
  <c r="O19"/>
  <c r="O17"/>
  <c r="J17"/>
  <c r="O15"/>
  <c r="J15"/>
  <c r="O13"/>
  <c r="J13"/>
  <c r="K13"/>
  <c r="O11"/>
  <c r="O9"/>
  <c r="O7"/>
  <c r="J7"/>
  <c r="O5"/>
  <c r="J5"/>
  <c r="O37" i="199"/>
  <c r="O35"/>
  <c r="O33"/>
  <c r="J33"/>
  <c r="O31"/>
  <c r="J31"/>
  <c r="O29"/>
  <c r="O27"/>
  <c r="J27"/>
  <c r="O25"/>
  <c r="J25"/>
  <c r="N25"/>
  <c r="O23"/>
  <c r="J23"/>
  <c r="O21"/>
  <c r="O19"/>
  <c r="J19"/>
  <c r="O17"/>
  <c r="O15"/>
  <c r="J15"/>
  <c r="O13"/>
  <c r="O11"/>
  <c r="O9"/>
  <c r="J9"/>
  <c r="O7"/>
  <c r="J7"/>
  <c r="O5"/>
  <c r="O23" i="184"/>
  <c r="O21"/>
  <c r="O19"/>
  <c r="O17"/>
  <c r="J17"/>
  <c r="O15"/>
  <c r="J15"/>
  <c r="O13"/>
  <c r="J13"/>
  <c r="O11"/>
  <c r="J11"/>
  <c r="O9"/>
  <c r="J9"/>
  <c r="O7"/>
  <c r="O5"/>
  <c r="J5"/>
  <c r="O37" i="57"/>
  <c r="O35"/>
  <c r="J35"/>
  <c r="O33"/>
  <c r="J33"/>
  <c r="O31"/>
  <c r="O29"/>
  <c r="O27"/>
  <c r="J27"/>
  <c r="O25"/>
  <c r="J25"/>
  <c r="O23"/>
  <c r="J23"/>
  <c r="O21"/>
  <c r="J21"/>
  <c r="O19"/>
  <c r="O17"/>
  <c r="J17"/>
  <c r="O15"/>
  <c r="J15"/>
  <c r="N15"/>
  <c r="O13"/>
  <c r="J13"/>
  <c r="K13"/>
  <c r="O11"/>
  <c r="J11"/>
  <c r="O9"/>
  <c r="O7"/>
  <c r="J7"/>
  <c r="O5"/>
  <c r="J5"/>
  <c r="O30" i="109"/>
  <c r="J30"/>
  <c r="K30"/>
  <c r="O28"/>
  <c r="J28"/>
  <c r="O26"/>
  <c r="O24"/>
  <c r="O22"/>
  <c r="J22"/>
  <c r="O20"/>
  <c r="J20"/>
  <c r="O18"/>
  <c r="J18"/>
  <c r="O16"/>
  <c r="J16"/>
  <c r="O14"/>
  <c r="O12"/>
  <c r="J12"/>
  <c r="O10"/>
  <c r="J10"/>
  <c r="O8"/>
  <c r="O6"/>
  <c r="O37" i="96"/>
  <c r="J37"/>
  <c r="O35"/>
  <c r="J35"/>
  <c r="O33"/>
  <c r="J33"/>
  <c r="O31"/>
  <c r="J31"/>
  <c r="O29"/>
  <c r="J29"/>
  <c r="O27"/>
  <c r="O25"/>
  <c r="J25"/>
  <c r="N25"/>
  <c r="O23"/>
  <c r="O21"/>
  <c r="O19"/>
  <c r="J19"/>
  <c r="O17"/>
  <c r="J17"/>
  <c r="O15"/>
  <c r="O13"/>
  <c r="O11"/>
  <c r="J11"/>
  <c r="O9"/>
  <c r="J9"/>
  <c r="O25" i="194"/>
  <c r="O23"/>
  <c r="J23"/>
  <c r="O21"/>
  <c r="J21"/>
  <c r="K21"/>
  <c r="O19"/>
  <c r="J19"/>
  <c r="O17"/>
  <c r="O15"/>
  <c r="J15"/>
  <c r="O13"/>
  <c r="J13"/>
  <c r="O11"/>
  <c r="J11"/>
  <c r="K11"/>
  <c r="O9"/>
  <c r="O7"/>
  <c r="O5"/>
  <c r="J5"/>
  <c r="O33" i="139"/>
  <c r="O31"/>
  <c r="O29"/>
  <c r="O27"/>
  <c r="J27"/>
  <c r="K27"/>
  <c r="O25"/>
  <c r="J25"/>
  <c r="O23"/>
  <c r="J23"/>
  <c r="O21"/>
  <c r="J21"/>
  <c r="O19"/>
  <c r="O17"/>
  <c r="O15"/>
  <c r="J15"/>
  <c r="O13"/>
  <c r="O11"/>
  <c r="J11"/>
  <c r="O9"/>
  <c r="O7"/>
  <c r="O5"/>
  <c r="O41" i="205"/>
  <c r="J41"/>
  <c r="O39"/>
  <c r="J39"/>
  <c r="O37"/>
  <c r="J37"/>
  <c r="O35"/>
  <c r="J35"/>
  <c r="O33"/>
  <c r="J33"/>
  <c r="O31"/>
  <c r="O29"/>
  <c r="J29"/>
  <c r="K29"/>
  <c r="O27"/>
  <c r="J27"/>
  <c r="N27"/>
  <c r="O25"/>
  <c r="J25"/>
  <c r="O23"/>
  <c r="J23"/>
  <c r="O21"/>
  <c r="O19"/>
  <c r="J19"/>
  <c r="O17"/>
  <c r="O15"/>
  <c r="J15"/>
  <c r="O13"/>
  <c r="J13"/>
  <c r="O11"/>
  <c r="J11"/>
  <c r="O9"/>
  <c r="O7"/>
  <c r="J7"/>
  <c r="O5"/>
  <c r="J5"/>
  <c r="O41" i="233"/>
  <c r="J41"/>
  <c r="N41"/>
  <c r="O39"/>
  <c r="J39"/>
  <c r="O37"/>
  <c r="J37"/>
  <c r="O35"/>
  <c r="J35"/>
  <c r="N35"/>
  <c r="O33"/>
  <c r="O31"/>
  <c r="O29"/>
  <c r="J29"/>
  <c r="O27"/>
  <c r="J27"/>
  <c r="K27"/>
  <c r="O25"/>
  <c r="O23"/>
  <c r="J23"/>
  <c r="O21"/>
  <c r="O19"/>
  <c r="J19"/>
  <c r="O17"/>
  <c r="O15"/>
  <c r="J15"/>
  <c r="O13"/>
  <c r="J13"/>
  <c r="O11"/>
  <c r="J11"/>
  <c r="O9"/>
  <c r="J9"/>
  <c r="O7"/>
  <c r="O5"/>
  <c r="J5"/>
  <c r="O37" i="72"/>
  <c r="J37"/>
  <c r="O35"/>
  <c r="J35"/>
  <c r="O33"/>
  <c r="J33"/>
  <c r="O31"/>
  <c r="J31"/>
  <c r="O29"/>
  <c r="O27"/>
  <c r="O25"/>
  <c r="J25"/>
  <c r="N25"/>
  <c r="O23"/>
  <c r="J23"/>
  <c r="K23"/>
  <c r="O21"/>
  <c r="O19"/>
  <c r="J19"/>
  <c r="N19"/>
  <c r="O17"/>
  <c r="O15"/>
  <c r="J15"/>
  <c r="O13"/>
  <c r="J13"/>
  <c r="O11"/>
  <c r="J11"/>
  <c r="O9"/>
  <c r="J9"/>
  <c r="O7"/>
  <c r="J7"/>
  <c r="O5"/>
  <c r="J5"/>
  <c r="O35" i="98"/>
  <c r="O33"/>
  <c r="O31"/>
  <c r="J31"/>
  <c r="O29"/>
  <c r="J29"/>
  <c r="O27"/>
  <c r="O25"/>
  <c r="J25"/>
  <c r="O23"/>
  <c r="J23"/>
  <c r="O21"/>
  <c r="J21"/>
  <c r="O19"/>
  <c r="O17"/>
  <c r="J17"/>
  <c r="O15"/>
  <c r="J15"/>
  <c r="O13"/>
  <c r="O11"/>
  <c r="O9"/>
  <c r="J9"/>
  <c r="K9"/>
  <c r="O7"/>
  <c r="O5"/>
  <c r="J5"/>
  <c r="O43" i="47"/>
  <c r="O41"/>
  <c r="O39"/>
  <c r="O37"/>
  <c r="O35"/>
  <c r="O33"/>
  <c r="J33"/>
  <c r="K33"/>
  <c r="O31"/>
  <c r="J31"/>
  <c r="O29"/>
  <c r="O27"/>
  <c r="J27"/>
  <c r="O25"/>
  <c r="J25"/>
  <c r="O23"/>
  <c r="O21"/>
  <c r="O19"/>
  <c r="O17"/>
  <c r="J17"/>
  <c r="K17"/>
  <c r="O15"/>
  <c r="O13"/>
  <c r="O11"/>
  <c r="O7"/>
  <c r="J7"/>
  <c r="O33" i="124"/>
  <c r="O31"/>
  <c r="J31"/>
  <c r="O29"/>
  <c r="J29"/>
  <c r="O27"/>
  <c r="J27"/>
  <c r="O25"/>
  <c r="O23"/>
  <c r="J23"/>
  <c r="O21"/>
  <c r="O19"/>
  <c r="J19"/>
  <c r="O17"/>
  <c r="J17"/>
  <c r="O15"/>
  <c r="J15"/>
  <c r="K15"/>
  <c r="O13"/>
  <c r="J13"/>
  <c r="O11"/>
  <c r="O9"/>
  <c r="J9"/>
  <c r="O7"/>
  <c r="O5"/>
  <c r="J5"/>
  <c r="N5"/>
  <c r="O37" i="14"/>
  <c r="O35"/>
  <c r="J35"/>
  <c r="O33"/>
  <c r="J33"/>
  <c r="O31"/>
  <c r="O29"/>
  <c r="O27"/>
  <c r="J27"/>
  <c r="O25"/>
  <c r="O23"/>
  <c r="O21"/>
  <c r="O19"/>
  <c r="J19"/>
  <c r="O17"/>
  <c r="O15"/>
  <c r="J15"/>
  <c r="O13"/>
  <c r="J13"/>
  <c r="K13"/>
  <c r="O11"/>
  <c r="J11"/>
  <c r="O9"/>
  <c r="J9"/>
  <c r="O7"/>
  <c r="J7"/>
  <c r="O5"/>
  <c r="O41" i="241"/>
  <c r="O39"/>
  <c r="J39"/>
  <c r="O37"/>
  <c r="J37"/>
  <c r="O35"/>
  <c r="J35"/>
  <c r="O33"/>
  <c r="O31"/>
  <c r="J31"/>
  <c r="O29"/>
  <c r="O27"/>
  <c r="O25"/>
  <c r="O23"/>
  <c r="J23"/>
  <c r="K23"/>
  <c r="O21"/>
  <c r="J21"/>
  <c r="O19"/>
  <c r="O17"/>
  <c r="J17"/>
  <c r="O15"/>
  <c r="O13"/>
  <c r="J13"/>
  <c r="N13"/>
  <c r="O11"/>
  <c r="J11"/>
  <c r="K11"/>
  <c r="O9"/>
  <c r="J9"/>
  <c r="O7"/>
  <c r="J7"/>
  <c r="O5"/>
  <c r="J5"/>
  <c r="O31" i="214"/>
  <c r="J31"/>
  <c r="O29"/>
  <c r="J29"/>
  <c r="O27"/>
  <c r="O25"/>
  <c r="J25"/>
  <c r="O23"/>
  <c r="J23"/>
  <c r="O21"/>
  <c r="J21"/>
  <c r="N21"/>
  <c r="O19"/>
  <c r="O17"/>
  <c r="O15"/>
  <c r="J15"/>
  <c r="O13"/>
  <c r="J13"/>
  <c r="N13"/>
  <c r="O11"/>
  <c r="O9"/>
  <c r="J9"/>
  <c r="N9"/>
  <c r="O7"/>
  <c r="J7"/>
  <c r="N7"/>
  <c r="O5"/>
  <c r="J5"/>
  <c r="O31" i="32"/>
  <c r="O29"/>
  <c r="J29"/>
  <c r="N29"/>
  <c r="O27"/>
  <c r="J27"/>
  <c r="K27"/>
  <c r="O25"/>
  <c r="O23"/>
  <c r="O21"/>
  <c r="O19"/>
  <c r="O17"/>
  <c r="O15"/>
  <c r="O13"/>
  <c r="O11"/>
  <c r="J11"/>
  <c r="O9"/>
  <c r="J9"/>
  <c r="O7"/>
  <c r="J7"/>
  <c r="N7"/>
  <c r="O5"/>
  <c r="O41" i="31"/>
  <c r="J41"/>
  <c r="O39"/>
  <c r="O37"/>
  <c r="J37"/>
  <c r="K37"/>
  <c r="O35"/>
  <c r="O33"/>
  <c r="J33"/>
  <c r="O31"/>
  <c r="O29"/>
  <c r="J29"/>
  <c r="O27"/>
  <c r="O25"/>
  <c r="J25"/>
  <c r="O23"/>
  <c r="O21"/>
  <c r="J21"/>
  <c r="O19"/>
  <c r="J19"/>
  <c r="O17"/>
  <c r="J17"/>
  <c r="N17"/>
  <c r="O15"/>
  <c r="O13"/>
  <c r="J13"/>
  <c r="N13"/>
  <c r="O11"/>
  <c r="J11"/>
  <c r="O9"/>
  <c r="J9"/>
  <c r="O7"/>
  <c r="O5"/>
  <c r="J5"/>
  <c r="O33" i="125"/>
  <c r="J33"/>
  <c r="O31"/>
  <c r="J31"/>
  <c r="O29"/>
  <c r="O27"/>
  <c r="J27"/>
  <c r="K27"/>
  <c r="O25"/>
  <c r="J25"/>
  <c r="N25"/>
  <c r="O23"/>
  <c r="J23"/>
  <c r="O21"/>
  <c r="J21"/>
  <c r="O19"/>
  <c r="J19"/>
  <c r="O17"/>
  <c r="J17"/>
  <c r="K17"/>
  <c r="O15"/>
  <c r="O13"/>
  <c r="O11"/>
  <c r="J11"/>
  <c r="O9"/>
  <c r="J9"/>
  <c r="O7"/>
  <c r="J7"/>
  <c r="K7"/>
  <c r="O5"/>
  <c r="O31" i="42"/>
  <c r="J31"/>
  <c r="O29"/>
  <c r="O27"/>
  <c r="O25"/>
  <c r="J25"/>
  <c r="N25"/>
  <c r="O23"/>
  <c r="J23"/>
  <c r="O21"/>
  <c r="J21"/>
  <c r="O19"/>
  <c r="J19"/>
  <c r="O17"/>
  <c r="O15"/>
  <c r="J15"/>
  <c r="N15"/>
  <c r="O13"/>
  <c r="J13"/>
  <c r="N13"/>
  <c r="O11"/>
  <c r="J11"/>
  <c r="K11"/>
  <c r="O9"/>
  <c r="J9"/>
  <c r="O7"/>
  <c r="J7"/>
  <c r="O5"/>
  <c r="O24" i="190"/>
  <c r="O22"/>
  <c r="J22"/>
  <c r="K22"/>
  <c r="O20"/>
  <c r="O18"/>
  <c r="O16"/>
  <c r="J16"/>
  <c r="O14"/>
  <c r="O12"/>
  <c r="J12"/>
  <c r="O10"/>
  <c r="O8"/>
  <c r="O6"/>
  <c r="O45" i="41"/>
  <c r="J45"/>
  <c r="O43"/>
  <c r="O41"/>
  <c r="J41"/>
  <c r="O39"/>
  <c r="J39"/>
  <c r="K39"/>
  <c r="O37"/>
  <c r="O35"/>
  <c r="O33"/>
  <c r="J33"/>
  <c r="O31"/>
  <c r="J31"/>
  <c r="N31"/>
  <c r="O29"/>
  <c r="J29"/>
  <c r="N29"/>
  <c r="O27"/>
  <c r="O25"/>
  <c r="J25"/>
  <c r="N25"/>
  <c r="O23"/>
  <c r="O21"/>
  <c r="J21"/>
  <c r="K21"/>
  <c r="O19"/>
  <c r="J19"/>
  <c r="K19"/>
  <c r="O17"/>
  <c r="J17"/>
  <c r="O15"/>
  <c r="O13"/>
  <c r="J13"/>
  <c r="O11"/>
  <c r="J11"/>
  <c r="O9"/>
  <c r="J9"/>
  <c r="O7"/>
  <c r="J7"/>
  <c r="O5"/>
  <c r="J5"/>
  <c r="O43" i="74"/>
  <c r="O41"/>
  <c r="J41"/>
  <c r="N41"/>
  <c r="O39"/>
  <c r="J39"/>
  <c r="K39"/>
  <c r="O37"/>
  <c r="J37"/>
  <c r="K37"/>
  <c r="O35"/>
  <c r="J35"/>
  <c r="K35"/>
  <c r="O33"/>
  <c r="J33"/>
  <c r="O31"/>
  <c r="J31"/>
  <c r="O29"/>
  <c r="O27"/>
  <c r="O25"/>
  <c r="J25"/>
  <c r="K25"/>
  <c r="O23"/>
  <c r="J23"/>
  <c r="N23"/>
  <c r="O21"/>
  <c r="J21"/>
  <c r="O19"/>
  <c r="O17"/>
  <c r="O15"/>
  <c r="J15"/>
  <c r="N15"/>
  <c r="O13"/>
  <c r="J13"/>
  <c r="O11"/>
  <c r="O9"/>
  <c r="O7"/>
  <c r="J7"/>
  <c r="O5"/>
  <c r="J5"/>
  <c r="K5"/>
  <c r="O41" i="178"/>
  <c r="J41"/>
  <c r="N41"/>
  <c r="O39"/>
  <c r="J39"/>
  <c r="K39"/>
  <c r="O37"/>
  <c r="O35"/>
  <c r="J35"/>
  <c r="K35"/>
  <c r="O33"/>
  <c r="J33"/>
  <c r="K33"/>
  <c r="O31"/>
  <c r="J31"/>
  <c r="O29"/>
  <c r="O27"/>
  <c r="J27"/>
  <c r="O25"/>
  <c r="J25"/>
  <c r="O23"/>
  <c r="O21"/>
  <c r="J21"/>
  <c r="O19"/>
  <c r="J19"/>
  <c r="N19"/>
  <c r="O17"/>
  <c r="J17"/>
  <c r="N17"/>
  <c r="O15"/>
  <c r="O13"/>
  <c r="O11"/>
  <c r="O9"/>
  <c r="O7"/>
  <c r="J7"/>
  <c r="O5"/>
  <c r="O45" i="76"/>
  <c r="O43"/>
  <c r="O41"/>
  <c r="O39"/>
  <c r="J39"/>
  <c r="N39"/>
  <c r="O37"/>
  <c r="J37"/>
  <c r="K37"/>
  <c r="O35"/>
  <c r="J35"/>
  <c r="N35"/>
  <c r="O33"/>
  <c r="O31"/>
  <c r="J31"/>
  <c r="K31"/>
  <c r="O29"/>
  <c r="J29"/>
  <c r="O27"/>
  <c r="J27"/>
  <c r="O25"/>
  <c r="O23"/>
  <c r="J23"/>
  <c r="O21"/>
  <c r="J21"/>
  <c r="O19"/>
  <c r="O17"/>
  <c r="J17"/>
  <c r="O15"/>
  <c r="J15"/>
  <c r="O13"/>
  <c r="O11"/>
  <c r="O9"/>
  <c r="J9"/>
  <c r="O7"/>
  <c r="J7"/>
  <c r="O5"/>
  <c r="J5"/>
  <c r="O43" i="197"/>
  <c r="J43"/>
  <c r="O41"/>
  <c r="J41"/>
  <c r="O39"/>
  <c r="O37"/>
  <c r="O35"/>
  <c r="J35"/>
  <c r="N35"/>
  <c r="O33"/>
  <c r="J33"/>
  <c r="O31"/>
  <c r="J31"/>
  <c r="N31"/>
  <c r="O29"/>
  <c r="J29"/>
  <c r="O27"/>
  <c r="O25"/>
  <c r="J25"/>
  <c r="O23"/>
  <c r="J23"/>
  <c r="O21"/>
  <c r="J21"/>
  <c r="O19"/>
  <c r="J19"/>
  <c r="O17"/>
  <c r="J17"/>
  <c r="O15"/>
  <c r="O13"/>
  <c r="O11"/>
  <c r="O9"/>
  <c r="J9"/>
  <c r="N9"/>
  <c r="O7"/>
  <c r="J7"/>
  <c r="O5"/>
  <c r="J5"/>
  <c r="K5"/>
  <c r="O41" i="136"/>
  <c r="J41"/>
  <c r="O39"/>
  <c r="J39"/>
  <c r="O37"/>
  <c r="O35"/>
  <c r="J35"/>
  <c r="O33"/>
  <c r="O31"/>
  <c r="J31"/>
  <c r="K31"/>
  <c r="O29"/>
  <c r="J29"/>
  <c r="K29"/>
  <c r="O27"/>
  <c r="J27"/>
  <c r="K27"/>
  <c r="O25"/>
  <c r="J25"/>
  <c r="O23"/>
  <c r="J23"/>
  <c r="O21"/>
  <c r="O19"/>
  <c r="J19"/>
  <c r="K19"/>
  <c r="O17"/>
  <c r="J17"/>
  <c r="N17"/>
  <c r="O15"/>
  <c r="J15"/>
  <c r="K15"/>
  <c r="O13"/>
  <c r="J13"/>
  <c r="N13"/>
  <c r="O11"/>
  <c r="O9"/>
  <c r="J9"/>
  <c r="N9"/>
  <c r="O7"/>
  <c r="J7"/>
  <c r="K7"/>
  <c r="O5"/>
  <c r="J5"/>
  <c r="O43" i="164"/>
  <c r="J43"/>
  <c r="O41"/>
  <c r="J41"/>
  <c r="O39"/>
  <c r="O37"/>
  <c r="O35"/>
  <c r="J35"/>
  <c r="N35"/>
  <c r="O33"/>
  <c r="J33"/>
  <c r="O31"/>
  <c r="J31"/>
  <c r="O29"/>
  <c r="J29"/>
  <c r="N29"/>
  <c r="O27"/>
  <c r="J27"/>
  <c r="O25"/>
  <c r="J25"/>
  <c r="O23"/>
  <c r="J23"/>
  <c r="O21"/>
  <c r="O19"/>
  <c r="J19"/>
  <c r="N19"/>
  <c r="O17"/>
  <c r="O15"/>
  <c r="J15"/>
  <c r="O13"/>
  <c r="J13"/>
  <c r="O11"/>
  <c r="O9"/>
  <c r="J9"/>
  <c r="O7"/>
  <c r="J7"/>
  <c r="O5"/>
  <c r="J5"/>
  <c r="N5"/>
  <c r="O45" i="101"/>
  <c r="J45"/>
  <c r="O43"/>
  <c r="J43"/>
  <c r="K43"/>
  <c r="O41"/>
  <c r="J41"/>
  <c r="O39"/>
  <c r="J39"/>
  <c r="O37"/>
  <c r="O35"/>
  <c r="J35"/>
  <c r="O33"/>
  <c r="J33"/>
  <c r="O31"/>
  <c r="J31"/>
  <c r="N31"/>
  <c r="O29"/>
  <c r="J29"/>
  <c r="O27"/>
  <c r="J27"/>
  <c r="N27"/>
  <c r="O25"/>
  <c r="O23"/>
  <c r="J23"/>
  <c r="O21"/>
  <c r="O19"/>
  <c r="J19"/>
  <c r="N19"/>
  <c r="O17"/>
  <c r="J17"/>
  <c r="O15"/>
  <c r="J15"/>
  <c r="O13"/>
  <c r="J13"/>
  <c r="O11"/>
  <c r="J11"/>
  <c r="O9"/>
  <c r="O7"/>
  <c r="J7"/>
  <c r="O5"/>
  <c r="J5"/>
  <c r="O43" i="137"/>
  <c r="J43"/>
  <c r="K43"/>
  <c r="O41"/>
  <c r="O39"/>
  <c r="J39"/>
  <c r="O37"/>
  <c r="J37"/>
  <c r="O35"/>
  <c r="O33"/>
  <c r="J33"/>
  <c r="K33"/>
  <c r="O31"/>
  <c r="J31"/>
  <c r="O29"/>
  <c r="O27"/>
  <c r="O25"/>
  <c r="J25"/>
  <c r="O23"/>
  <c r="J23"/>
  <c r="O21"/>
  <c r="O19"/>
  <c r="J19"/>
  <c r="N19"/>
  <c r="O17"/>
  <c r="J17"/>
  <c r="N17"/>
  <c r="O15"/>
  <c r="J15"/>
  <c r="K15"/>
  <c r="O13"/>
  <c r="J13"/>
  <c r="O11"/>
  <c r="O9"/>
  <c r="J9"/>
  <c r="O7"/>
  <c r="J7"/>
  <c r="N7"/>
  <c r="O5"/>
  <c r="J5"/>
  <c r="K5"/>
  <c r="O43" i="146"/>
  <c r="O41"/>
  <c r="O39"/>
  <c r="J39"/>
  <c r="O37"/>
  <c r="J37"/>
  <c r="K37"/>
  <c r="O35"/>
  <c r="J35"/>
  <c r="K35"/>
  <c r="O33"/>
  <c r="O31"/>
  <c r="O29"/>
  <c r="O27"/>
  <c r="J27"/>
  <c r="N27"/>
  <c r="O25"/>
  <c r="J25"/>
  <c r="O23"/>
  <c r="O21"/>
  <c r="J21"/>
  <c r="O19"/>
  <c r="J19"/>
  <c r="O17"/>
  <c r="O15"/>
  <c r="J15"/>
  <c r="O13"/>
  <c r="J13"/>
  <c r="N13"/>
  <c r="O11"/>
  <c r="J11"/>
  <c r="K11"/>
  <c r="O9"/>
  <c r="J9"/>
  <c r="O7"/>
  <c r="O5"/>
  <c r="J5"/>
  <c r="N5"/>
  <c r="O27" i="237"/>
  <c r="J27"/>
  <c r="O25"/>
  <c r="O23"/>
  <c r="J23"/>
  <c r="O21"/>
  <c r="O19"/>
  <c r="J19"/>
  <c r="N19"/>
  <c r="O17"/>
  <c r="J17"/>
  <c r="O15"/>
  <c r="O13"/>
  <c r="J13"/>
  <c r="O11"/>
  <c r="J11"/>
  <c r="O9"/>
  <c r="O7"/>
  <c r="J7"/>
  <c r="O5"/>
  <c r="J5"/>
  <c r="O45" i="220"/>
  <c r="O43"/>
  <c r="J43"/>
  <c r="N43"/>
  <c r="O41"/>
  <c r="J41"/>
  <c r="O39"/>
  <c r="J39"/>
  <c r="O37"/>
  <c r="J37"/>
  <c r="O35"/>
  <c r="J35"/>
  <c r="O33"/>
  <c r="O31"/>
  <c r="J31"/>
  <c r="K31"/>
  <c r="O29"/>
  <c r="J29"/>
  <c r="O27"/>
  <c r="O25"/>
  <c r="J25"/>
  <c r="O23"/>
  <c r="O21"/>
  <c r="J21"/>
  <c r="K21"/>
  <c r="O19"/>
  <c r="J19"/>
  <c r="O17"/>
  <c r="J17"/>
  <c r="K17"/>
  <c r="O15"/>
  <c r="J15"/>
  <c r="N15"/>
  <c r="O13"/>
  <c r="O11"/>
  <c r="O9"/>
  <c r="O7"/>
  <c r="J7"/>
  <c r="O26" i="30"/>
  <c r="J26"/>
  <c r="O24"/>
  <c r="O22"/>
  <c r="J22"/>
  <c r="O20"/>
  <c r="J20"/>
  <c r="O18"/>
  <c r="O16"/>
  <c r="J16"/>
  <c r="K16"/>
  <c r="O14"/>
  <c r="J14"/>
  <c r="K14"/>
  <c r="O12"/>
  <c r="J12"/>
  <c r="O10"/>
  <c r="J10"/>
  <c r="O8"/>
  <c r="J8"/>
  <c r="O6"/>
  <c r="O29" i="93"/>
  <c r="J29"/>
  <c r="O27"/>
  <c r="O25"/>
  <c r="J25"/>
  <c r="K25"/>
  <c r="O23"/>
  <c r="J23"/>
  <c r="O21"/>
  <c r="J21"/>
  <c r="O19"/>
  <c r="J19"/>
  <c r="O17"/>
  <c r="O15"/>
  <c r="J15"/>
  <c r="O13"/>
  <c r="O11"/>
  <c r="J11"/>
  <c r="O9"/>
  <c r="O7"/>
  <c r="J7"/>
  <c r="O5"/>
  <c r="J5"/>
  <c r="N5"/>
  <c r="O43" i="195"/>
  <c r="J43"/>
  <c r="O41"/>
  <c r="J41"/>
  <c r="K41"/>
  <c r="O39"/>
  <c r="J39"/>
  <c r="N39"/>
  <c r="O37"/>
  <c r="J37"/>
  <c r="O35"/>
  <c r="J35"/>
  <c r="O33"/>
  <c r="J33"/>
  <c r="O31"/>
  <c r="O29"/>
  <c r="O27"/>
  <c r="J27"/>
  <c r="K27"/>
  <c r="O25"/>
  <c r="J25"/>
  <c r="O23"/>
  <c r="J23"/>
  <c r="O21"/>
  <c r="J21"/>
  <c r="O19"/>
  <c r="O17"/>
  <c r="J17"/>
  <c r="N17"/>
  <c r="O15"/>
  <c r="O13"/>
  <c r="O11"/>
  <c r="J11"/>
  <c r="O9"/>
  <c r="J9"/>
  <c r="O7"/>
  <c r="O5"/>
  <c r="J5"/>
  <c r="O35" i="232"/>
  <c r="J35"/>
  <c r="O33"/>
  <c r="J33"/>
  <c r="O31"/>
  <c r="J31"/>
  <c r="O29"/>
  <c r="J29"/>
  <c r="K29"/>
  <c r="O27"/>
  <c r="J27"/>
  <c r="O25"/>
  <c r="O23"/>
  <c r="O21"/>
  <c r="J21"/>
  <c r="N21"/>
  <c r="O19"/>
  <c r="O17"/>
  <c r="O15"/>
  <c r="J15"/>
  <c r="O13"/>
  <c r="J13"/>
  <c r="N13"/>
  <c r="O11"/>
  <c r="O9"/>
  <c r="J9"/>
  <c r="N9"/>
  <c r="O7"/>
  <c r="J7"/>
  <c r="O5"/>
  <c r="J5"/>
  <c r="K5"/>
  <c r="O43" i="63"/>
  <c r="O41"/>
  <c r="J41"/>
  <c r="O39"/>
  <c r="O37"/>
  <c r="O35"/>
  <c r="J35"/>
  <c r="O33"/>
  <c r="J33"/>
  <c r="O31"/>
  <c r="O29"/>
  <c r="J29"/>
  <c r="K29"/>
  <c r="O27"/>
  <c r="J27"/>
  <c r="K27"/>
  <c r="O25"/>
  <c r="O23"/>
  <c r="O21"/>
  <c r="J21"/>
  <c r="N21"/>
  <c r="O19"/>
  <c r="J19"/>
  <c r="O17"/>
  <c r="J17"/>
  <c r="N17"/>
  <c r="O15"/>
  <c r="O13"/>
  <c r="J13"/>
  <c r="O11"/>
  <c r="J11"/>
  <c r="K11"/>
  <c r="O9"/>
  <c r="J9"/>
  <c r="O7"/>
  <c r="O5"/>
  <c r="J5"/>
  <c r="O39" i="85"/>
  <c r="J39"/>
  <c r="N39"/>
  <c r="O37"/>
  <c r="J37"/>
  <c r="O35"/>
  <c r="J35"/>
  <c r="K35"/>
  <c r="O33"/>
  <c r="O31"/>
  <c r="J31"/>
  <c r="N31"/>
  <c r="O29"/>
  <c r="J29"/>
  <c r="O27"/>
  <c r="O25"/>
  <c r="O23"/>
  <c r="J23"/>
  <c r="O21"/>
  <c r="J21"/>
  <c r="O19"/>
  <c r="J19"/>
  <c r="K19"/>
  <c r="O17"/>
  <c r="J17"/>
  <c r="K17"/>
  <c r="O15"/>
  <c r="J15"/>
  <c r="O13"/>
  <c r="J13"/>
  <c r="O11"/>
  <c r="O9"/>
  <c r="J9"/>
  <c r="O5"/>
  <c r="J5"/>
  <c r="N5"/>
  <c r="O27" i="25"/>
  <c r="J27"/>
  <c r="O25"/>
  <c r="J25"/>
  <c r="O23"/>
  <c r="J23"/>
  <c r="K23"/>
  <c r="O21"/>
  <c r="J21"/>
  <c r="O19"/>
  <c r="O17"/>
  <c r="J17"/>
  <c r="O15"/>
  <c r="O13"/>
  <c r="J13"/>
  <c r="O11"/>
  <c r="J11"/>
  <c r="O9"/>
  <c r="J9"/>
  <c r="O7"/>
  <c r="J7"/>
  <c r="O5"/>
  <c r="I46" i="41"/>
  <c r="O42" i="214"/>
  <c r="I42"/>
  <c r="J42"/>
  <c r="K42"/>
  <c r="O41"/>
  <c r="I41"/>
  <c r="J41"/>
  <c r="O40"/>
  <c r="I40"/>
  <c r="J40"/>
  <c r="N40"/>
  <c r="O39"/>
  <c r="I39"/>
  <c r="J39"/>
  <c r="O38"/>
  <c r="I38"/>
  <c r="J38"/>
  <c r="O37"/>
  <c r="I37"/>
  <c r="J37"/>
  <c r="O36"/>
  <c r="I36"/>
  <c r="J36"/>
  <c r="O35"/>
  <c r="I35"/>
  <c r="J35"/>
  <c r="K35"/>
  <c r="O34"/>
  <c r="I34"/>
  <c r="J34"/>
  <c r="O33"/>
  <c r="I33"/>
  <c r="J33"/>
  <c r="O32"/>
  <c r="I32"/>
  <c r="J32"/>
  <c r="N32"/>
  <c r="O52" i="209"/>
  <c r="I52"/>
  <c r="J52"/>
  <c r="O51"/>
  <c r="I51"/>
  <c r="J51"/>
  <c r="K51"/>
  <c r="O50"/>
  <c r="I50"/>
  <c r="J50"/>
  <c r="O49"/>
  <c r="I49"/>
  <c r="J49"/>
  <c r="O48"/>
  <c r="I48"/>
  <c r="J48"/>
  <c r="O47"/>
  <c r="I47"/>
  <c r="J47"/>
  <c r="K47"/>
  <c r="O46"/>
  <c r="I46"/>
  <c r="J46"/>
  <c r="K46"/>
  <c r="O44" i="205"/>
  <c r="J44"/>
  <c r="I44"/>
  <c r="O43"/>
  <c r="J43"/>
  <c r="I43"/>
  <c r="N43"/>
  <c r="O42"/>
  <c r="J42"/>
  <c r="I42"/>
  <c r="O43" i="199"/>
  <c r="J43"/>
  <c r="I43"/>
  <c r="O42"/>
  <c r="J42"/>
  <c r="I42"/>
  <c r="K42"/>
  <c r="O41"/>
  <c r="J41"/>
  <c r="I41"/>
  <c r="O40"/>
  <c r="J40"/>
  <c r="I40"/>
  <c r="K40"/>
  <c r="O39"/>
  <c r="J39"/>
  <c r="I39"/>
  <c r="N39"/>
  <c r="O38"/>
  <c r="J38"/>
  <c r="I38"/>
  <c r="K38"/>
  <c r="J7" i="185"/>
  <c r="O45"/>
  <c r="J45"/>
  <c r="O43"/>
  <c r="O41"/>
  <c r="O39"/>
  <c r="O37"/>
  <c r="O35"/>
  <c r="O33"/>
  <c r="O31"/>
  <c r="J31"/>
  <c r="N31"/>
  <c r="O29"/>
  <c r="O27"/>
  <c r="O25"/>
  <c r="O23"/>
  <c r="O21"/>
  <c r="J21"/>
  <c r="O19"/>
  <c r="J19"/>
  <c r="O17"/>
  <c r="J17"/>
  <c r="O15"/>
  <c r="O13"/>
  <c r="O11"/>
  <c r="J11"/>
  <c r="O9"/>
  <c r="J9"/>
  <c r="O7"/>
  <c r="O5"/>
  <c r="O48" i="179"/>
  <c r="I48"/>
  <c r="J48"/>
  <c r="O47"/>
  <c r="I47"/>
  <c r="J47"/>
  <c r="K47"/>
  <c r="O46"/>
  <c r="I46"/>
  <c r="J46"/>
  <c r="O42" i="178"/>
  <c r="I42"/>
  <c r="J42"/>
  <c r="I58" i="2"/>
  <c r="J58"/>
  <c r="K58"/>
  <c r="I57"/>
  <c r="J57"/>
  <c r="I56"/>
  <c r="J56"/>
  <c r="K56"/>
  <c r="I55"/>
  <c r="J55"/>
  <c r="I54"/>
  <c r="J54"/>
  <c r="K54"/>
  <c r="I53"/>
  <c r="J53"/>
  <c r="I52"/>
  <c r="J52"/>
  <c r="K52"/>
  <c r="I51"/>
  <c r="J51"/>
  <c r="I50"/>
  <c r="J50"/>
  <c r="I48"/>
  <c r="J48"/>
  <c r="I46"/>
  <c r="J46"/>
  <c r="I44"/>
  <c r="J44"/>
  <c r="I42"/>
  <c r="J42"/>
  <c r="K42"/>
  <c r="I32" i="32"/>
  <c r="J32"/>
  <c r="I33"/>
  <c r="J33"/>
  <c r="K33"/>
  <c r="I34"/>
  <c r="J34"/>
  <c r="I35"/>
  <c r="J35"/>
  <c r="N35"/>
  <c r="I36"/>
  <c r="J36"/>
  <c r="I37"/>
  <c r="J37"/>
  <c r="N37"/>
  <c r="I38"/>
  <c r="J38"/>
  <c r="I39"/>
  <c r="J39"/>
  <c r="I40"/>
  <c r="J40"/>
  <c r="I41"/>
  <c r="J41"/>
  <c r="K41"/>
  <c r="O32"/>
  <c r="O33"/>
  <c r="O34"/>
  <c r="O35"/>
  <c r="O36"/>
  <c r="O37"/>
  <c r="O38"/>
  <c r="O39"/>
  <c r="O40"/>
  <c r="O41"/>
  <c r="O38" i="96"/>
  <c r="I38"/>
  <c r="J38"/>
  <c r="O40" i="88"/>
  <c r="I40"/>
  <c r="J40"/>
  <c r="K40"/>
  <c r="O39"/>
  <c r="I39"/>
  <c r="J39"/>
  <c r="O38"/>
  <c r="I38"/>
  <c r="J38"/>
  <c r="O44" i="37"/>
  <c r="I44"/>
  <c r="J44"/>
  <c r="N44"/>
  <c r="O58" i="2"/>
  <c r="O57"/>
  <c r="O56"/>
  <c r="O55"/>
  <c r="O54"/>
  <c r="O53"/>
  <c r="O52"/>
  <c r="O51"/>
  <c r="O50"/>
  <c r="O48"/>
  <c r="O46"/>
  <c r="O44"/>
  <c r="O44" i="65"/>
  <c r="I44"/>
  <c r="J44"/>
  <c r="K44"/>
  <c r="O54" i="14"/>
  <c r="I54"/>
  <c r="J54"/>
  <c r="N54"/>
  <c r="O53"/>
  <c r="I53"/>
  <c r="J53"/>
  <c r="K53"/>
  <c r="O52"/>
  <c r="I52"/>
  <c r="J52"/>
  <c r="O51"/>
  <c r="I51"/>
  <c r="J51"/>
  <c r="O50"/>
  <c r="I50"/>
  <c r="J50"/>
  <c r="O49"/>
  <c r="I49"/>
  <c r="J49"/>
  <c r="K49"/>
  <c r="O48"/>
  <c r="I48"/>
  <c r="J48"/>
  <c r="O47"/>
  <c r="I47"/>
  <c r="J47"/>
  <c r="O46"/>
  <c r="I46"/>
  <c r="J46"/>
  <c r="O45"/>
  <c r="I45"/>
  <c r="J45"/>
  <c r="K45"/>
  <c r="O44"/>
  <c r="I44"/>
  <c r="J44"/>
  <c r="K44"/>
  <c r="O43"/>
  <c r="I43"/>
  <c r="J43"/>
  <c r="O42" i="32"/>
  <c r="I42"/>
  <c r="J42"/>
  <c r="O32" i="42"/>
  <c r="I32"/>
  <c r="J32"/>
  <c r="N32"/>
  <c r="J47" i="41"/>
  <c r="O42" i="2"/>
  <c r="O5" i="240"/>
  <c r="O5" i="47"/>
  <c r="O5" i="60"/>
  <c r="K11" i="283"/>
  <c r="N27"/>
  <c r="N26" i="303"/>
  <c r="K15" i="347"/>
  <c r="N21" i="346"/>
  <c r="K5"/>
  <c r="N27" i="348"/>
  <c r="N29" i="333"/>
  <c r="N13" i="332"/>
  <c r="K25" i="345"/>
  <c r="N25"/>
  <c r="K19" i="252"/>
  <c r="K9" i="273"/>
  <c r="K19" i="278"/>
  <c r="K31" i="290"/>
  <c r="N31"/>
  <c r="K25" i="292"/>
  <c r="K27" i="305"/>
  <c r="N27"/>
  <c r="N19" i="297"/>
  <c r="N25" i="294"/>
  <c r="K37" i="245"/>
  <c r="K13" i="333"/>
  <c r="N29" i="282"/>
  <c r="K5" i="240"/>
  <c r="N43" i="245"/>
  <c r="N5" i="346"/>
  <c r="K23" i="294"/>
  <c r="N27" i="285"/>
  <c r="N5" i="240"/>
  <c r="K15" i="282"/>
  <c r="K5" i="299"/>
  <c r="N23" i="294"/>
  <c r="K23" i="287"/>
  <c r="N37"/>
  <c r="N27" i="343"/>
  <c r="K37" i="299"/>
  <c r="K27" i="344"/>
  <c r="K21" i="346"/>
  <c r="K11" i="335"/>
  <c r="N33" i="294"/>
  <c r="N31" i="347"/>
  <c r="K17" i="272"/>
  <c r="N17"/>
  <c r="K27" i="278"/>
  <c r="K7" i="287"/>
  <c r="N35" i="282"/>
  <c r="N39" i="283"/>
  <c r="K21" i="285"/>
  <c r="K31"/>
  <c r="N37"/>
  <c r="N21" i="290"/>
  <c r="K13" i="301"/>
  <c r="K29"/>
  <c r="N39"/>
  <c r="K5" i="305"/>
  <c r="N20" i="307"/>
  <c r="N31" i="309"/>
  <c r="N16" i="253"/>
  <c r="K15" i="285"/>
  <c r="N15"/>
  <c r="N29" i="265"/>
  <c r="K17" i="282"/>
  <c r="K61" i="184"/>
  <c r="N61"/>
  <c r="K39" i="283"/>
  <c r="K21" i="290"/>
  <c r="N21" i="285"/>
  <c r="K43" i="184"/>
  <c r="N43"/>
  <c r="K35" i="282"/>
  <c r="K29" i="285"/>
  <c r="K11" i="74"/>
  <c r="K19" i="98"/>
  <c r="N11" i="260"/>
  <c r="K35" i="283"/>
  <c r="N33" i="285"/>
  <c r="K23" i="292"/>
  <c r="N15" i="294"/>
  <c r="K55" i="184"/>
  <c r="K23" i="313"/>
  <c r="N35" i="324"/>
  <c r="N39" i="240"/>
  <c r="N7" i="309"/>
  <c r="K23"/>
  <c r="N23"/>
  <c r="N29" i="311"/>
  <c r="N39" i="313"/>
  <c r="N8" i="109"/>
  <c r="K7" i="309"/>
  <c r="K35" i="31"/>
  <c r="K39" i="292"/>
  <c r="N77" i="184"/>
  <c r="K13" i="313"/>
  <c r="K15" i="294"/>
  <c r="N35" i="283"/>
  <c r="N51" i="83"/>
  <c r="N45" i="290"/>
  <c r="N21" i="252"/>
  <c r="K5" i="270"/>
  <c r="K35" i="83"/>
  <c r="N5" i="343"/>
  <c r="N21"/>
  <c r="K35" i="344"/>
  <c r="N23" i="347"/>
  <c r="K19" i="348"/>
  <c r="K24" i="342"/>
  <c r="K27" i="343"/>
  <c r="N25" i="344"/>
  <c r="N39" i="311"/>
  <c r="N37" i="245"/>
  <c r="K43"/>
  <c r="N19" i="83"/>
  <c r="K19" i="6"/>
  <c r="N13" i="122"/>
  <c r="K35" i="311"/>
  <c r="N15" i="171"/>
  <c r="N29" i="354"/>
  <c r="N30" i="279"/>
  <c r="N9" i="314"/>
  <c r="K9"/>
  <c r="N19" i="6"/>
  <c r="K19" i="83"/>
  <c r="N35" i="245"/>
  <c r="K7" i="278"/>
  <c r="N19" i="344"/>
  <c r="K71" i="184"/>
  <c r="K27" i="301"/>
  <c r="N21" i="237"/>
  <c r="K42" i="279"/>
  <c r="N42"/>
  <c r="K7" i="272"/>
  <c r="N19" i="348"/>
  <c r="K31" i="273"/>
  <c r="N16" i="279"/>
  <c r="N33" i="311"/>
  <c r="K33"/>
  <c r="K21" i="42"/>
  <c r="K19" i="344"/>
  <c r="N5" i="197"/>
  <c r="N27" i="85"/>
  <c r="K27"/>
  <c r="K37" i="274"/>
  <c r="N23" i="311"/>
  <c r="K23"/>
  <c r="K7" i="347"/>
  <c r="N23" i="72"/>
  <c r="K29" i="346"/>
  <c r="N35" i="344"/>
  <c r="N26" i="279"/>
  <c r="K26"/>
  <c r="N35" i="348"/>
  <c r="K35"/>
  <c r="N15" i="273"/>
  <c r="K23" i="347"/>
  <c r="K25" i="264"/>
  <c r="N20" i="279"/>
  <c r="K5" i="178"/>
  <c r="N5"/>
  <c r="N17" i="171"/>
  <c r="K13" i="352"/>
  <c r="N13"/>
  <c r="N5" i="270"/>
  <c r="N25" i="280"/>
  <c r="K33" i="272"/>
  <c r="K21" i="270"/>
  <c r="N25" i="93"/>
  <c r="N9" i="88"/>
  <c r="N33" i="313"/>
  <c r="N30" i="173"/>
  <c r="N9" i="335"/>
  <c r="K13" i="337"/>
  <c r="K11" i="199"/>
  <c r="K13" i="272"/>
  <c r="N7" i="278"/>
  <c r="N21" i="292"/>
  <c r="N29" i="297"/>
  <c r="N23" i="313"/>
  <c r="K29"/>
  <c r="K9" i="252"/>
  <c r="K15"/>
  <c r="K25" i="260"/>
  <c r="K11" i="262"/>
  <c r="N17"/>
  <c r="N43"/>
  <c r="N23" i="264"/>
  <c r="N29"/>
  <c r="K15" i="336"/>
  <c r="K31" i="337"/>
  <c r="K21" i="260"/>
  <c r="N37"/>
  <c r="K9" i="290"/>
  <c r="N25"/>
  <c r="N41"/>
  <c r="N7" i="307"/>
  <c r="K17" i="311"/>
  <c r="K25" i="42"/>
  <c r="N15" i="41"/>
  <c r="K23" i="317"/>
  <c r="N23" i="290"/>
  <c r="N21" i="305"/>
  <c r="N5" i="194"/>
  <c r="K27" i="272"/>
  <c r="N19" i="273"/>
  <c r="N9" i="274"/>
  <c r="K9" i="297"/>
  <c r="K5" i="309"/>
  <c r="K11" i="245"/>
  <c r="K5" i="297"/>
  <c r="K13" i="252"/>
  <c r="K7" i="310"/>
  <c r="K23"/>
  <c r="N7" i="270"/>
  <c r="N27" i="273"/>
  <c r="K9" i="299"/>
  <c r="N7" i="198"/>
  <c r="N15" i="314"/>
  <c r="N21"/>
  <c r="N7" i="317"/>
  <c r="K17"/>
  <c r="K19" i="178"/>
  <c r="N35"/>
  <c r="N21" i="199"/>
  <c r="K21"/>
  <c r="N23" i="278"/>
  <c r="K23"/>
  <c r="K29"/>
  <c r="N33" i="297"/>
  <c r="K41"/>
  <c r="K41" i="299"/>
  <c r="N41"/>
  <c r="N7" i="301"/>
  <c r="K7"/>
  <c r="N33"/>
  <c r="K43"/>
  <c r="N43"/>
  <c r="N29" i="317"/>
  <c r="K29"/>
  <c r="K17" i="83"/>
  <c r="N17"/>
  <c r="K46"/>
  <c r="N46"/>
  <c r="K33" i="209"/>
  <c r="N33"/>
  <c r="K9" i="270"/>
  <c r="N9"/>
  <c r="K15"/>
  <c r="N15"/>
  <c r="N13" i="273"/>
  <c r="K13"/>
  <c r="N21"/>
  <c r="K21"/>
  <c r="N29"/>
  <c r="K29"/>
  <c r="K27" i="274"/>
  <c r="N27"/>
  <c r="N33"/>
  <c r="K33"/>
  <c r="K43"/>
  <c r="N43"/>
  <c r="K15" i="297"/>
  <c r="N39"/>
  <c r="K39"/>
  <c r="N27" i="299"/>
  <c r="K27"/>
  <c r="K35"/>
  <c r="N13" i="317"/>
  <c r="K13"/>
  <c r="K7" i="330"/>
  <c r="K7" i="46"/>
  <c r="N7"/>
  <c r="K23"/>
  <c r="N23"/>
  <c r="K39"/>
  <c r="N39"/>
  <c r="K19" i="130"/>
  <c r="N19"/>
  <c r="N27" i="332"/>
  <c r="N25" i="335"/>
  <c r="N15" i="337"/>
  <c r="K23" i="205"/>
  <c r="K35" i="5"/>
  <c r="N41" i="65"/>
  <c r="K7" i="297"/>
  <c r="N7"/>
  <c r="N25" i="299"/>
  <c r="K25"/>
  <c r="N33" i="83"/>
  <c r="K33"/>
  <c r="N11" i="332"/>
  <c r="K9" i="344"/>
  <c r="N9"/>
  <c r="N35" i="346"/>
  <c r="K35"/>
  <c r="N13" i="347"/>
  <c r="K13"/>
  <c r="N29"/>
  <c r="K29"/>
  <c r="N9" i="348"/>
  <c r="K9"/>
  <c r="K25"/>
  <c r="N25"/>
  <c r="K41"/>
  <c r="N41"/>
  <c r="N6" i="349"/>
  <c r="N8"/>
  <c r="K19" i="354"/>
  <c r="N19"/>
  <c r="K17" i="335"/>
  <c r="N11" i="333"/>
  <c r="N13" i="272"/>
  <c r="K7" i="237"/>
  <c r="N7"/>
  <c r="K5" i="245"/>
  <c r="N19"/>
  <c r="N15" i="264"/>
  <c r="K9" i="265"/>
  <c r="N9"/>
  <c r="K23"/>
  <c r="N23"/>
  <c r="N39"/>
  <c r="K39"/>
  <c r="N7" i="290"/>
  <c r="K7"/>
  <c r="K5" i="292"/>
  <c r="N11"/>
  <c r="K11"/>
  <c r="K13"/>
  <c r="N13"/>
  <c r="N35"/>
  <c r="K35"/>
  <c r="N43"/>
  <c r="K43"/>
  <c r="N19" i="311"/>
  <c r="K31" i="314"/>
  <c r="N31"/>
  <c r="K41" i="220"/>
  <c r="N9" i="297"/>
  <c r="K35" i="354"/>
  <c r="K15" i="314"/>
  <c r="N17" i="317"/>
  <c r="N31" i="98"/>
  <c r="N35" i="311"/>
  <c r="N13" i="57"/>
  <c r="K35" i="294"/>
  <c r="N9"/>
  <c r="N21" i="88"/>
  <c r="K7" i="352"/>
  <c r="N29"/>
  <c r="K29"/>
  <c r="N39" i="5"/>
  <c r="N33" i="335"/>
  <c r="N9" i="299"/>
  <c r="K11" i="301"/>
  <c r="K43" i="122"/>
  <c r="K9" i="232"/>
  <c r="N11" i="146"/>
  <c r="N5" i="74"/>
  <c r="K15" i="42"/>
  <c r="N31" i="72"/>
  <c r="N35"/>
  <c r="N33" i="205"/>
  <c r="K31" i="139"/>
  <c r="K33" i="60"/>
  <c r="N27" i="96"/>
  <c r="N43" i="146"/>
  <c r="K13" i="264"/>
  <c r="N13"/>
  <c r="K19" i="294"/>
  <c r="N19"/>
  <c r="N29" i="307"/>
  <c r="K29"/>
  <c r="N17" i="309"/>
  <c r="K17"/>
  <c r="K33"/>
  <c r="N33"/>
  <c r="K11" i="310"/>
  <c r="N11"/>
  <c r="K13"/>
  <c r="N27"/>
  <c r="K27"/>
  <c r="N65" i="184"/>
  <c r="K65"/>
  <c r="K7" i="313"/>
  <c r="N7"/>
  <c r="K17"/>
  <c r="N17"/>
  <c r="N23" i="325"/>
  <c r="N12" i="253"/>
  <c r="K9" i="198"/>
  <c r="N17"/>
  <c r="N17" i="122"/>
  <c r="K39"/>
  <c r="N39"/>
  <c r="N5" i="174"/>
  <c r="N28" i="171"/>
  <c r="K13" i="130"/>
  <c r="N25"/>
  <c r="K7" i="332"/>
  <c r="N7" i="335"/>
  <c r="K7"/>
  <c r="N19" i="336"/>
  <c r="N13" i="337"/>
  <c r="K8" i="338"/>
  <c r="N8"/>
  <c r="K10"/>
  <c r="N24"/>
  <c r="K26"/>
  <c r="N26"/>
  <c r="N41" i="341"/>
  <c r="K28" i="342"/>
  <c r="N15" i="344"/>
  <c r="N23"/>
  <c r="N7" i="346"/>
  <c r="K7"/>
  <c r="N15"/>
  <c r="N29" i="348"/>
  <c r="N9" i="355"/>
  <c r="K9"/>
  <c r="K19" i="356"/>
  <c r="K35"/>
  <c r="N25" i="74"/>
  <c r="N9" i="290"/>
  <c r="K31" i="336"/>
  <c r="K23" i="270"/>
  <c r="K23" i="178"/>
  <c r="K7" i="270"/>
  <c r="N11" i="245"/>
  <c r="K15" i="199"/>
  <c r="K30" i="173"/>
  <c r="N15" i="305"/>
  <c r="K25" i="184"/>
  <c r="N17" i="311"/>
  <c r="N33" i="265"/>
  <c r="N17" i="310"/>
  <c r="N7" i="311"/>
  <c r="K7" i="198"/>
  <c r="K23"/>
  <c r="K39"/>
  <c r="N23" i="122"/>
  <c r="N29" i="341"/>
  <c r="K19" i="125"/>
  <c r="K21" i="240"/>
  <c r="K7" i="262"/>
  <c r="N45"/>
  <c r="N19" i="264"/>
  <c r="N35"/>
  <c r="N33" i="278"/>
  <c r="N41"/>
  <c r="N31" i="285"/>
  <c r="K35" i="287"/>
  <c r="K17" i="297"/>
  <c r="K11" i="309"/>
  <c r="N37"/>
  <c r="K9" i="264"/>
  <c r="N9"/>
  <c r="N9" i="181"/>
  <c r="K36" i="183"/>
  <c r="N35" i="69"/>
  <c r="K33" i="313"/>
  <c r="K41" i="178"/>
  <c r="K11" i="113"/>
  <c r="N12" i="109"/>
  <c r="N13" i="311"/>
  <c r="N27" i="139"/>
  <c r="N25" i="124"/>
  <c r="N9" i="220"/>
  <c r="N21" i="245"/>
  <c r="N29"/>
  <c r="N27" i="270"/>
  <c r="N43" i="283"/>
  <c r="K13" i="290"/>
  <c r="K41"/>
  <c r="N31" i="299"/>
  <c r="N27" i="301"/>
  <c r="K45" i="273"/>
  <c r="N37" i="278"/>
  <c r="K7" i="307"/>
  <c r="N31"/>
  <c r="N21" i="337"/>
  <c r="N27" i="199"/>
  <c r="N7" i="65"/>
  <c r="K17" i="245"/>
  <c r="K15" i="260"/>
  <c r="N15"/>
  <c r="K7" i="122"/>
  <c r="K13" i="311"/>
  <c r="K17" i="310"/>
  <c r="K23" i="122"/>
  <c r="N25" i="260"/>
  <c r="N15" i="252"/>
  <c r="N11" i="63"/>
  <c r="N31" i="76"/>
  <c r="K21" i="98"/>
  <c r="K21" i="233"/>
  <c r="K9" i="181"/>
  <c r="N36" i="183"/>
  <c r="N31" i="220"/>
  <c r="N43" i="101"/>
  <c r="N9" i="178"/>
  <c r="K9" i="41"/>
  <c r="N9"/>
  <c r="K5" i="194"/>
  <c r="N26" i="109"/>
  <c r="N25" i="191"/>
  <c r="K15" i="245"/>
  <c r="N31"/>
  <c r="K29" i="85"/>
  <c r="N11" i="294"/>
  <c r="N21"/>
  <c r="K5" i="93"/>
  <c r="K20" i="30"/>
  <c r="K17" i="191"/>
  <c r="N9" i="2"/>
  <c r="K9" i="88"/>
  <c r="K37" i="47"/>
  <c r="K11" i="32"/>
  <c r="N43" i="265"/>
  <c r="K45" i="101"/>
  <c r="N9" i="146"/>
  <c r="N9" i="252"/>
  <c r="N11" i="262"/>
  <c r="K45"/>
  <c r="N35" i="272"/>
  <c r="K9" i="274"/>
  <c r="N19"/>
  <c r="K43" i="278"/>
  <c r="K20" i="307"/>
  <c r="N33"/>
  <c r="N17" i="274"/>
  <c r="K15" i="171"/>
  <c r="K26"/>
  <c r="N29" i="343"/>
  <c r="K13" i="32"/>
  <c r="K37" i="260"/>
  <c r="N7" i="262"/>
  <c r="N39"/>
  <c r="K19" i="265"/>
  <c r="K37" i="285"/>
  <c r="N25" i="292"/>
  <c r="K13" i="330"/>
  <c r="N13" i="198"/>
  <c r="K29"/>
  <c r="K37"/>
  <c r="K13" i="309"/>
  <c r="N13"/>
  <c r="N5"/>
  <c r="K27" i="294"/>
  <c r="K21"/>
  <c r="N39" i="198"/>
  <c r="K33" i="307"/>
  <c r="N41" i="265"/>
  <c r="N23" i="63"/>
  <c r="N13" i="290"/>
  <c r="K37" i="309"/>
  <c r="N7" i="233"/>
  <c r="N11" i="309"/>
  <c r="N15" i="245"/>
  <c r="N29" i="198"/>
  <c r="N23"/>
  <c r="N25" i="184"/>
  <c r="K19" i="274"/>
  <c r="K29" i="14"/>
  <c r="K33" i="273"/>
  <c r="N33"/>
  <c r="K43"/>
  <c r="N43"/>
  <c r="N15" i="290"/>
  <c r="K15"/>
  <c r="K11" i="294"/>
  <c r="K25" i="290"/>
  <c r="K21" i="245"/>
  <c r="K23" i="290"/>
  <c r="N45" i="101"/>
  <c r="K13" i="198"/>
  <c r="N13" i="330"/>
  <c r="K25" i="146"/>
  <c r="K5" i="205"/>
  <c r="K39" i="146"/>
  <c r="K9"/>
  <c r="N27" i="69"/>
  <c r="K31" i="214"/>
  <c r="N20" i="303"/>
  <c r="K7" i="204"/>
  <c r="N27" i="137"/>
  <c r="N9" i="272"/>
  <c r="K44" i="279"/>
  <c r="N13" i="285"/>
  <c r="N21" i="287"/>
  <c r="N7" i="310"/>
  <c r="K7" i="311"/>
  <c r="N9" i="46"/>
  <c r="K35" i="205"/>
  <c r="N7" i="101"/>
  <c r="K22" i="30"/>
  <c r="K21" i="63"/>
  <c r="K35" i="245"/>
  <c r="N19" i="252"/>
  <c r="N35" i="273"/>
  <c r="N19" i="283"/>
  <c r="K11" i="287"/>
  <c r="N17"/>
  <c r="K29" i="290"/>
  <c r="N5" i="297"/>
  <c r="K29"/>
  <c r="N29" i="301"/>
  <c r="K21" i="305"/>
  <c r="N23" i="310"/>
  <c r="N27" i="83"/>
  <c r="N25" i="46"/>
  <c r="K21" i="341"/>
  <c r="K5" i="352"/>
  <c r="N31" i="214"/>
  <c r="K17" i="287"/>
  <c r="K27" i="270"/>
  <c r="N45" i="273"/>
  <c r="N22" i="30"/>
  <c r="N11" i="287"/>
  <c r="N25" i="146"/>
  <c r="N35" i="205"/>
  <c r="N29" i="290"/>
  <c r="K17" i="274"/>
  <c r="K19" i="283"/>
  <c r="K7" i="101"/>
  <c r="K17" i="69"/>
  <c r="K13" i="204"/>
  <c r="K29" i="2"/>
  <c r="N7" i="42"/>
  <c r="K19" i="272"/>
  <c r="N25" i="274"/>
  <c r="N35" i="287"/>
  <c r="K27" i="283"/>
  <c r="N27" i="272"/>
  <c r="K19" i="273"/>
  <c r="N39"/>
  <c r="K5" i="287"/>
  <c r="N5" i="305"/>
  <c r="N35" i="83"/>
  <c r="K47"/>
  <c r="K21" i="343"/>
  <c r="N9" i="337"/>
  <c r="K41" i="360"/>
  <c r="N37"/>
  <c r="N27" i="356"/>
  <c r="N27" i="297"/>
  <c r="N19" i="309"/>
  <c r="N15" i="76"/>
  <c r="K15"/>
  <c r="K25" i="274"/>
  <c r="K21" i="232"/>
  <c r="N21" i="194"/>
  <c r="N17" i="140"/>
  <c r="N19" i="272"/>
  <c r="N41" i="164"/>
  <c r="K11" i="65"/>
  <c r="N39" i="79"/>
  <c r="K41" i="273"/>
  <c r="N37" i="31"/>
  <c r="K9" i="68"/>
  <c r="N17" i="184"/>
  <c r="K33" i="139"/>
  <c r="N29" i="136"/>
  <c r="N23" i="159"/>
  <c r="K9" i="37"/>
  <c r="N7" i="204"/>
  <c r="K31" i="245"/>
  <c r="K13" i="270"/>
  <c r="N38" i="279"/>
  <c r="K26" i="303"/>
  <c r="N39" i="309"/>
  <c r="K11" i="260"/>
  <c r="K23" i="274"/>
  <c r="K17" i="262"/>
  <c r="N27" i="265"/>
  <c r="K29" i="270"/>
  <c r="K29" i="264"/>
  <c r="K35" i="273"/>
  <c r="K25" i="282"/>
  <c r="K13" i="278"/>
  <c r="N6" i="279"/>
  <c r="N19" i="299"/>
  <c r="K23" i="264"/>
  <c r="K39" i="311"/>
  <c r="N39" i="362"/>
  <c r="K29" i="311"/>
  <c r="N13" i="301"/>
  <c r="N71" i="184"/>
  <c r="K13" i="122"/>
  <c r="N24" i="342"/>
  <c r="K27" i="171"/>
  <c r="N41" i="347"/>
  <c r="N14" i="349"/>
  <c r="N6" i="183"/>
  <c r="N19" i="362"/>
  <c r="K19"/>
  <c r="N35"/>
  <c r="K35"/>
  <c r="K5" i="343"/>
  <c r="N19" i="360"/>
  <c r="N27"/>
  <c r="K25" i="358"/>
  <c r="N9" i="360"/>
  <c r="K9"/>
  <c r="N7"/>
  <c r="K15"/>
  <c r="K13" i="362"/>
  <c r="N21"/>
  <c r="N21" i="122"/>
  <c r="N5" i="324"/>
  <c r="N13" i="336"/>
  <c r="K31" i="346"/>
  <c r="N23" i="356"/>
  <c r="K17" i="270"/>
  <c r="K31" i="122"/>
  <c r="K27" i="317"/>
  <c r="K15" i="262"/>
  <c r="N37" i="358"/>
  <c r="K37" i="348"/>
  <c r="K31" i="341"/>
  <c r="K35" i="337"/>
  <c r="N5" i="335"/>
  <c r="K26" i="173"/>
  <c r="K29" i="325"/>
  <c r="K13" i="356"/>
  <c r="N13" i="354"/>
  <c r="K5" i="348"/>
  <c r="N21" i="335"/>
  <c r="N31" i="198"/>
  <c r="N41" i="337"/>
  <c r="K19" i="345"/>
  <c r="N23" i="333"/>
  <c r="N19" i="260"/>
  <c r="N21" i="262"/>
  <c r="N31" i="344"/>
  <c r="N33" i="331"/>
  <c r="N7" i="356"/>
  <c r="K27" i="330"/>
  <c r="K37" i="324"/>
  <c r="K15" i="265"/>
  <c r="N29" i="334"/>
  <c r="N11" i="330"/>
  <c r="K41" i="233"/>
  <c r="K15" i="122"/>
  <c r="N7" i="333"/>
  <c r="N39"/>
  <c r="K15" i="341"/>
  <c r="K19" i="337"/>
  <c r="N37" i="335"/>
  <c r="N39" i="334"/>
  <c r="N18" i="253"/>
  <c r="K15" i="329"/>
  <c r="N35" i="146"/>
  <c r="K29" i="355"/>
  <c r="N31" i="335"/>
  <c r="K21" i="265"/>
  <c r="K9" i="341"/>
  <c r="N29" i="345"/>
  <c r="N11" i="317"/>
  <c r="N15" i="335"/>
  <c r="K9" i="347"/>
  <c r="N20" i="342"/>
  <c r="K23" i="343"/>
  <c r="N31" i="265"/>
  <c r="N16" i="349"/>
  <c r="K17" i="178"/>
  <c r="N37" i="265"/>
  <c r="N37" i="122"/>
  <c r="K23" i="354"/>
  <c r="K5" i="220"/>
  <c r="N5"/>
  <c r="K7" i="343"/>
  <c r="N5" i="344"/>
  <c r="N11" i="331"/>
  <c r="N10" i="173"/>
  <c r="N19" i="355"/>
  <c r="K4" i="338"/>
  <c r="K21" i="317"/>
  <c r="N11" i="270"/>
  <c r="K14" i="338"/>
  <c r="N21" i="198"/>
  <c r="K29" i="336"/>
  <c r="K7" i="354"/>
  <c r="K19" i="325"/>
  <c r="N35"/>
  <c r="K17" i="330"/>
  <c r="K29" i="262"/>
  <c r="K13" i="265"/>
  <c r="K29"/>
  <c r="N25" i="2"/>
  <c r="K23" i="209"/>
  <c r="K21" i="252"/>
  <c r="N81" i="184"/>
  <c r="N23" i="317"/>
  <c r="K5" i="362"/>
  <c r="N11"/>
  <c r="K21"/>
  <c r="K27"/>
  <c r="K21" i="274"/>
  <c r="N9" i="260"/>
  <c r="K17" i="346"/>
  <c r="K9" i="352"/>
  <c r="K13" i="358"/>
  <c r="K29"/>
  <c r="N5" i="360"/>
  <c r="N21"/>
  <c r="K37"/>
  <c r="N33" i="362"/>
  <c r="K23" i="181"/>
  <c r="K17" i="88"/>
  <c r="K19" i="126"/>
  <c r="N37" i="199"/>
  <c r="K7" i="139"/>
  <c r="K29" i="171"/>
  <c r="K31" i="130"/>
  <c r="K21" i="334"/>
  <c r="K19" i="37"/>
  <c r="N7" i="229"/>
  <c r="N17" i="204"/>
  <c r="K9" i="309"/>
  <c r="K19"/>
  <c r="N19" i="310"/>
  <c r="N31" i="324"/>
  <c r="K25" i="329"/>
  <c r="K15" i="330"/>
  <c r="K21"/>
  <c r="K6" i="253"/>
  <c r="K12"/>
  <c r="K22"/>
  <c r="N9" i="198"/>
  <c r="K19"/>
  <c r="N41"/>
  <c r="N19" i="122"/>
  <c r="K41"/>
  <c r="K9" i="46"/>
  <c r="K25"/>
  <c r="N47" i="83"/>
  <c r="K6" i="279"/>
  <c r="N22"/>
  <c r="N19" i="290"/>
  <c r="K5" i="317"/>
  <c r="K13" i="325"/>
  <c r="N7" i="331"/>
  <c r="N29" i="85"/>
  <c r="N37" i="362"/>
  <c r="N33" i="240"/>
  <c r="N17" i="126"/>
  <c r="K9" i="184"/>
  <c r="K6" i="340"/>
  <c r="N11" i="341"/>
  <c r="N27"/>
  <c r="K43"/>
  <c r="K17" i="344"/>
  <c r="N11" i="346"/>
  <c r="N33" i="348"/>
  <c r="N23" i="364"/>
  <c r="N32" i="183"/>
  <c r="N37" i="18"/>
  <c r="N19" i="65"/>
  <c r="N43" i="209"/>
  <c r="N35" i="188"/>
  <c r="N17" i="69"/>
  <c r="N31" i="233"/>
  <c r="N23" i="341"/>
  <c r="N28" i="342"/>
  <c r="K29" i="348"/>
  <c r="K8" i="349"/>
  <c r="N44" i="279"/>
  <c r="N17" i="280"/>
  <c r="K5" i="290"/>
  <c r="K13" i="232"/>
  <c r="N13" i="60"/>
  <c r="K13"/>
  <c r="K25" i="140"/>
  <c r="N25"/>
  <c r="N15" i="68"/>
  <c r="K15"/>
  <c r="K20" i="183"/>
  <c r="K17" i="113"/>
  <c r="N17"/>
  <c r="K33" i="346"/>
  <c r="N33"/>
  <c r="N27" i="347"/>
  <c r="K27"/>
  <c r="K7" i="348"/>
  <c r="N7"/>
  <c r="K25" i="352"/>
  <c r="N25"/>
  <c r="N15" i="355"/>
  <c r="K15"/>
  <c r="N39" i="358"/>
  <c r="K39"/>
  <c r="K7"/>
  <c r="K19" i="314"/>
  <c r="N19"/>
  <c r="N35" i="122"/>
  <c r="K35"/>
  <c r="K5" i="171"/>
  <c r="N5"/>
  <c r="N9" i="331"/>
  <c r="N15" i="343"/>
  <c r="K15"/>
  <c r="K31"/>
  <c r="N31"/>
  <c r="N5" i="345"/>
  <c r="K23" i="346"/>
  <c r="N23"/>
  <c r="K21" i="360"/>
  <c r="N29" i="358"/>
  <c r="N22" i="253"/>
  <c r="N23" i="358"/>
  <c r="K37" i="362"/>
  <c r="K31" i="360"/>
  <c r="N27" i="362"/>
  <c r="K11" i="360"/>
  <c r="K17" i="204"/>
  <c r="K32" i="183"/>
  <c r="K31" i="333"/>
  <c r="K31" i="324"/>
  <c r="K11" i="346"/>
  <c r="N9" i="352"/>
  <c r="N27" i="164"/>
  <c r="K27"/>
  <c r="N9" i="199"/>
  <c r="K9"/>
  <c r="N31" i="188"/>
  <c r="K31"/>
  <c r="K37" i="60"/>
  <c r="N37"/>
  <c r="N35" i="113"/>
  <c r="K17" i="181"/>
  <c r="N17"/>
  <c r="N29" i="209"/>
  <c r="K29"/>
  <c r="N23" i="348"/>
  <c r="K23"/>
  <c r="K15" i="354"/>
  <c r="N15"/>
  <c r="K5" i="355"/>
  <c r="N5"/>
  <c r="N15" i="356"/>
  <c r="K27" i="184"/>
  <c r="N27"/>
  <c r="K25" i="311"/>
  <c r="N25"/>
  <c r="K13" i="314"/>
  <c r="N13"/>
  <c r="K35" i="198"/>
  <c r="N35"/>
  <c r="N9" i="122"/>
  <c r="K9"/>
  <c r="N25"/>
  <c r="K25"/>
  <c r="K32" i="171"/>
  <c r="N32"/>
  <c r="K15" i="332"/>
  <c r="N15" i="333"/>
  <c r="K33" i="337"/>
  <c r="N33"/>
  <c r="K12" i="338"/>
  <c r="K12" i="342"/>
  <c r="N12"/>
  <c r="N9" i="343"/>
  <c r="K39" i="344"/>
  <c r="N19" i="358"/>
  <c r="N35"/>
  <c r="K33" i="362"/>
  <c r="N13" i="358"/>
  <c r="N15" i="330"/>
  <c r="N27" i="42"/>
  <c r="K33" i="348"/>
  <c r="N41" i="122"/>
  <c r="N12" i="338"/>
  <c r="K41" i="74"/>
  <c r="K25" i="204"/>
  <c r="N28" i="109"/>
  <c r="K28"/>
  <c r="N17" i="139"/>
  <c r="K17"/>
  <c r="K16" i="342"/>
  <c r="N19" i="343"/>
  <c r="K19"/>
  <c r="K27" i="346"/>
  <c r="N27"/>
  <c r="K11" i="347"/>
  <c r="N11"/>
  <c r="K18" i="349"/>
  <c r="N18"/>
  <c r="K41" i="352"/>
  <c r="N41"/>
  <c r="N9" i="354"/>
  <c r="K9"/>
  <c r="N25"/>
  <c r="K25"/>
  <c r="K11" i="362"/>
  <c r="N31" i="301"/>
  <c r="K31"/>
  <c r="K35" i="309"/>
  <c r="N35"/>
  <c r="K41" i="324"/>
  <c r="N41"/>
  <c r="K24" i="171"/>
  <c r="N24"/>
  <c r="N18" i="173"/>
  <c r="K18" i="338"/>
  <c r="N18"/>
  <c r="K28" i="340"/>
  <c r="K7" i="344"/>
  <c r="N7"/>
  <c r="K39" i="346"/>
  <c r="N39"/>
  <c r="K13" i="348"/>
  <c r="N13"/>
  <c r="K15" i="352"/>
  <c r="N15"/>
  <c r="K5" i="345"/>
  <c r="N39" i="305"/>
  <c r="K35" i="352"/>
  <c r="N21" i="334"/>
  <c r="N17" i="344"/>
  <c r="K21" i="60"/>
  <c r="N19" i="18"/>
  <c r="K19"/>
  <c r="K37" i="347"/>
  <c r="N37"/>
  <c r="K12" i="349"/>
  <c r="N12"/>
  <c r="K31" i="354"/>
  <c r="N31"/>
  <c r="K21" i="355"/>
  <c r="N21"/>
  <c r="K16" i="307"/>
  <c r="N16"/>
  <c r="K35"/>
  <c r="N35"/>
  <c r="K29" i="314"/>
  <c r="N29"/>
  <c r="N7" i="85"/>
  <c r="K7"/>
  <c r="K13" i="6"/>
  <c r="N13"/>
  <c r="K39" i="337"/>
  <c r="N39"/>
  <c r="N25" i="343"/>
  <c r="K29" i="344"/>
  <c r="N29"/>
  <c r="N27" i="345"/>
  <c r="K27"/>
  <c r="N17" i="347"/>
  <c r="K17"/>
  <c r="K31" i="352"/>
  <c r="N31"/>
  <c r="K5" i="354"/>
  <c r="N5"/>
  <c r="N21"/>
  <c r="K21"/>
  <c r="K43" i="360"/>
  <c r="N43"/>
  <c r="K43" i="209"/>
  <c r="N19" i="126"/>
  <c r="K19" i="310"/>
  <c r="N31" i="130"/>
  <c r="N7" i="174"/>
  <c r="K41" i="198"/>
  <c r="K21" i="347"/>
  <c r="N21"/>
  <c r="N5" i="362"/>
  <c r="N18" i="303"/>
  <c r="K18"/>
  <c r="N39" i="184"/>
  <c r="K39"/>
  <c r="N41" i="311"/>
  <c r="K41"/>
  <c r="N19" i="329"/>
  <c r="K19"/>
  <c r="K5" i="330"/>
  <c r="N5"/>
  <c r="N25" i="198"/>
  <c r="K25"/>
  <c r="K21" i="171"/>
  <c r="N21"/>
  <c r="N28" i="338"/>
  <c r="K28"/>
  <c r="N21" i="330"/>
  <c r="N39" i="344"/>
  <c r="K25" i="343"/>
  <c r="N6" i="253"/>
  <c r="K31" i="209"/>
  <c r="N31"/>
  <c r="K5" i="18"/>
  <c r="N5"/>
  <c r="N23"/>
  <c r="K23"/>
  <c r="N7" i="5"/>
  <c r="K7"/>
  <c r="K11" i="184"/>
  <c r="N11"/>
  <c r="N33" i="344"/>
  <c r="K33"/>
  <c r="N17" i="348"/>
  <c r="K17"/>
  <c r="K41" i="301"/>
  <c r="N41"/>
  <c r="K9" i="311"/>
  <c r="N9"/>
  <c r="N67" i="184"/>
  <c r="K67"/>
  <c r="N25" i="324"/>
  <c r="N29" i="171"/>
  <c r="N73" i="184"/>
  <c r="K7" i="32"/>
  <c r="K35" i="76"/>
  <c r="K9"/>
  <c r="K5" i="280"/>
  <c r="K32" i="279"/>
  <c r="K33" i="188"/>
  <c r="K7" i="292"/>
  <c r="N7"/>
  <c r="N15" i="301"/>
  <c r="K9" i="313"/>
  <c r="N25" i="314"/>
  <c r="K25"/>
  <c r="K23" i="325"/>
  <c r="N25" i="329"/>
  <c r="N24" i="173"/>
  <c r="N5" i="333"/>
  <c r="K21"/>
  <c r="K37"/>
  <c r="K27" i="334"/>
  <c r="K7" i="274"/>
  <c r="K15" i="272"/>
  <c r="N15"/>
  <c r="K23" i="273"/>
  <c r="N23"/>
  <c r="K39"/>
  <c r="N9" i="278"/>
  <c r="K9"/>
  <c r="K22" i="279"/>
  <c r="K38"/>
  <c r="N17" i="282"/>
  <c r="N33"/>
  <c r="K31" i="283"/>
  <c r="K15" i="287"/>
  <c r="N15"/>
  <c r="N25"/>
  <c r="N29"/>
  <c r="N11" i="297"/>
  <c r="K11"/>
  <c r="K15" i="301"/>
  <c r="K9" i="125"/>
  <c r="K35" i="14"/>
  <c r="K15" i="205"/>
  <c r="N43" i="179"/>
  <c r="N17" i="245"/>
  <c r="K27" i="83"/>
  <c r="K51"/>
  <c r="N9" i="171"/>
  <c r="N23"/>
  <c r="K27" i="335"/>
  <c r="K16" i="340"/>
  <c r="K26"/>
  <c r="K27" i="348"/>
  <c r="K39" i="195"/>
  <c r="K19" i="137"/>
  <c r="K27" i="260"/>
  <c r="N33" i="262"/>
  <c r="N11" i="337"/>
  <c r="N6" i="338"/>
  <c r="N22"/>
  <c r="K27" i="341"/>
  <c r="N43"/>
  <c r="N33" i="136"/>
  <c r="K18" i="340"/>
  <c r="K15" i="93"/>
  <c r="N21" i="240"/>
  <c r="N13" i="252"/>
  <c r="N35" i="260"/>
  <c r="K8" i="253"/>
  <c r="K24"/>
  <c r="K5" i="198"/>
  <c r="K7" i="360"/>
  <c r="N13" i="362"/>
  <c r="N29"/>
  <c r="K7" i="25"/>
  <c r="N11" i="32"/>
  <c r="K25" i="124"/>
  <c r="K15" i="273"/>
  <c r="K36" i="338"/>
  <c r="N26" i="340"/>
  <c r="N16"/>
  <c r="N12"/>
  <c r="K17" i="301"/>
  <c r="N17"/>
  <c r="K37" i="344"/>
  <c r="N37"/>
  <c r="N11" i="274"/>
  <c r="K11"/>
  <c r="K41" i="278"/>
  <c r="K18" i="279"/>
  <c r="K23" i="282"/>
  <c r="K23" i="301"/>
  <c r="K39"/>
  <c r="N51" i="184"/>
  <c r="N21" i="352"/>
  <c r="K37"/>
  <c r="K11" i="354"/>
  <c r="N27"/>
  <c r="N17" i="355"/>
  <c r="N11" i="356"/>
  <c r="K27"/>
  <c r="K9" i="358"/>
  <c r="N25"/>
  <c r="N17" i="360"/>
  <c r="N33"/>
  <c r="K7" i="362"/>
  <c r="K39"/>
  <c r="K9" i="337"/>
  <c r="N17" i="341"/>
  <c r="N23" i="96"/>
  <c r="K25" i="265"/>
  <c r="N9" i="280"/>
  <c r="K17" i="324"/>
  <c r="N7" i="260"/>
  <c r="N26" i="171"/>
  <c r="N13" i="341"/>
  <c r="N27" i="344"/>
  <c r="K9" i="136"/>
  <c r="K37" i="229"/>
  <c r="K37" i="179"/>
  <c r="K42" i="205"/>
  <c r="K34" i="214"/>
  <c r="K5" i="226"/>
  <c r="K41" i="18"/>
  <c r="N19" i="113"/>
  <c r="N19" i="2"/>
  <c r="K5" i="278"/>
  <c r="K31"/>
  <c r="K8" i="279"/>
  <c r="N24"/>
  <c r="K40"/>
  <c r="N10" i="338"/>
  <c r="K23" i="341"/>
  <c r="N27" i="352"/>
  <c r="K17" i="354"/>
  <c r="N33"/>
  <c r="N7" i="355"/>
  <c r="N15" i="358"/>
  <c r="K31"/>
  <c r="N9" i="126"/>
  <c r="N35" i="31"/>
  <c r="K13" i="262"/>
  <c r="K19" i="299"/>
  <c r="N11" i="301"/>
  <c r="N21"/>
  <c r="K43" i="313"/>
  <c r="K21" i="314"/>
  <c r="K33" i="332"/>
  <c r="N5" i="337"/>
  <c r="N11" i="98"/>
  <c r="K27" i="74"/>
  <c r="N33" i="264"/>
  <c r="K9" i="282"/>
  <c r="K33" i="285"/>
  <c r="N13" i="294"/>
  <c r="N7" i="324"/>
  <c r="K39"/>
  <c r="K5" i="325"/>
  <c r="N15"/>
  <c r="N7" i="330"/>
  <c r="K23"/>
  <c r="N37" i="334"/>
  <c r="K13" i="335"/>
  <c r="N23"/>
  <c r="K39"/>
  <c r="K5" i="336"/>
  <c r="N21"/>
  <c r="K16" i="338"/>
  <c r="N6" i="340"/>
  <c r="K11" i="341"/>
  <c r="K37"/>
  <c r="K10" i="342"/>
  <c r="K17" i="352"/>
  <c r="N11" i="65"/>
  <c r="K19"/>
  <c r="K37" i="199"/>
  <c r="K9" i="139"/>
  <c r="N37" i="72"/>
  <c r="N19" i="98"/>
  <c r="N7" i="245"/>
  <c r="N19" i="265"/>
  <c r="K35"/>
  <c r="N13" i="270"/>
  <c r="K9" i="272"/>
  <c r="N17" i="273"/>
  <c r="N33" i="287"/>
  <c r="K25" i="294"/>
  <c r="N11" i="130"/>
  <c r="N27"/>
  <c r="K14" i="173"/>
  <c r="K11" i="332"/>
  <c r="K27"/>
  <c r="K11" i="333"/>
  <c r="K30" i="338"/>
  <c r="K17" i="358"/>
  <c r="N33"/>
  <c r="N25" i="360"/>
  <c r="N41"/>
  <c r="K15" i="362"/>
  <c r="K31"/>
  <c r="K23" i="280"/>
  <c r="N23"/>
  <c r="N27" i="324"/>
  <c r="K27"/>
  <c r="K17" i="356"/>
  <c r="N17"/>
  <c r="K33"/>
  <c r="N33"/>
  <c r="N11" i="18"/>
  <c r="K17" i="355"/>
  <c r="N5" i="274"/>
  <c r="K5"/>
  <c r="K59" i="184"/>
  <c r="N59"/>
  <c r="N10" i="349"/>
  <c r="K10"/>
  <c r="K29" i="362"/>
  <c r="N9" i="358"/>
  <c r="N7" i="362"/>
  <c r="N23" i="282"/>
  <c r="K5" i="188"/>
  <c r="N19" i="325"/>
  <c r="K27" i="352"/>
  <c r="N11" i="354"/>
  <c r="N22" i="340"/>
  <c r="K22"/>
  <c r="K11" i="356"/>
  <c r="K33" i="360"/>
  <c r="K17"/>
  <c r="N31" i="358"/>
  <c r="N17" i="324"/>
  <c r="K33" i="354"/>
  <c r="N31" i="278"/>
  <c r="K25" i="337"/>
  <c r="N25"/>
  <c r="N5" i="278"/>
  <c r="K33" i="262"/>
  <c r="K35" i="325"/>
  <c r="N17" i="46"/>
  <c r="K17"/>
  <c r="K33"/>
  <c r="N33"/>
  <c r="K11" i="83"/>
  <c r="N11"/>
  <c r="K43"/>
  <c r="N43"/>
  <c r="K31" i="171"/>
  <c r="N31"/>
  <c r="N9" i="336"/>
  <c r="K9"/>
  <c r="N7" i="179"/>
  <c r="N14" i="303"/>
  <c r="K15" i="358"/>
  <c r="N17" i="354"/>
  <c r="N29" i="262"/>
  <c r="N27" i="287"/>
  <c r="N39" i="290"/>
  <c r="K39"/>
  <c r="N19" i="185"/>
  <c r="K31" i="98"/>
  <c r="N29" i="270"/>
  <c r="K25" i="272"/>
  <c r="N20" i="338"/>
  <c r="N37" i="5"/>
  <c r="N37" i="272"/>
  <c r="N7" i="273"/>
  <c r="N31" i="337"/>
  <c r="N5" i="98"/>
  <c r="N12" i="183"/>
  <c r="N29" i="233"/>
  <c r="K27" i="47"/>
  <c r="K31" i="124"/>
  <c r="N9" i="14"/>
  <c r="K33"/>
  <c r="N31" i="270"/>
  <c r="K11" i="272"/>
  <c r="K27" i="309"/>
  <c r="N14" i="253"/>
  <c r="K11" i="334"/>
  <c r="N27"/>
  <c r="N15" i="345"/>
  <c r="K19" i="360"/>
  <c r="N35"/>
  <c r="N9" i="362"/>
  <c r="K25"/>
  <c r="N42" i="205"/>
  <c r="N7" i="220"/>
  <c r="N15" i="72"/>
  <c r="N13" i="265"/>
  <c r="K31" i="184"/>
  <c r="N31" i="232"/>
  <c r="N27" i="241"/>
  <c r="K27" i="297"/>
  <c r="N17" i="331"/>
  <c r="N23" i="5"/>
  <c r="N17" i="264"/>
  <c r="K33"/>
  <c r="N31" i="283"/>
  <c r="N5" i="264"/>
  <c r="K23" i="285"/>
  <c r="K39"/>
  <c r="N13" i="310"/>
  <c r="K12" i="307"/>
  <c r="K9" i="113"/>
  <c r="N9"/>
  <c r="N25" i="362"/>
  <c r="K21" i="336"/>
  <c r="K17" i="195"/>
  <c r="N28" i="340"/>
  <c r="K14" i="253"/>
  <c r="K29" i="233"/>
  <c r="K31" i="232"/>
  <c r="K15" i="72"/>
  <c r="N21" i="333"/>
  <c r="N37"/>
  <c r="N11" i="334"/>
  <c r="N33" i="72"/>
  <c r="K33"/>
  <c r="K21" i="185"/>
  <c r="K13" i="280"/>
  <c r="N13"/>
  <c r="N31" i="362"/>
  <c r="N39" i="335"/>
  <c r="N15" i="362"/>
  <c r="N23" i="330"/>
  <c r="N33" i="14"/>
  <c r="N18" i="340"/>
  <c r="K35" i="164"/>
  <c r="K6" i="338"/>
  <c r="N17" i="68"/>
  <c r="N33" i="98"/>
  <c r="K33"/>
  <c r="K32" i="338"/>
  <c r="N32"/>
  <c r="K33" i="358"/>
  <c r="K5" i="337"/>
  <c r="N13" i="335"/>
  <c r="K37" i="334"/>
  <c r="K17" i="63"/>
  <c r="K17" i="341"/>
  <c r="K27" i="130"/>
  <c r="N24" i="253"/>
  <c r="N5" i="336"/>
  <c r="K11" i="130"/>
  <c r="N9" i="139"/>
  <c r="N8" i="253"/>
  <c r="N14" i="173"/>
  <c r="K19" i="164"/>
  <c r="K24" i="173"/>
  <c r="K22" i="338"/>
  <c r="K25" i="241"/>
  <c r="K29" i="93"/>
  <c r="N29"/>
  <c r="K15" i="331"/>
  <c r="N15"/>
  <c r="N45" i="324"/>
  <c r="K9" i="362"/>
  <c r="N17" i="358"/>
  <c r="K35" i="360"/>
  <c r="K25"/>
  <c r="K15" i="325"/>
  <c r="K7" i="324"/>
  <c r="K17" i="124"/>
  <c r="K21" i="329"/>
  <c r="K24" i="109"/>
  <c r="N21" i="41"/>
  <c r="K31" i="331"/>
  <c r="N31"/>
  <c r="N5" i="198"/>
  <c r="N16" i="338"/>
  <c r="N25" i="79"/>
  <c r="K17" i="285"/>
  <c r="N17"/>
  <c r="K9" i="292"/>
  <c r="N9"/>
  <c r="N41"/>
  <c r="K41"/>
  <c r="N23" i="181"/>
  <c r="K23" i="140"/>
  <c r="N7" i="184"/>
  <c r="N7" i="139"/>
  <c r="K29" i="42"/>
  <c r="K27" i="262"/>
  <c r="N35" i="74"/>
  <c r="N5" i="233"/>
  <c r="N9" i="96"/>
  <c r="K15" i="178"/>
  <c r="N29"/>
  <c r="K9" i="14"/>
  <c r="N27" i="47"/>
  <c r="N17" i="191"/>
  <c r="N25" i="18"/>
  <c r="N7" i="113"/>
  <c r="N31"/>
  <c r="N15" i="179"/>
  <c r="K7" i="2"/>
  <c r="K5" i="65"/>
  <c r="N25" i="214"/>
  <c r="K31" i="272"/>
  <c r="N11" i="273"/>
  <c r="K27"/>
  <c r="N19" i="282"/>
  <c r="K37" i="188"/>
  <c r="K7" i="221"/>
  <c r="K27" i="98"/>
  <c r="N17" i="241"/>
  <c r="N25" i="270"/>
  <c r="K5" i="272"/>
  <c r="N21"/>
  <c r="N27" i="278"/>
  <c r="N36" i="279"/>
  <c r="K21" i="229"/>
  <c r="N17" i="98"/>
  <c r="N23" i="274"/>
  <c r="K5" i="283"/>
  <c r="N11" i="290"/>
  <c r="K33"/>
  <c r="K9" i="305"/>
  <c r="K15"/>
  <c r="N31"/>
  <c r="N41"/>
  <c r="N47" i="184"/>
  <c r="N75"/>
  <c r="K81"/>
  <c r="K11" i="313"/>
  <c r="N27"/>
  <c r="N43"/>
  <c r="K33" i="333"/>
  <c r="N43"/>
  <c r="K7" i="334"/>
  <c r="K17"/>
  <c r="N23"/>
  <c r="N33"/>
  <c r="K9" i="335"/>
  <c r="K29"/>
  <c r="K11" i="336"/>
  <c r="K43"/>
  <c r="K11" i="337"/>
  <c r="K17"/>
  <c r="N37"/>
  <c r="N43"/>
  <c r="N13" i="346"/>
  <c r="K19"/>
  <c r="N25" i="56"/>
  <c r="K7" i="252"/>
  <c r="N27" i="264"/>
  <c r="N37"/>
  <c r="K77" i="184"/>
  <c r="K39" i="313"/>
  <c r="K7" i="317"/>
  <c r="K15" i="324"/>
  <c r="N24" i="340"/>
  <c r="K7" i="341"/>
  <c r="N9" i="329"/>
  <c r="N15" i="347"/>
  <c r="K31"/>
  <c r="K25" i="283"/>
  <c r="K19" i="297"/>
  <c r="N5" i="130"/>
  <c r="N19" i="352"/>
  <c r="N43" i="334"/>
  <c r="K43"/>
  <c r="N11" i="313"/>
  <c r="K37" i="272"/>
  <c r="N11" i="336"/>
  <c r="K11" i="273"/>
  <c r="K43" i="333"/>
  <c r="K7" i="273"/>
  <c r="K23" i="262"/>
  <c r="K11" i="344"/>
  <c r="N11"/>
  <c r="K25" i="214"/>
  <c r="K23" i="334"/>
  <c r="N19" i="346"/>
  <c r="N33" i="290"/>
  <c r="K75" i="184"/>
  <c r="K5" i="98"/>
  <c r="N41" i="197"/>
  <c r="K41"/>
  <c r="N7" i="334"/>
  <c r="N5" i="65"/>
  <c r="K31" i="305"/>
  <c r="K41"/>
  <c r="K33" i="334"/>
  <c r="N27" i="125"/>
  <c r="K41" i="347"/>
  <c r="N17" i="334"/>
  <c r="K21" i="272"/>
  <c r="K27" i="313"/>
  <c r="K43" i="262"/>
  <c r="N5" i="272"/>
  <c r="K25" i="270"/>
  <c r="K31" i="113"/>
  <c r="K37" i="337"/>
  <c r="K31" i="270"/>
  <c r="K19" i="113"/>
  <c r="N11" i="272"/>
  <c r="N31"/>
  <c r="K39" i="262"/>
  <c r="K37" i="346"/>
  <c r="K9" i="93"/>
  <c r="N43" i="336"/>
  <c r="K17" i="273"/>
  <c r="K13" i="41"/>
  <c r="N13"/>
  <c r="N9" i="305"/>
  <c r="K7" i="113"/>
  <c r="N39" i="209"/>
  <c r="N23" i="314"/>
  <c r="N41" i="336"/>
  <c r="K9" i="220"/>
  <c r="N37" i="313"/>
  <c r="K15" i="348"/>
  <c r="K9" i="364"/>
  <c r="K41"/>
  <c r="K33" i="205"/>
  <c r="K7" i="88"/>
  <c r="K9" i="280"/>
  <c r="K33" i="287"/>
  <c r="K5" i="329"/>
  <c r="N16" i="173"/>
  <c r="K23" i="332"/>
  <c r="K39" i="341"/>
  <c r="N15" i="364"/>
  <c r="K31"/>
  <c r="N11" i="74"/>
  <c r="K21" i="237"/>
  <c r="K13" i="332"/>
  <c r="N13" i="334"/>
  <c r="K23" i="93"/>
  <c r="K37" i="72"/>
  <c r="K39" i="240"/>
  <c r="N7" i="122"/>
  <c r="N21" i="130"/>
  <c r="N21" i="220"/>
  <c r="N43" i="69"/>
  <c r="K17" i="280"/>
  <c r="N7" i="287"/>
  <c r="N29" i="313"/>
  <c r="N20" i="30"/>
  <c r="N43" i="137"/>
  <c r="K31" i="72"/>
  <c r="K13" i="294"/>
  <c r="K45" i="301"/>
  <c r="K8" i="340"/>
  <c r="K12"/>
  <c r="N5" i="341"/>
  <c r="K39" i="364"/>
  <c r="N39" i="185"/>
  <c r="K37" i="264"/>
  <c r="N33" i="47"/>
  <c r="N15" i="14"/>
  <c r="K25" i="79"/>
  <c r="K23" i="5"/>
  <c r="K7" i="184"/>
  <c r="K39" i="245"/>
  <c r="N13" i="262"/>
  <c r="K19" i="2"/>
  <c r="K27" i="264"/>
  <c r="K24" i="340"/>
  <c r="K13" i="341"/>
  <c r="K25" i="72"/>
  <c r="N29" i="2"/>
  <c r="N25" i="76"/>
  <c r="K9" i="197"/>
  <c r="K17" i="98"/>
  <c r="K21" i="214"/>
  <c r="N7" i="124"/>
  <c r="N37" i="346"/>
  <c r="N21" i="185"/>
  <c r="N7" i="341"/>
  <c r="N23" i="240"/>
  <c r="N27" i="262"/>
  <c r="K7" i="220"/>
  <c r="N15" i="98"/>
  <c r="K5" i="237"/>
  <c r="K17" i="264"/>
  <c r="N35" i="14"/>
  <c r="N35" i="265"/>
  <c r="K19" i="237"/>
  <c r="K17" i="331"/>
  <c r="N29" i="42"/>
  <c r="K17" i="18"/>
  <c r="N17"/>
  <c r="N24" i="109"/>
  <c r="K17" i="241"/>
  <c r="N33" i="245"/>
  <c r="N36" i="338"/>
  <c r="N25" i="265"/>
  <c r="N7" i="136"/>
  <c r="N13" i="274"/>
  <c r="K13"/>
  <c r="K43" i="337"/>
  <c r="K5" i="60"/>
  <c r="N16" i="30"/>
  <c r="K43" i="220"/>
  <c r="K12" i="109"/>
  <c r="N9" i="68"/>
  <c r="N19"/>
  <c r="K35" i="188"/>
  <c r="K29" i="69"/>
  <c r="K19" i="32"/>
  <c r="K29" i="146"/>
  <c r="K15"/>
  <c r="N21" i="184"/>
  <c r="K19" i="240"/>
  <c r="K5" i="127"/>
  <c r="K23"/>
  <c r="K25" i="188"/>
  <c r="N31" i="205"/>
  <c r="K25" i="233"/>
  <c r="K11" i="197"/>
  <c r="K17" i="101"/>
  <c r="K35" i="197"/>
  <c r="N37" i="76"/>
  <c r="N33" i="2"/>
  <c r="N11" i="209"/>
  <c r="K13" i="47"/>
  <c r="N9" i="241"/>
  <c r="K31" i="195"/>
  <c r="N16" i="190"/>
  <c r="N19" i="125"/>
  <c r="K21" i="139"/>
  <c r="N19" i="194"/>
  <c r="N35" i="2"/>
  <c r="N55" i="184"/>
  <c r="K11" i="324"/>
  <c r="K27" i="101"/>
  <c r="N11" i="113"/>
  <c r="N11" i="205"/>
  <c r="K35" i="290"/>
  <c r="K19"/>
  <c r="N37" i="301"/>
  <c r="N29" i="46"/>
  <c r="K7" i="83"/>
  <c r="K23"/>
  <c r="N39"/>
  <c r="K49"/>
  <c r="K27" i="336"/>
  <c r="N37"/>
  <c r="K24" i="338"/>
  <c r="N21" i="341"/>
  <c r="N25"/>
  <c r="N6" i="342"/>
  <c r="K22"/>
  <c r="N13" i="345"/>
  <c r="K7" i="355"/>
  <c r="N19" i="356"/>
  <c r="K29"/>
  <c r="N22" i="307"/>
  <c r="K5" i="332"/>
  <c r="K8" i="342"/>
  <c r="N41" i="364"/>
  <c r="K17"/>
  <c r="K33" i="282"/>
  <c r="N27" i="331"/>
  <c r="K31" i="348"/>
  <c r="K25" i="280"/>
  <c r="N17" i="290"/>
  <c r="N19" i="220"/>
  <c r="K19"/>
  <c r="K17" i="57"/>
  <c r="N17"/>
  <c r="N21" i="126"/>
  <c r="K21"/>
  <c r="N5" i="237"/>
  <c r="K25" i="205"/>
  <c r="N25"/>
  <c r="N41"/>
  <c r="K41"/>
  <c r="N23" i="226"/>
  <c r="K17" i="60"/>
  <c r="K5" i="72"/>
  <c r="N41" i="76"/>
  <c r="K41"/>
  <c r="N29" i="63"/>
  <c r="K19" i="292"/>
  <c r="N19"/>
  <c r="N21" i="309"/>
  <c r="K21"/>
  <c r="K34" i="338"/>
  <c r="N34"/>
  <c r="N41" i="344"/>
  <c r="K41"/>
  <c r="N23" i="345"/>
  <c r="K23"/>
  <c r="N23" i="355"/>
  <c r="K23"/>
  <c r="K33"/>
  <c r="N33"/>
  <c r="K25" i="365"/>
  <c r="N25"/>
  <c r="N5" i="137"/>
  <c r="K29" i="188"/>
  <c r="N13" i="85"/>
  <c r="K13"/>
  <c r="K19" i="47"/>
  <c r="N13" i="72"/>
  <c r="K13"/>
  <c r="N13" i="204"/>
  <c r="K25" i="32"/>
  <c r="K25" i="232"/>
  <c r="N37" i="226"/>
  <c r="N33" i="74"/>
  <c r="K33"/>
  <c r="N11" i="241"/>
  <c r="K18" i="109"/>
  <c r="N18"/>
  <c r="N7" i="221"/>
  <c r="N23" i="93"/>
  <c r="N23" i="204"/>
  <c r="K7" i="240"/>
  <c r="N15" i="93"/>
  <c r="N15" i="31"/>
  <c r="K45" i="210"/>
  <c r="N45"/>
  <c r="N19" i="60"/>
  <c r="K19"/>
  <c r="K15" i="65"/>
  <c r="N15"/>
  <c r="N21" i="136"/>
  <c r="N11" i="42"/>
  <c r="N23" i="140"/>
  <c r="N23" i="188"/>
  <c r="K23"/>
  <c r="K37" i="79"/>
  <c r="K7" i="127"/>
  <c r="N27" i="233"/>
  <c r="N15" i="181"/>
  <c r="N42" i="214"/>
  <c r="N39" i="65"/>
  <c r="K23" i="96"/>
  <c r="K11" i="140"/>
  <c r="N23" i="47"/>
  <c r="N37"/>
  <c r="K5" i="282"/>
  <c r="N21" i="299"/>
  <c r="K35" i="313"/>
  <c r="N19" i="46"/>
  <c r="K35"/>
  <c r="N13" i="83"/>
  <c r="N29"/>
  <c r="K44"/>
  <c r="K52"/>
  <c r="K37" i="336"/>
  <c r="K6" i="342"/>
  <c r="K13" i="285"/>
  <c r="N13" i="307"/>
  <c r="N17" i="233"/>
  <c r="K8" i="109"/>
  <c r="N11" i="278"/>
  <c r="K33" i="240"/>
  <c r="K33" i="204"/>
  <c r="K13" i="209"/>
  <c r="N29" i="5"/>
  <c r="N9" i="194"/>
  <c r="K29" i="139"/>
  <c r="K5" i="221"/>
  <c r="K29" i="332"/>
  <c r="K27" i="137"/>
  <c r="K35" i="264"/>
  <c r="K19" i="313"/>
  <c r="N15" i="282"/>
  <c r="K28" i="303"/>
  <c r="N15" i="130"/>
  <c r="N27" i="335"/>
  <c r="N23" i="262"/>
  <c r="N26" i="307"/>
  <c r="N9" i="309"/>
  <c r="K29"/>
  <c r="K19" i="311"/>
  <c r="N33" i="125"/>
  <c r="N5" i="290"/>
  <c r="N17" i="346"/>
  <c r="N29" i="122"/>
  <c r="K23" i="171"/>
  <c r="N13" i="333"/>
  <c r="K14" i="349"/>
  <c r="N13" i="324"/>
  <c r="K5" i="5"/>
  <c r="K11" i="329"/>
  <c r="N15" i="83"/>
  <c r="K21"/>
  <c r="N37"/>
  <c r="N48"/>
  <c r="K7" i="331"/>
  <c r="N17" i="332"/>
  <c r="N29" i="335"/>
  <c r="N15" i="336"/>
  <c r="K25"/>
  <c r="N35"/>
  <c r="N17" i="337"/>
  <c r="K10" i="340"/>
  <c r="N14"/>
  <c r="N20"/>
  <c r="N33" i="341"/>
  <c r="N11" i="348"/>
  <c r="N19" i="334"/>
  <c r="K14" i="342"/>
  <c r="N17" i="364"/>
  <c r="K29" i="31"/>
  <c r="N9" i="124"/>
  <c r="K9"/>
  <c r="K11" i="57"/>
  <c r="N11"/>
  <c r="N39" i="188"/>
  <c r="K13" i="79"/>
  <c r="N13"/>
  <c r="K13" i="179"/>
  <c r="K13" i="18"/>
  <c r="N41" i="221"/>
  <c r="K41"/>
  <c r="K17" i="127"/>
  <c r="N17"/>
  <c r="N35" i="229"/>
  <c r="K35"/>
  <c r="K5" i="56"/>
  <c r="N5"/>
  <c r="K11" i="159"/>
  <c r="N9" i="229"/>
  <c r="K17" i="65"/>
  <c r="K29"/>
  <c r="N29"/>
  <c r="N27" i="79"/>
  <c r="N39" i="63"/>
  <c r="K39"/>
  <c r="K27" i="280"/>
  <c r="N27"/>
  <c r="K7" i="282"/>
  <c r="N7"/>
  <c r="K13"/>
  <c r="N13"/>
  <c r="K9" i="285"/>
  <c r="N9"/>
  <c r="K25"/>
  <c r="N25"/>
  <c r="N29" i="292"/>
  <c r="K29"/>
  <c r="K5" i="294"/>
  <c r="N5"/>
  <c r="N31"/>
  <c r="K31"/>
  <c r="K15" i="299"/>
  <c r="N15"/>
  <c r="N25" i="301"/>
  <c r="K25"/>
  <c r="K21" i="79"/>
  <c r="K39" i="65"/>
  <c r="K13" i="5"/>
  <c r="N13"/>
  <c r="K5" i="79"/>
  <c r="K9" i="179"/>
  <c r="N9"/>
  <c r="K21" i="113"/>
  <c r="N21"/>
  <c r="N13" i="240"/>
  <c r="K31"/>
  <c r="N31"/>
  <c r="N35" i="140"/>
  <c r="K21" i="179"/>
  <c r="K11" i="79"/>
  <c r="N11"/>
  <c r="K9" i="5"/>
  <c r="N29" i="96"/>
  <c r="K29"/>
  <c r="N7" i="205"/>
  <c r="K7"/>
  <c r="N27" i="25"/>
  <c r="K27"/>
  <c r="K7" i="285"/>
  <c r="K15" i="292"/>
  <c r="N15"/>
  <c r="N29" i="294"/>
  <c r="K29"/>
  <c r="N35" i="297"/>
  <c r="K35"/>
  <c r="K11" i="305"/>
  <c r="N35"/>
  <c r="K35"/>
  <c r="N9" i="5"/>
  <c r="K7" i="37"/>
  <c r="N35" i="18"/>
  <c r="N5" i="282"/>
  <c r="N11" i="125"/>
  <c r="K11"/>
  <c r="K19" i="96"/>
  <c r="N19"/>
  <c r="N17" i="79"/>
  <c r="K17"/>
  <c r="K27" i="191"/>
  <c r="K19" i="226"/>
  <c r="K17" i="179"/>
  <c r="N25" i="65"/>
  <c r="K25"/>
  <c r="K35"/>
  <c r="N35"/>
  <c r="K11" i="126"/>
  <c r="N11"/>
  <c r="K6" i="109"/>
  <c r="N6"/>
  <c r="N16"/>
  <c r="K16"/>
  <c r="K35" i="96"/>
  <c r="K43" i="47"/>
  <c r="N25" i="85"/>
  <c r="K25"/>
  <c r="K39"/>
  <c r="K5" i="285"/>
  <c r="N5"/>
  <c r="N11"/>
  <c r="K11"/>
  <c r="K35"/>
  <c r="N35"/>
  <c r="N31" i="287"/>
  <c r="K31"/>
  <c r="N27" i="292"/>
  <c r="K27"/>
  <c r="N7" i="294"/>
  <c r="K7"/>
  <c r="N23" i="297"/>
  <c r="K23"/>
  <c r="N13" i="299"/>
  <c r="K13"/>
  <c r="K35" i="301"/>
  <c r="N35"/>
  <c r="N8" i="303"/>
  <c r="K8"/>
  <c r="K24"/>
  <c r="N24"/>
  <c r="N11" i="140"/>
  <c r="K27" i="2"/>
  <c r="K17" i="290"/>
  <c r="N17" i="56"/>
  <c r="N23" i="324"/>
  <c r="K23"/>
  <c r="N21" i="331"/>
  <c r="K21"/>
  <c r="N21" i="332"/>
  <c r="K21"/>
  <c r="N17" i="345"/>
  <c r="K17"/>
  <c r="N10" i="342"/>
  <c r="N35" i="313"/>
  <c r="K31" i="332"/>
  <c r="K17"/>
  <c r="K29" i="46"/>
  <c r="N15" i="324"/>
  <c r="K24" i="307"/>
  <c r="K33" i="341"/>
  <c r="K20" i="340"/>
  <c r="K19" i="352"/>
  <c r="N8" i="340"/>
  <c r="K26" i="307"/>
  <c r="N25" i="336"/>
  <c r="K12" i="30"/>
  <c r="N12"/>
  <c r="N37" i="137"/>
  <c r="K37"/>
  <c r="N5" i="136"/>
  <c r="K5"/>
  <c r="K17" i="197"/>
  <c r="N17"/>
  <c r="K23" i="74"/>
  <c r="K13" i="46"/>
  <c r="N13"/>
  <c r="K5" i="341"/>
  <c r="K27" i="331"/>
  <c r="N7" i="83"/>
  <c r="K13" i="345"/>
  <c r="N33" i="332"/>
  <c r="N25" i="331"/>
  <c r="N52" i="83"/>
  <c r="N44"/>
  <c r="K29"/>
  <c r="K13"/>
  <c r="K9" i="329"/>
  <c r="K15" i="345"/>
  <c r="K25" i="341"/>
  <c r="N5" i="329"/>
  <c r="K14" i="340"/>
  <c r="K11" i="348"/>
  <c r="K39" i="88"/>
  <c r="N21" i="324"/>
  <c r="K21"/>
  <c r="N37" i="341"/>
  <c r="N8" i="342"/>
  <c r="N11" i="329"/>
  <c r="N27" i="309"/>
  <c r="N39" i="341"/>
  <c r="N49" i="83"/>
  <c r="K39"/>
  <c r="N23"/>
  <c r="N35" i="46"/>
  <c r="N27" i="336"/>
  <c r="N11" i="324"/>
  <c r="K35" i="336"/>
  <c r="K13" i="307"/>
  <c r="K14"/>
  <c r="N19" i="124"/>
  <c r="N27" i="195"/>
  <c r="N7" i="14"/>
  <c r="K23" i="98"/>
  <c r="N17" i="101"/>
  <c r="N9" i="98"/>
  <c r="N33" i="178"/>
  <c r="K15" i="181"/>
  <c r="N39" i="41"/>
  <c r="N15" i="136"/>
  <c r="N27" i="159"/>
  <c r="K27"/>
  <c r="N29" i="226"/>
  <c r="K41" i="164"/>
  <c r="K7" i="241"/>
  <c r="N37" i="188"/>
  <c r="K37" i="221"/>
  <c r="N35" i="185"/>
  <c r="N35" i="226"/>
  <c r="N43" i="229"/>
  <c r="N21" i="191"/>
  <c r="K22" i="183"/>
  <c r="K37" i="18"/>
  <c r="N17" i="237"/>
  <c r="K43" i="37"/>
  <c r="K15" i="204"/>
  <c r="K35" i="69"/>
  <c r="N11" i="199"/>
  <c r="K29"/>
  <c r="N25" i="233"/>
  <c r="N7" i="25"/>
  <c r="N25" i="47"/>
  <c r="N5" i="72"/>
  <c r="N33" i="69"/>
  <c r="K39" i="127"/>
  <c r="N27" i="209"/>
  <c r="N40" i="279"/>
  <c r="N31" i="241"/>
  <c r="N9" i="31"/>
  <c r="K19" i="264"/>
  <c r="N9" i="273"/>
  <c r="N9" i="282"/>
  <c r="N29" i="285"/>
  <c r="N21" i="260"/>
  <c r="N21" i="270"/>
  <c r="N8" i="279"/>
  <c r="K41" i="283"/>
  <c r="K27" i="285"/>
  <c r="K31" i="299"/>
  <c r="K51" i="184"/>
  <c r="N33" i="333"/>
  <c r="N9" i="365"/>
  <c r="K9"/>
  <c r="K21" i="352"/>
  <c r="N33" i="365"/>
  <c r="K33"/>
  <c r="N5" i="299"/>
  <c r="K22" i="307"/>
  <c r="N10" i="340"/>
  <c r="N11" i="335"/>
  <c r="K27" i="354"/>
  <c r="N35"/>
  <c r="N33" i="324"/>
  <c r="K5" i="174"/>
  <c r="K19" i="171"/>
  <c r="N29" i="332"/>
  <c r="K25" i="346"/>
  <c r="N19" i="347"/>
  <c r="K9" i="171"/>
  <c r="N5" i="352"/>
  <c r="N37"/>
  <c r="N27" i="355"/>
  <c r="K21" i="356"/>
  <c r="N5"/>
  <c r="K23" i="364"/>
  <c r="N39"/>
  <c r="K33" i="185"/>
  <c r="N35" i="98"/>
  <c r="K35"/>
  <c r="N27" i="337"/>
  <c r="K27"/>
  <c r="K13" i="355"/>
  <c r="N13"/>
  <c r="K17" i="237"/>
  <c r="K43" i="229"/>
  <c r="K15" i="130"/>
  <c r="K21" i="191"/>
  <c r="N19" i="313"/>
  <c r="N43" i="197"/>
  <c r="K27" i="76"/>
  <c r="N27"/>
  <c r="K13" i="181"/>
  <c r="N5" i="179"/>
  <c r="N29" i="37"/>
  <c r="K29"/>
  <c r="K29" i="140"/>
  <c r="K29" i="32"/>
  <c r="N5" i="331"/>
  <c r="K5"/>
  <c r="K50" i="209"/>
  <c r="K15" i="197"/>
  <c r="K37" i="209"/>
  <c r="N14" i="183"/>
  <c r="N19" i="179"/>
  <c r="K19"/>
  <c r="K29" i="221"/>
  <c r="N29"/>
  <c r="N19" i="42"/>
  <c r="K19"/>
  <c r="N43" i="324"/>
  <c r="K43"/>
  <c r="K9" i="334"/>
  <c r="K17" i="233"/>
  <c r="K29" i="226"/>
  <c r="N32" i="32"/>
  <c r="N29" i="220"/>
  <c r="K29"/>
  <c r="N13" i="237"/>
  <c r="K13"/>
  <c r="N37" i="146"/>
  <c r="N31" i="136"/>
  <c r="K39"/>
  <c r="N39"/>
  <c r="N43" i="159"/>
  <c r="K43"/>
  <c r="K11" i="240"/>
  <c r="N11"/>
  <c r="N7" i="181"/>
  <c r="K7"/>
  <c r="N13" i="226"/>
  <c r="K13"/>
  <c r="K27" i="229"/>
  <c r="N27"/>
  <c r="K31" i="125"/>
  <c r="N31"/>
  <c r="K15" i="278"/>
  <c r="N15"/>
  <c r="K31" i="334"/>
  <c r="N22" i="183"/>
  <c r="K15" i="56"/>
  <c r="N15" i="204"/>
  <c r="N27" i="260"/>
  <c r="K33" i="324"/>
  <c r="K11" i="93"/>
  <c r="N11"/>
  <c r="K11" i="137"/>
  <c r="N11" i="139"/>
  <c r="K11"/>
  <c r="N9" i="188"/>
  <c r="K9"/>
  <c r="K35" i="159"/>
  <c r="K45"/>
  <c r="N45"/>
  <c r="K31" i="127"/>
  <c r="N31"/>
  <c r="K9" i="31"/>
  <c r="K37" i="204"/>
  <c r="N27" i="98"/>
  <c r="K41" i="336"/>
  <c r="K31" i="205"/>
  <c r="N19" i="93"/>
  <c r="K19"/>
  <c r="K11" i="31"/>
  <c r="N11"/>
  <c r="N11" i="14"/>
  <c r="K11"/>
  <c r="N19" i="181"/>
  <c r="K25" i="68"/>
  <c r="N25"/>
  <c r="N21" i="348"/>
  <c r="K21"/>
  <c r="K45" i="209"/>
  <c r="K11"/>
  <c r="K33" i="96"/>
  <c r="K35" i="204"/>
  <c r="N19" i="171"/>
  <c r="K41" i="31"/>
  <c r="N9" i="195"/>
  <c r="K9"/>
  <c r="N31" i="88"/>
  <c r="K31"/>
  <c r="K15" i="185"/>
  <c r="K21" i="181"/>
  <c r="N21"/>
  <c r="K33" i="221"/>
  <c r="N33"/>
  <c r="N27" i="68"/>
  <c r="K27"/>
  <c r="N21" i="205"/>
  <c r="N15" i="124"/>
  <c r="N8" i="173"/>
  <c r="K8"/>
  <c r="N35" i="341"/>
  <c r="K35"/>
  <c r="K21" i="345"/>
  <c r="N21"/>
  <c r="N29" i="146"/>
  <c r="K29" i="122"/>
  <c r="K5" i="25"/>
  <c r="N5" i="332"/>
  <c r="K5" i="130"/>
  <c r="K19" i="25"/>
  <c r="K41" i="63"/>
  <c r="N19" i="195"/>
  <c r="K35"/>
  <c r="N35"/>
  <c r="N43"/>
  <c r="K43"/>
  <c r="N19" i="159"/>
  <c r="K19"/>
  <c r="N21" i="37"/>
  <c r="K21"/>
  <c r="N29" i="139"/>
  <c r="N21" i="125"/>
  <c r="N39" i="127"/>
  <c r="K21" i="72"/>
  <c r="K9" i="2"/>
  <c r="N17" i="199"/>
  <c r="N19" i="32"/>
  <c r="N27" i="74"/>
  <c r="K11" i="278"/>
  <c r="K25" i="287"/>
  <c r="K21" i="301"/>
  <c r="N13" i="313"/>
  <c r="N33" i="272"/>
  <c r="K15" i="274"/>
  <c r="K37" i="287"/>
  <c r="N29" i="309"/>
  <c r="K24" i="279"/>
  <c r="N23" i="287"/>
  <c r="N37" i="299"/>
  <c r="K39" i="309"/>
  <c r="K19" i="122"/>
  <c r="K16" i="173"/>
  <c r="K29" i="333"/>
  <c r="N23" i="365"/>
  <c r="K23"/>
  <c r="N27"/>
  <c r="K27"/>
  <c r="N15"/>
  <c r="K15"/>
  <c r="N19"/>
  <c r="K19"/>
  <c r="N5" i="364"/>
  <c r="K5"/>
  <c r="N21"/>
  <c r="K21"/>
  <c r="K37"/>
  <c r="N37"/>
  <c r="N11"/>
  <c r="K11"/>
  <c r="N27"/>
  <c r="K27"/>
  <c r="N43"/>
  <c r="K43"/>
  <c r="N9"/>
  <c r="K33"/>
  <c r="N33"/>
  <c r="K7" i="365"/>
  <c r="N11"/>
  <c r="K11"/>
  <c r="N7" i="364"/>
  <c r="K7"/>
  <c r="K13"/>
  <c r="N13"/>
  <c r="N29"/>
  <c r="K29"/>
  <c r="N29" i="365"/>
  <c r="K29"/>
  <c r="N19" i="364"/>
  <c r="K19"/>
  <c r="N35"/>
  <c r="K35"/>
  <c r="N21" i="365"/>
  <c r="K21"/>
  <c r="K25" i="364"/>
  <c r="N25"/>
  <c r="N13" i="365"/>
  <c r="N39"/>
  <c r="K39"/>
  <c r="K15" i="364"/>
  <c r="N31"/>
  <c r="N5" i="365"/>
  <c r="K5"/>
  <c r="N31"/>
  <c r="K31"/>
  <c r="N35"/>
  <c r="K35"/>
  <c r="K11" i="361"/>
  <c r="N11"/>
  <c r="K19"/>
  <c r="K27"/>
  <c r="N27"/>
  <c r="N9"/>
  <c r="K9"/>
  <c r="K17"/>
  <c r="N17"/>
  <c r="N25"/>
  <c r="K25"/>
  <c r="K33"/>
  <c r="N33"/>
  <c r="N5"/>
  <c r="K5"/>
  <c r="N21"/>
  <c r="K21"/>
  <c r="N37"/>
  <c r="K37"/>
  <c r="K7"/>
  <c r="N7"/>
  <c r="K15"/>
  <c r="N15"/>
  <c r="K23"/>
  <c r="N23"/>
  <c r="K31"/>
  <c r="N31"/>
  <c r="K39"/>
  <c r="N39"/>
  <c r="K27" i="113"/>
  <c r="N27"/>
  <c r="N31" i="179"/>
  <c r="K31"/>
  <c r="K13" i="127"/>
  <c r="N33" i="140"/>
  <c r="K33"/>
  <c r="K21" i="209"/>
  <c r="K37" i="65"/>
  <c r="N13" i="56"/>
  <c r="K13"/>
  <c r="N5" i="140"/>
  <c r="K5"/>
  <c r="K27" i="221"/>
  <c r="K34" i="183"/>
  <c r="K39" i="229"/>
  <c r="K23" i="221"/>
  <c r="K9" i="191"/>
  <c r="N9"/>
  <c r="K29" i="204"/>
  <c r="N29"/>
  <c r="N8" i="183"/>
  <c r="N9" i="221"/>
  <c r="K9"/>
  <c r="N26" i="183"/>
  <c r="K26"/>
  <c r="K38"/>
  <c r="N38"/>
  <c r="K23" i="65"/>
  <c r="N23"/>
  <c r="K25" i="60"/>
  <c r="N25"/>
  <c r="K28" i="183"/>
  <c r="N28"/>
  <c r="K37" i="113"/>
  <c r="N37"/>
  <c r="N19" i="209"/>
  <c r="K19"/>
  <c r="K19" i="146"/>
  <c r="K23" i="159"/>
  <c r="N7" i="240"/>
  <c r="N19" i="37"/>
  <c r="N23" i="113"/>
  <c r="K33"/>
  <c r="N11" i="179"/>
  <c r="K9" i="79"/>
  <c r="K21" i="88"/>
  <c r="K11" i="18"/>
  <c r="K38" i="214"/>
  <c r="N19" i="69"/>
  <c r="K7" i="209"/>
  <c r="K35" i="233"/>
  <c r="K43" i="5"/>
  <c r="K27" i="69"/>
  <c r="K17" i="126"/>
  <c r="N5" i="188"/>
  <c r="N17" i="5"/>
  <c r="N35"/>
  <c r="N9" i="69"/>
  <c r="N5" i="214"/>
  <c r="N20" i="109"/>
  <c r="N30"/>
  <c r="K10" i="279"/>
  <c r="K21" i="282"/>
  <c r="N21" i="283"/>
  <c r="K9" i="287"/>
  <c r="K39"/>
  <c r="K37" i="290"/>
  <c r="K23" i="367"/>
  <c r="N23"/>
  <c r="K41" i="337"/>
  <c r="N21" i="367"/>
  <c r="N35"/>
  <c r="K5" i="344"/>
  <c r="N35" i="352"/>
  <c r="N9" i="367"/>
  <c r="K39" i="333"/>
  <c r="K19" i="347"/>
  <c r="N11" i="367"/>
  <c r="K11" i="331"/>
  <c r="N29" i="356"/>
  <c r="N23" i="343"/>
  <c r="K13" i="146"/>
  <c r="K7" i="280"/>
  <c r="K29" i="197"/>
  <c r="N39" i="287"/>
  <c r="K5" i="146"/>
  <c r="K5" i="88"/>
  <c r="K9" i="69"/>
  <c r="K31" i="101"/>
  <c r="N10" i="279"/>
  <c r="N27" i="63"/>
  <c r="N37" i="220"/>
  <c r="N19" i="146"/>
  <c r="K19" i="101"/>
  <c r="K23" i="113"/>
  <c r="K11" i="179"/>
  <c r="K46"/>
  <c r="K21" i="283"/>
  <c r="N35" i="278"/>
  <c r="K17" i="137"/>
  <c r="N29" i="232"/>
  <c r="N37" i="290"/>
  <c r="N9" i="79"/>
  <c r="N19" i="85"/>
  <c r="N19" i="136"/>
  <c r="K15" i="283"/>
  <c r="N15" i="280"/>
  <c r="N41" i="137"/>
  <c r="N17" i="214"/>
  <c r="N34" i="279"/>
  <c r="N33" i="137"/>
  <c r="N11" i="282"/>
  <c r="K5" i="214"/>
  <c r="N37" i="283"/>
  <c r="N13" i="287"/>
  <c r="N9"/>
  <c r="N5" i="232"/>
  <c r="K17" i="2"/>
  <c r="N23" i="85"/>
  <c r="N21" i="282"/>
  <c r="K39" i="101"/>
  <c r="K15" i="220"/>
  <c r="K19" i="285"/>
  <c r="N23" i="60"/>
  <c r="K15" i="188"/>
  <c r="N21" i="139"/>
  <c r="K21" i="262"/>
  <c r="N23" i="252"/>
  <c r="N21" i="265"/>
  <c r="N25" i="283"/>
  <c r="N13" i="367"/>
  <c r="K13"/>
  <c r="N19"/>
  <c r="K19"/>
  <c r="K31"/>
  <c r="N31"/>
  <c r="N39" i="292"/>
  <c r="K9" i="283"/>
  <c r="N39" i="285"/>
  <c r="K45" i="290"/>
  <c r="N23" i="292"/>
  <c r="N5" i="317"/>
  <c r="N26" i="173"/>
  <c r="N31" i="122"/>
  <c r="K37" i="335"/>
  <c r="N31" i="346"/>
  <c r="N7" i="332"/>
  <c r="K7" i="333"/>
  <c r="K29" i="334"/>
  <c r="K41" i="341"/>
  <c r="K15" i="346"/>
  <c r="K23" i="358"/>
  <c r="K35" i="367"/>
  <c r="K37"/>
  <c r="N37"/>
  <c r="K11"/>
  <c r="K13" i="354"/>
  <c r="N27" i="367"/>
  <c r="K27"/>
  <c r="N7" i="352"/>
  <c r="N29" i="367"/>
  <c r="K29"/>
  <c r="K15" i="159"/>
  <c r="N15"/>
  <c r="N35" i="127"/>
  <c r="K35"/>
  <c r="K5" i="229"/>
  <c r="N5"/>
  <c r="N33"/>
  <c r="N41"/>
  <c r="K43" i="204"/>
  <c r="N43"/>
  <c r="K23" i="79"/>
  <c r="N23"/>
  <c r="K19" i="88"/>
  <c r="N19"/>
  <c r="N27" i="126"/>
  <c r="K27"/>
  <c r="K10" i="109"/>
  <c r="N10"/>
  <c r="N9" i="205"/>
  <c r="K9"/>
  <c r="N17"/>
  <c r="K17"/>
  <c r="N39"/>
  <c r="K39"/>
  <c r="N9" i="233"/>
  <c r="K9"/>
  <c r="K19"/>
  <c r="N19"/>
  <c r="N29" i="98"/>
  <c r="K29"/>
  <c r="K15" i="47"/>
  <c r="N15"/>
  <c r="N11" i="124"/>
  <c r="K11"/>
  <c r="N31" i="14"/>
  <c r="K13" i="241"/>
  <c r="N41"/>
  <c r="K41"/>
  <c r="N37" i="37"/>
  <c r="K13" i="229"/>
  <c r="K25" i="5"/>
  <c r="N27" i="72"/>
  <c r="N31" i="5"/>
  <c r="K23" i="197"/>
  <c r="N23"/>
  <c r="N43" i="185"/>
  <c r="K43"/>
  <c r="N11" i="56"/>
  <c r="K11"/>
  <c r="K23" i="14"/>
  <c r="N23"/>
  <c r="K37" i="88"/>
  <c r="N9" i="185"/>
  <c r="K9"/>
  <c r="N25" i="181"/>
  <c r="K25" i="194"/>
  <c r="N7"/>
  <c r="N29" i="88"/>
  <c r="K13" i="74"/>
  <c r="N13"/>
  <c r="N29" i="60"/>
  <c r="K29"/>
  <c r="N9" i="209"/>
  <c r="K9"/>
  <c r="N5" i="41"/>
  <c r="K5"/>
  <c r="K25" i="31"/>
  <c r="N25"/>
  <c r="K15" i="221"/>
  <c r="N21" i="96"/>
  <c r="K13" i="188"/>
  <c r="K45" i="69"/>
  <c r="N41" i="195"/>
  <c r="N37" i="178"/>
  <c r="N15" i="5"/>
  <c r="N35" i="220"/>
  <c r="N9" i="60"/>
  <c r="K27" i="214"/>
  <c r="K39" i="159"/>
  <c r="N39"/>
  <c r="K15" i="69"/>
  <c r="N15" i="37"/>
  <c r="K15" i="32"/>
  <c r="N23"/>
  <c r="N21" i="280"/>
  <c r="K17" i="159"/>
  <c r="K11" i="76"/>
  <c r="K9" i="127"/>
  <c r="N27" i="41"/>
  <c r="N25" i="14"/>
  <c r="K23" i="220"/>
  <c r="K13" i="76"/>
  <c r="N18" i="342"/>
  <c r="K9" i="245"/>
  <c r="K17" i="329"/>
  <c r="K37" i="292"/>
  <c r="N39" i="347"/>
  <c r="K33" i="5"/>
  <c r="N37" i="197"/>
  <c r="K29" i="137"/>
  <c r="K33" i="220"/>
  <c r="K31" i="57"/>
  <c r="N11" i="352"/>
  <c r="K29" i="127"/>
  <c r="N29" i="205"/>
  <c r="K28" i="279"/>
  <c r="K17" i="32"/>
  <c r="N25" i="63"/>
  <c r="N33" i="347"/>
  <c r="N21" i="68"/>
  <c r="K7" i="140"/>
  <c r="N25" i="347"/>
  <c r="N23" i="146"/>
  <c r="N33" i="226"/>
  <c r="N17" i="93"/>
  <c r="N7" i="18"/>
  <c r="K27" i="188"/>
  <c r="K21" i="278"/>
  <c r="N11" i="280"/>
  <c r="K31" i="31"/>
  <c r="N39" i="179"/>
  <c r="N15" i="367"/>
  <c r="N15" i="237"/>
  <c r="K7" i="146"/>
  <c r="K11" i="60"/>
  <c r="N25" i="278"/>
  <c r="N33" i="85"/>
  <c r="K24" i="30"/>
  <c r="N13" i="96"/>
  <c r="N27" i="290"/>
  <c r="N33" i="146"/>
  <c r="N33" i="76"/>
  <c r="K29" i="47"/>
  <c r="N11" i="345"/>
  <c r="K39" i="325"/>
  <c r="K31" i="37"/>
  <c r="K21" i="344"/>
  <c r="K26" i="342"/>
  <c r="N19" i="270"/>
  <c r="N19" i="139"/>
  <c r="N11" i="127"/>
  <c r="N43" i="76"/>
  <c r="N39" i="348"/>
  <c r="N39" i="47"/>
  <c r="N15" i="25"/>
  <c r="N11" i="171"/>
  <c r="N7" i="6"/>
  <c r="K41" i="159"/>
  <c r="K21" i="2"/>
  <c r="K41" i="245"/>
  <c r="K43" i="41"/>
  <c r="N37" i="127"/>
  <c r="K33" i="124"/>
  <c r="K31" i="60"/>
  <c r="K13" i="125"/>
  <c r="K7" i="31"/>
  <c r="N19" i="232"/>
  <c r="K9" i="237"/>
  <c r="K7" i="325"/>
  <c r="N5" i="347"/>
  <c r="K14" i="109"/>
  <c r="N31" i="146"/>
  <c r="N17" i="72"/>
  <c r="K29" i="125"/>
  <c r="N50" i="209"/>
  <c r="N41" i="101"/>
  <c r="K41"/>
  <c r="K8" i="183"/>
  <c r="K39" i="31"/>
  <c r="K27" i="5"/>
  <c r="N21" i="101"/>
  <c r="K35" i="47"/>
  <c r="N21" i="209"/>
  <c r="N41"/>
  <c r="N17" i="2"/>
  <c r="N29" i="260"/>
  <c r="K17" i="278"/>
  <c r="K16" i="279"/>
  <c r="K31" i="265"/>
  <c r="N37" i="262"/>
  <c r="K15" i="198"/>
  <c r="N15" i="122"/>
  <c r="N9" i="6"/>
  <c r="K21" i="198"/>
  <c r="K13" i="336"/>
  <c r="K20" i="338"/>
  <c r="N31" i="341"/>
  <c r="K5" i="333"/>
  <c r="N14" i="342"/>
  <c r="K5" i="367"/>
  <c r="N5"/>
  <c r="K37" i="368"/>
  <c r="N37"/>
  <c r="N11"/>
  <c r="K11"/>
  <c r="N23" i="354"/>
  <c r="N21" i="356"/>
  <c r="N7" i="368"/>
  <c r="K7"/>
  <c r="N27"/>
  <c r="K17"/>
  <c r="N13"/>
  <c r="K9"/>
  <c r="N5" i="357"/>
  <c r="K5"/>
  <c r="K21"/>
  <c r="N21"/>
  <c r="N29"/>
  <c r="K29"/>
  <c r="K23"/>
  <c r="N23"/>
  <c r="N17"/>
  <c r="K17"/>
  <c r="N33"/>
  <c r="K33"/>
  <c r="K7"/>
  <c r="N7"/>
  <c r="K31"/>
  <c r="N31"/>
  <c r="K19"/>
  <c r="N27"/>
  <c r="K27"/>
  <c r="K13"/>
  <c r="N15"/>
  <c r="N11"/>
  <c r="N9"/>
  <c r="K46" i="2"/>
  <c r="K19" i="214"/>
  <c r="N37" i="63"/>
  <c r="N45" i="220"/>
  <c r="N47" i="209"/>
  <c r="N11" i="178"/>
  <c r="N47" i="14"/>
  <c r="K47"/>
  <c r="N38" i="88"/>
  <c r="K38"/>
  <c r="K38" i="96"/>
  <c r="N38"/>
  <c r="N55" i="2"/>
  <c r="K55"/>
  <c r="K42" i="178"/>
  <c r="N42"/>
  <c r="N7" i="185"/>
  <c r="K7"/>
  <c r="N43" i="199"/>
  <c r="K43"/>
  <c r="N49" i="209"/>
  <c r="K49"/>
  <c r="K13" i="25"/>
  <c r="N13"/>
  <c r="K5" i="199"/>
  <c r="N53" i="14"/>
  <c r="K43" i="65"/>
  <c r="N43"/>
  <c r="N27" i="32"/>
  <c r="K43" i="63"/>
  <c r="N13" i="65"/>
  <c r="N52" i="209"/>
  <c r="N9" i="74"/>
  <c r="K11" i="226"/>
  <c r="N11"/>
  <c r="K27"/>
  <c r="N27"/>
  <c r="N29" i="79"/>
  <c r="K29"/>
  <c r="N15" i="194"/>
  <c r="K15"/>
  <c r="K13" i="139"/>
  <c r="N13"/>
  <c r="N42" i="32"/>
  <c r="K42"/>
  <c r="K40"/>
  <c r="N40"/>
  <c r="K37" i="214"/>
  <c r="N37"/>
  <c r="K5" i="31"/>
  <c r="N5"/>
  <c r="N29" i="101"/>
  <c r="K29"/>
  <c r="N8" i="30"/>
  <c r="K8"/>
  <c r="N26"/>
  <c r="K26"/>
  <c r="K15" i="232"/>
  <c r="N15"/>
  <c r="N19" i="127"/>
  <c r="K19"/>
  <c r="K50" i="14"/>
  <c r="N50"/>
  <c r="N36" i="32"/>
  <c r="K36"/>
  <c r="N7" i="188"/>
  <c r="K7"/>
  <c r="K17" i="41"/>
  <c r="N17"/>
  <c r="K21" i="93"/>
  <c r="N21"/>
  <c r="N5" i="252"/>
  <c r="K5"/>
  <c r="N21" i="32"/>
  <c r="K9" i="72"/>
  <c r="N9"/>
  <c r="N37" i="205"/>
  <c r="K37"/>
  <c r="K25" i="139"/>
  <c r="N25"/>
  <c r="K10" i="183"/>
  <c r="N10"/>
  <c r="K15" i="57"/>
  <c r="K17" i="42"/>
  <c r="N17"/>
  <c r="N29" i="241"/>
  <c r="N18" i="30"/>
  <c r="N23" i="125"/>
  <c r="K23"/>
  <c r="N48" i="179"/>
  <c r="N15" i="125"/>
  <c r="K17" i="146"/>
  <c r="K21" i="195"/>
  <c r="N21"/>
  <c r="N39" i="37"/>
  <c r="K39"/>
  <c r="K9" i="57"/>
  <c r="N9"/>
  <c r="N31" i="65"/>
  <c r="N37" i="41"/>
  <c r="N17" i="85"/>
  <c r="N11" i="195"/>
  <c r="K11"/>
  <c r="K21" i="76"/>
  <c r="N21"/>
  <c r="K19" i="56"/>
  <c r="N19"/>
  <c r="K7" i="159"/>
  <c r="N7"/>
  <c r="K7" i="68"/>
  <c r="N7"/>
  <c r="K15" i="184"/>
  <c r="N15"/>
  <c r="K23"/>
  <c r="N23"/>
  <c r="K5" i="32"/>
  <c r="K33" i="199"/>
  <c r="K17" i="194"/>
  <c r="N31" i="37"/>
  <c r="N37" i="57"/>
  <c r="N23" i="37"/>
  <c r="N43" i="240"/>
  <c r="K20" i="190"/>
  <c r="K7" i="42"/>
  <c r="N5" i="226"/>
  <c r="N19" i="241"/>
  <c r="K9" i="56"/>
  <c r="K39" i="76"/>
  <c r="N15" i="229"/>
  <c r="N33" i="96"/>
  <c r="K21" i="205"/>
  <c r="K13" i="42"/>
  <c r="K35" i="185"/>
  <c r="N27" i="31"/>
  <c r="N15" i="199"/>
  <c r="N41" i="159"/>
  <c r="N7" i="127"/>
  <c r="K7" i="226"/>
  <c r="N7" i="2"/>
  <c r="N13" i="209"/>
  <c r="K9" i="60"/>
  <c r="K15" i="5"/>
  <c r="N15" i="205"/>
  <c r="K15" i="98"/>
  <c r="N14" i="30"/>
  <c r="N56" i="2"/>
  <c r="N46" i="179"/>
  <c r="K7" i="195"/>
  <c r="N8" i="190"/>
  <c r="K17" i="68"/>
  <c r="K25" i="191"/>
  <c r="N7" i="209"/>
  <c r="K31" i="5"/>
  <c r="N7" i="241"/>
  <c r="K39" i="69"/>
  <c r="N10" i="190"/>
  <c r="K27" i="205"/>
  <c r="K41" i="179"/>
  <c r="N27" i="18"/>
  <c r="K35"/>
  <c r="K25" i="240"/>
  <c r="N9" i="127"/>
  <c r="N23"/>
  <c r="K37"/>
  <c r="N39" i="229"/>
  <c r="N15" i="221"/>
  <c r="K19" i="68"/>
  <c r="K25" i="2"/>
  <c r="N37" i="65"/>
  <c r="N11" i="60"/>
  <c r="N33" i="5"/>
  <c r="N7" i="126"/>
  <c r="K13" i="96"/>
  <c r="K5" i="233"/>
  <c r="N27" i="214"/>
  <c r="K21" i="125"/>
  <c r="N5"/>
  <c r="K13" i="31"/>
  <c r="K17" i="184"/>
  <c r="K39" i="5"/>
  <c r="N25" i="113"/>
  <c r="K5" i="185"/>
  <c r="K15" i="37"/>
  <c r="K29" i="191"/>
  <c r="K21" i="184"/>
  <c r="N25" i="194"/>
  <c r="K19" i="139"/>
  <c r="N25" i="241"/>
  <c r="N17" i="32"/>
  <c r="N21" i="368"/>
  <c r="K21"/>
  <c r="N25" i="32"/>
  <c r="K16" i="190"/>
  <c r="N17" i="270"/>
  <c r="K39" i="47"/>
  <c r="N33" i="124"/>
  <c r="K19" i="195"/>
  <c r="N31"/>
  <c r="N5" i="25"/>
  <c r="N41" i="283"/>
  <c r="K20" i="109"/>
  <c r="K19" i="194"/>
  <c r="N21" i="233"/>
  <c r="K31" i="241"/>
  <c r="K17" i="93"/>
  <c r="K25" i="47"/>
  <c r="N13" i="14"/>
  <c r="K23" i="32"/>
  <c r="N22" i="190"/>
  <c r="N43" i="41"/>
  <c r="N9" i="237"/>
  <c r="N25" i="232"/>
  <c r="N15" i="63"/>
  <c r="K25"/>
  <c r="N17" i="278"/>
  <c r="N43"/>
  <c r="K29" i="282"/>
  <c r="K5" i="264"/>
  <c r="N13" i="278"/>
  <c r="K15" i="280"/>
  <c r="N25" i="272"/>
  <c r="K27" i="41"/>
  <c r="K25" i="278"/>
  <c r="N37" i="292"/>
  <c r="N21" i="317"/>
  <c r="K23" i="333"/>
  <c r="K21" i="337"/>
  <c r="K27" i="290"/>
  <c r="N5" i="292"/>
  <c r="K9" i="367"/>
  <c r="K10" i="173"/>
  <c r="K31" i="335"/>
  <c r="K19" i="336"/>
  <c r="N35" i="337"/>
  <c r="N22" i="342"/>
  <c r="K9" i="343"/>
  <c r="N37" i="348"/>
  <c r="N13" i="357"/>
  <c r="K35" i="358"/>
  <c r="N15" i="369"/>
  <c r="K25" i="130"/>
  <c r="K21" i="335"/>
  <c r="K25" i="344"/>
  <c r="K29" i="345"/>
  <c r="K25" i="347"/>
  <c r="N17" i="352"/>
  <c r="K5" i="356"/>
  <c r="K21" i="367"/>
  <c r="N7" i="354"/>
  <c r="K27" i="360"/>
  <c r="K13" i="334"/>
  <c r="N21" i="344"/>
  <c r="N39" i="360"/>
  <c r="K33" i="368"/>
  <c r="N14" i="338"/>
  <c r="N30"/>
  <c r="K11" i="357"/>
  <c r="N31" i="360"/>
  <c r="N23" i="368"/>
  <c r="N15" i="360"/>
  <c r="N29" i="336"/>
  <c r="N19" i="369"/>
  <c r="N17" i="37"/>
  <c r="K17"/>
  <c r="N17" i="125"/>
  <c r="K29" i="41"/>
  <c r="N5" i="209"/>
  <c r="K5"/>
  <c r="K25" i="159"/>
  <c r="N25"/>
  <c r="K29"/>
  <c r="N29"/>
  <c r="K11" i="221"/>
  <c r="N11"/>
  <c r="N7" i="191"/>
  <c r="K7"/>
  <c r="K37" i="2"/>
  <c r="N37"/>
  <c r="N15" i="79"/>
  <c r="K15"/>
  <c r="N25" i="69"/>
  <c r="K25"/>
  <c r="N27" i="88"/>
  <c r="K27"/>
  <c r="K13" i="233"/>
  <c r="N13"/>
  <c r="K37" i="159"/>
  <c r="N37"/>
  <c r="K19" i="204"/>
  <c r="N19"/>
  <c r="K39" i="233"/>
  <c r="N39"/>
  <c r="K33" i="241"/>
  <c r="N33"/>
  <c r="K41" i="240"/>
  <c r="N41"/>
  <c r="K21" i="127"/>
  <c r="N21"/>
  <c r="N15" i="226"/>
  <c r="K15"/>
  <c r="K16" i="183"/>
  <c r="N16"/>
  <c r="K23" i="2"/>
  <c r="N23"/>
  <c r="N19" i="5"/>
  <c r="K19"/>
  <c r="N23" i="194"/>
  <c r="K23"/>
  <c r="N31" i="57"/>
  <c r="N15" i="32"/>
  <c r="N7" i="31"/>
  <c r="K29" i="178"/>
  <c r="K33" i="146"/>
  <c r="N13" i="76"/>
  <c r="K33"/>
  <c r="N15" i="197"/>
  <c r="N11" i="137"/>
  <c r="N11" i="197"/>
  <c r="K37"/>
  <c r="K31" i="146"/>
  <c r="N19" i="278"/>
  <c r="K33" i="85"/>
  <c r="K13" i="287"/>
  <c r="K11" i="330"/>
  <c r="K7" i="174"/>
  <c r="K11" i="282"/>
  <c r="N17" i="329"/>
  <c r="K11" i="280"/>
  <c r="K5" i="324"/>
  <c r="N13" i="325"/>
  <c r="N12" i="307"/>
  <c r="N16" i="342"/>
  <c r="N26"/>
  <c r="K15" i="344"/>
  <c r="K13" i="346"/>
  <c r="K33" i="347"/>
  <c r="N15" i="348"/>
  <c r="N5" i="369"/>
  <c r="K5"/>
  <c r="N21"/>
  <c r="K21"/>
  <c r="N37"/>
  <c r="K37"/>
  <c r="N9"/>
  <c r="K9"/>
  <c r="K15"/>
  <c r="N25"/>
  <c r="K25"/>
  <c r="N33" i="368"/>
  <c r="N13" i="369"/>
  <c r="K13"/>
  <c r="K19"/>
  <c r="N29"/>
  <c r="K29"/>
  <c r="K35"/>
  <c r="K37" i="358"/>
  <c r="K5" i="360"/>
  <c r="N25" i="262"/>
  <c r="K25"/>
  <c r="K41" i="264"/>
  <c r="N41"/>
  <c r="N19" i="333"/>
  <c r="K19"/>
  <c r="K19" i="262"/>
  <c r="N35"/>
  <c r="N23" i="195"/>
  <c r="K23"/>
  <c r="N33"/>
  <c r="K33"/>
  <c r="N43" i="164"/>
  <c r="K43"/>
  <c r="K29" i="76"/>
  <c r="N29"/>
  <c r="K7" i="41"/>
  <c r="N7"/>
  <c r="N35" i="241"/>
  <c r="K35"/>
  <c r="N19" i="14"/>
  <c r="K19"/>
  <c r="N23" i="124"/>
  <c r="K23"/>
  <c r="K13" i="184"/>
  <c r="N13"/>
  <c r="N11" i="69"/>
  <c r="K11"/>
  <c r="N41" i="146"/>
  <c r="K41"/>
  <c r="K23" i="245"/>
  <c r="N23"/>
  <c r="N5" i="260"/>
  <c r="K5"/>
  <c r="N13"/>
  <c r="K13"/>
  <c r="K9" i="307"/>
  <c r="N9"/>
  <c r="N41" i="309"/>
  <c r="K41"/>
  <c r="K9" i="310"/>
  <c r="N9"/>
  <c r="K25"/>
  <c r="N25"/>
  <c r="N15" i="311"/>
  <c r="K15"/>
  <c r="N31"/>
  <c r="K31"/>
  <c r="N57" i="184"/>
  <c r="K57"/>
  <c r="K25" i="313"/>
  <c r="N25"/>
  <c r="N11" i="314"/>
  <c r="K11"/>
  <c r="N27"/>
  <c r="K27"/>
  <c r="K19" i="317"/>
  <c r="N19"/>
  <c r="K21" i="325"/>
  <c r="N21"/>
  <c r="K13" i="329"/>
  <c r="N13"/>
  <c r="K23"/>
  <c r="N23"/>
  <c r="N11" i="198"/>
  <c r="K11"/>
  <c r="N33"/>
  <c r="K33"/>
  <c r="N11" i="122"/>
  <c r="K11"/>
  <c r="N27"/>
  <c r="K27"/>
  <c r="N5" i="46"/>
  <c r="K5"/>
  <c r="K5" i="83"/>
  <c r="N5"/>
  <c r="N31"/>
  <c r="K45"/>
  <c r="N45"/>
  <c r="N13" i="171"/>
  <c r="K25"/>
  <c r="K5" i="6"/>
  <c r="N5"/>
  <c r="K21"/>
  <c r="N21"/>
  <c r="N7" i="130"/>
  <c r="K23"/>
  <c r="N12" i="173"/>
  <c r="N28"/>
  <c r="K28"/>
  <c r="K19" i="331"/>
  <c r="N19"/>
  <c r="N9" i="332"/>
  <c r="K25"/>
  <c r="N25"/>
  <c r="K9" i="333"/>
  <c r="N9"/>
  <c r="N41"/>
  <c r="N5" i="334"/>
  <c r="K5"/>
  <c r="K41" i="262"/>
  <c r="N41"/>
  <c r="K31" i="46"/>
  <c r="N31"/>
  <c r="K22" i="173"/>
  <c r="N22"/>
  <c r="N13" i="331"/>
  <c r="K13"/>
  <c r="K25" i="334"/>
  <c r="N25"/>
  <c r="K25" i="199"/>
  <c r="N35" i="214"/>
  <c r="N50" i="83"/>
  <c r="K17" i="31"/>
  <c r="K35" i="63"/>
  <c r="N35"/>
  <c r="N15" i="101"/>
  <c r="K15"/>
  <c r="K7" i="164"/>
  <c r="N7"/>
  <c r="N31" i="178"/>
  <c r="K31"/>
  <c r="K39" i="18"/>
  <c r="N7" i="125"/>
  <c r="N35" i="209"/>
  <c r="K21" i="56"/>
  <c r="K25" i="333"/>
  <c r="N27" i="220"/>
  <c r="K25" i="83"/>
  <c r="N38" i="199"/>
  <c r="N15" i="46"/>
  <c r="K25" i="125"/>
  <c r="K9" i="83"/>
  <c r="K29" i="179"/>
  <c r="N19" i="76"/>
  <c r="N27" i="185"/>
  <c r="K15" i="6"/>
  <c r="N31" i="18"/>
  <c r="K43" i="205"/>
  <c r="N23" i="241"/>
  <c r="N17" i="47"/>
  <c r="K25" i="309"/>
  <c r="N37" i="325"/>
  <c r="N17" i="130"/>
  <c r="K35" i="333"/>
  <c r="N35" i="184"/>
  <c r="N45" i="14"/>
  <c r="K7" i="60"/>
  <c r="K13" i="113"/>
  <c r="K31" i="262"/>
  <c r="N13" i="126"/>
  <c r="N41" i="313"/>
  <c r="N31" i="264"/>
  <c r="N13" i="297"/>
  <c r="K9" i="262"/>
  <c r="K5"/>
  <c r="N39" i="178"/>
  <c r="N19" i="332"/>
  <c r="K32" i="214"/>
  <c r="K41" i="83"/>
  <c r="N21" i="69"/>
  <c r="K5"/>
  <c r="K21" i="18"/>
  <c r="K13" i="93"/>
  <c r="K29" i="305"/>
  <c r="K7"/>
  <c r="K25" i="41"/>
  <c r="K29" i="324"/>
  <c r="K17" i="136"/>
  <c r="N27" i="198"/>
  <c r="N19" i="229"/>
  <c r="K35" i="137"/>
  <c r="N24" i="30"/>
  <c r="N11" i="299"/>
  <c r="K11"/>
  <c r="K31" i="309"/>
  <c r="K15" i="310"/>
  <c r="K5" i="311"/>
  <c r="K21"/>
  <c r="N17" i="314"/>
  <c r="K35" i="324"/>
  <c r="N30" i="183"/>
  <c r="N17" i="265"/>
  <c r="K5" i="273"/>
  <c r="N7" i="72"/>
  <c r="K7"/>
  <c r="N23" i="41"/>
  <c r="K17" i="292"/>
  <c r="N17"/>
  <c r="K33"/>
  <c r="N33"/>
  <c r="K19" i="301"/>
  <c r="N19"/>
  <c r="N45"/>
  <c r="N23" i="25"/>
  <c r="N14" i="279"/>
  <c r="K14"/>
  <c r="K33" i="283"/>
  <c r="N33"/>
  <c r="K37" i="273"/>
  <c r="N23" i="88"/>
  <c r="N14" i="109"/>
  <c r="K23" i="272"/>
  <c r="N23"/>
  <c r="K30" i="279"/>
  <c r="K19" i="282"/>
  <c r="K23" i="344"/>
  <c r="K33" i="270"/>
  <c r="N33"/>
  <c r="N29" i="272"/>
  <c r="K29"/>
  <c r="K48" i="179"/>
  <c r="K21" i="85"/>
  <c r="N27" i="65"/>
  <c r="K7" i="265"/>
  <c r="K15" i="337"/>
  <c r="K19" i="341"/>
  <c r="N19"/>
  <c r="K29"/>
  <c r="N35" i="57"/>
  <c r="K33" i="2"/>
  <c r="K7" i="65"/>
  <c r="K19" i="69"/>
  <c r="K13" i="88"/>
  <c r="K25" i="96"/>
  <c r="N5" i="32"/>
  <c r="N23" i="31"/>
  <c r="K19" i="245"/>
  <c r="K33" i="278"/>
  <c r="N25" i="282"/>
  <c r="K9" i="324"/>
  <c r="N23" i="370"/>
  <c r="K23" i="85"/>
  <c r="N21" i="42"/>
  <c r="N9" i="37"/>
  <c r="K39" i="204"/>
  <c r="K9" i="65"/>
  <c r="K19" i="188"/>
  <c r="N29"/>
  <c r="K15" i="41"/>
  <c r="N9" i="341"/>
  <c r="K39" i="360"/>
  <c r="K13" i="361"/>
  <c r="N29"/>
  <c r="K27" i="369"/>
  <c r="K13" i="370"/>
  <c r="K25" i="126"/>
  <c r="K11" i="5"/>
  <c r="N43"/>
  <c r="N17" i="209"/>
  <c r="N13" i="179"/>
  <c r="N45"/>
  <c r="K17" i="5"/>
  <c r="K13" i="343"/>
  <c r="N19" i="368"/>
  <c r="N35"/>
  <c r="K23" i="369"/>
  <c r="K10" i="30"/>
  <c r="K39" i="220"/>
  <c r="N39" i="101"/>
  <c r="N13" i="164"/>
  <c r="K39" i="197"/>
  <c r="K19" i="124"/>
  <c r="N23" i="205"/>
  <c r="N9" i="184"/>
  <c r="N20" i="183"/>
  <c r="N11" i="159"/>
  <c r="K23" i="60"/>
  <c r="K7" i="194"/>
  <c r="N41" i="47"/>
  <c r="K27" i="241"/>
  <c r="K27" i="245"/>
  <c r="N39" i="274"/>
  <c r="K37" i="301"/>
  <c r="N21" i="329"/>
  <c r="K18" i="253"/>
  <c r="N25" i="355"/>
  <c r="N21" i="25"/>
  <c r="K9" i="85"/>
  <c r="N13" i="197"/>
  <c r="K27" i="178"/>
  <c r="N35" i="96"/>
  <c r="N25" i="179"/>
  <c r="K23" i="204"/>
  <c r="N19" i="184"/>
  <c r="K5" i="57"/>
  <c r="K19"/>
  <c r="N31" i="96"/>
  <c r="K23" i="101"/>
  <c r="K9" i="137"/>
  <c r="K33" i="301"/>
  <c r="N40" i="199"/>
  <c r="N34" i="214"/>
  <c r="N41" i="220"/>
  <c r="N9" i="76"/>
  <c r="K21" i="241"/>
  <c r="N21" i="124"/>
  <c r="N23" i="98"/>
  <c r="K23" i="47"/>
  <c r="N43"/>
  <c r="K5" i="124"/>
  <c r="N17"/>
  <c r="N31"/>
  <c r="N21" i="14"/>
  <c r="N11" i="265"/>
  <c r="K5" i="347"/>
  <c r="K27" i="355"/>
  <c r="N36" i="308"/>
  <c r="N50" i="2"/>
  <c r="K50"/>
  <c r="K23" i="199"/>
  <c r="N23"/>
  <c r="K7" i="345"/>
  <c r="N58" i="2"/>
  <c r="N46" i="209"/>
  <c r="N13" i="343"/>
  <c r="N11" i="181"/>
  <c r="K11"/>
  <c r="N15" i="214"/>
  <c r="K15"/>
  <c r="K5" i="42"/>
  <c r="N5"/>
  <c r="K31"/>
  <c r="N31"/>
  <c r="N52" i="14"/>
  <c r="K52"/>
  <c r="K35" i="136"/>
  <c r="N35"/>
  <c r="K19" i="368"/>
  <c r="N42" i="199"/>
  <c r="N9" i="42"/>
  <c r="K9"/>
  <c r="K23" i="126"/>
  <c r="N23"/>
  <c r="N21" i="164"/>
  <c r="K21"/>
  <c r="K33" i="369"/>
  <c r="K17" i="343"/>
  <c r="K37" i="32"/>
  <c r="K32" i="42"/>
  <c r="N47" i="179"/>
  <c r="N49" i="14"/>
  <c r="K7" i="197"/>
  <c r="N7"/>
  <c r="N25"/>
  <c r="K25"/>
  <c r="K21" i="178"/>
  <c r="N21"/>
  <c r="K17" i="209"/>
  <c r="N13" i="194"/>
  <c r="K13"/>
  <c r="K23" i="139"/>
  <c r="N23"/>
  <c r="K13" i="205"/>
  <c r="N13"/>
  <c r="N23" i="233"/>
  <c r="K23"/>
  <c r="K39" i="214"/>
  <c r="N39"/>
  <c r="K17" i="369"/>
  <c r="K41" i="362"/>
  <c r="K29" i="368"/>
  <c r="K31" i="185"/>
  <c r="N5" i="63"/>
  <c r="K5"/>
  <c r="K35" i="101"/>
  <c r="N35"/>
  <c r="N27" i="37"/>
  <c r="K27"/>
  <c r="N35" i="179"/>
  <c r="K35"/>
  <c r="K41" i="69"/>
  <c r="N41"/>
  <c r="N44" i="65"/>
  <c r="N40" i="88"/>
  <c r="N45" i="18"/>
  <c r="K45"/>
  <c r="N15" i="113"/>
  <c r="K15"/>
  <c r="K15" i="96"/>
  <c r="N15"/>
  <c r="N33" i="32"/>
  <c r="K21" i="25"/>
  <c r="N39" i="368"/>
  <c r="N9" i="137"/>
  <c r="K35" i="79"/>
  <c r="N35"/>
  <c r="N9" i="226"/>
  <c r="K9"/>
  <c r="K9" i="32"/>
  <c r="N9"/>
  <c r="K37" i="233"/>
  <c r="N37"/>
  <c r="N44" i="14"/>
  <c r="K7"/>
  <c r="K37" i="37"/>
  <c r="K21" i="226"/>
  <c r="K15" i="229"/>
  <c r="N25"/>
  <c r="K33"/>
  <c r="N21" i="204"/>
  <c r="N39"/>
  <c r="K39" i="209"/>
  <c r="K35" i="60"/>
  <c r="K31" i="69"/>
  <c r="N25" i="5"/>
  <c r="N13" i="199"/>
  <c r="N27" i="178"/>
  <c r="K31" i="197"/>
  <c r="N11" i="194"/>
  <c r="K11" i="204"/>
  <c r="N45" i="69"/>
  <c r="N17" i="220"/>
  <c r="K31" i="41"/>
  <c r="K9" i="229"/>
  <c r="N48" i="14"/>
  <c r="N39" i="88"/>
  <c r="N5" i="241"/>
  <c r="N5" i="57"/>
  <c r="K5" i="85"/>
  <c r="N37" i="221"/>
  <c r="N23" i="101"/>
  <c r="N43" i="14"/>
  <c r="N51"/>
  <c r="K38" i="32"/>
  <c r="N34"/>
  <c r="N48" i="2"/>
  <c r="K53"/>
  <c r="K57"/>
  <c r="N38" i="214"/>
  <c r="K31" i="96"/>
  <c r="K25" i="113"/>
  <c r="K9" i="159"/>
  <c r="N25" i="127"/>
  <c r="K11" i="68"/>
  <c r="N33" i="179"/>
  <c r="K43"/>
  <c r="K37" i="69"/>
  <c r="N11" i="88"/>
  <c r="N41" i="5"/>
  <c r="K11" i="47"/>
  <c r="K31"/>
  <c r="N27" i="124"/>
  <c r="N17" i="14"/>
  <c r="N27"/>
  <c r="K37"/>
  <c r="K15" i="241"/>
  <c r="N11" i="214"/>
  <c r="N9" i="125"/>
  <c r="K33"/>
  <c r="N51" i="209"/>
  <c r="N31" i="229"/>
  <c r="K41"/>
  <c r="K17" i="140"/>
  <c r="N29"/>
  <c r="K43" i="18"/>
  <c r="N33" i="113"/>
  <c r="N13" i="2"/>
  <c r="N25" i="209"/>
  <c r="K33" i="88"/>
  <c r="K9" i="126"/>
  <c r="N31" i="139"/>
  <c r="K5" i="125"/>
  <c r="N18" i="190"/>
  <c r="K35" i="41"/>
  <c r="K45"/>
  <c r="N29" i="74"/>
  <c r="N43"/>
  <c r="N13" i="178"/>
  <c r="K11" i="136"/>
  <c r="K37"/>
  <c r="N23" i="164"/>
  <c r="K37"/>
  <c r="N25" i="101"/>
  <c r="K37"/>
  <c r="N39" i="146"/>
  <c r="K23" i="237"/>
  <c r="N11" i="220"/>
  <c r="N23"/>
  <c r="K35"/>
  <c r="N5" i="195"/>
  <c r="K29"/>
  <c r="K17" i="232"/>
  <c r="N27"/>
  <c r="N7" i="63"/>
  <c r="K19"/>
  <c r="N41"/>
  <c r="K11" i="25"/>
  <c r="N25"/>
  <c r="N9" i="245"/>
  <c r="K25"/>
  <c r="K17" i="260"/>
  <c r="K39"/>
  <c r="K25" i="273"/>
  <c r="N31"/>
  <c r="K31" i="274"/>
  <c r="K41"/>
  <c r="N17" i="297"/>
  <c r="K33"/>
  <c r="K29" i="299"/>
  <c r="N35"/>
  <c r="K17" i="171"/>
  <c r="N27"/>
  <c r="K31" i="355"/>
  <c r="K7" i="178"/>
  <c r="K45" i="76"/>
  <c r="K25" i="137"/>
  <c r="N25" i="237"/>
  <c r="N7" i="195"/>
  <c r="K9" i="63"/>
  <c r="K15" i="85"/>
  <c r="N5" i="245"/>
  <c r="K21" i="264"/>
  <c r="N28" i="303"/>
  <c r="K41" i="137"/>
  <c r="K37" i="63"/>
  <c r="K29" i="274"/>
  <c r="N18" i="279"/>
  <c r="N28"/>
  <c r="N37" i="305"/>
  <c r="N27" i="330"/>
  <c r="N7" i="171"/>
  <c r="N22"/>
  <c r="K21" i="130"/>
  <c r="K21" i="292"/>
  <c r="K6" i="349"/>
  <c r="K39" i="352"/>
  <c r="K19" i="355"/>
  <c r="N17" i="299"/>
  <c r="K9" i="301"/>
  <c r="N16" i="303"/>
  <c r="N19" i="305"/>
  <c r="K13" i="37"/>
  <c r="K47" i="184"/>
  <c r="K18" i="307"/>
  <c r="N24"/>
  <c r="K25" i="324"/>
  <c r="N11" i="325"/>
  <c r="K17"/>
  <c r="N9" i="330"/>
  <c r="K10" i="253"/>
  <c r="K7" i="6"/>
  <c r="K17"/>
  <c r="N9" i="130"/>
  <c r="K25" i="335"/>
  <c r="N35"/>
  <c r="N7" i="336"/>
  <c r="K39"/>
  <c r="K7" i="337"/>
  <c r="K23"/>
  <c r="N7" i="343"/>
  <c r="K9" i="345"/>
  <c r="K15" i="356"/>
  <c r="N25" i="357"/>
  <c r="N11" i="358"/>
  <c r="N27"/>
  <c r="K13" i="360"/>
  <c r="N29"/>
  <c r="N19" i="361"/>
  <c r="K35"/>
  <c r="N33" i="367"/>
  <c r="K7"/>
  <c r="K23" i="368"/>
  <c r="K16" i="303"/>
  <c r="N17" i="260"/>
  <c r="K11" i="265"/>
  <c r="K7" i="336"/>
  <c r="N39" i="260"/>
  <c r="K7" i="57"/>
  <c r="N7"/>
  <c r="N25"/>
  <c r="K25"/>
  <c r="K21" i="47"/>
  <c r="N21"/>
  <c r="K7" i="74"/>
  <c r="N7"/>
  <c r="K37" i="297"/>
  <c r="N37"/>
  <c r="K23" i="299"/>
  <c r="N23"/>
  <c r="K6" i="303"/>
  <c r="N6"/>
  <c r="K33" i="325"/>
  <c r="N33"/>
  <c r="K25" i="330"/>
  <c r="N25"/>
  <c r="N11" i="6"/>
  <c r="K11"/>
  <c r="N23" i="336"/>
  <c r="K23"/>
  <c r="K29" i="337"/>
  <c r="N29"/>
  <c r="N25" i="356"/>
  <c r="K25"/>
  <c r="N35" i="41"/>
  <c r="K48" i="2"/>
  <c r="N37" i="164"/>
  <c r="K35" i="57"/>
  <c r="K25" i="357"/>
  <c r="N7" i="367"/>
  <c r="K29" i="361"/>
  <c r="N19" i="63"/>
  <c r="N9" i="356"/>
  <c r="N13" i="37"/>
  <c r="K44"/>
  <c r="K25" i="355"/>
  <c r="N33" i="31"/>
  <c r="K33"/>
  <c r="N39" i="241"/>
  <c r="K39"/>
  <c r="K31" i="63"/>
  <c r="N31"/>
  <c r="K23" i="260"/>
  <c r="N23"/>
  <c r="K45" i="264"/>
  <c r="N45"/>
  <c r="N33" i="299"/>
  <c r="K33"/>
  <c r="N45" i="41"/>
  <c r="K29" i="74"/>
  <c r="N31" i="47"/>
  <c r="K23" i="88"/>
  <c r="K41" i="5"/>
  <c r="N57" i="2"/>
  <c r="K35" i="335"/>
  <c r="N29" i="274"/>
  <c r="N9" i="301"/>
  <c r="N12" i="190"/>
  <c r="K12"/>
  <c r="N11" i="237"/>
  <c r="K11"/>
  <c r="K21" i="297"/>
  <c r="N21"/>
  <c r="N39" i="299"/>
  <c r="K39"/>
  <c r="K26" i="253"/>
  <c r="N26"/>
  <c r="K17" i="336"/>
  <c r="N17"/>
  <c r="K11" i="343"/>
  <c r="N11"/>
  <c r="N15" i="241"/>
  <c r="N37" i="69"/>
  <c r="K19" i="305"/>
  <c r="K18" i="190"/>
  <c r="N35" i="357"/>
  <c r="K11" i="358"/>
  <c r="K33" i="367"/>
  <c r="N35" i="361"/>
  <c r="K51" i="14"/>
  <c r="N17" i="325"/>
  <c r="K39" i="278"/>
  <c r="N23" i="337"/>
  <c r="K9" i="330"/>
  <c r="K17" i="299"/>
  <c r="K9" i="130"/>
  <c r="N5" i="184"/>
  <c r="K5"/>
  <c r="N37" i="241"/>
  <c r="K37"/>
  <c r="K17" i="74"/>
  <c r="N17"/>
  <c r="K25" i="178"/>
  <c r="N25"/>
  <c r="N11" i="164"/>
  <c r="K11"/>
  <c r="K33" i="260"/>
  <c r="N33"/>
  <c r="K35" i="274"/>
  <c r="N35"/>
  <c r="N7" i="299"/>
  <c r="K7"/>
  <c r="K12" i="303"/>
  <c r="N12"/>
  <c r="K29" i="184"/>
  <c r="N29"/>
  <c r="N5" i="307"/>
  <c r="K5"/>
  <c r="N27" i="325"/>
  <c r="K27"/>
  <c r="N19" i="330"/>
  <c r="K19"/>
  <c r="N33" i="336"/>
  <c r="K33"/>
  <c r="N38" i="32"/>
  <c r="K54" i="14"/>
  <c r="N25" i="245"/>
  <c r="N13" i="361"/>
  <c r="N39" i="336"/>
  <c r="K45" i="274"/>
  <c r="N31" i="355"/>
  <c r="K39" i="199"/>
  <c r="K11" i="325"/>
  <c r="N9" i="345"/>
  <c r="N39" i="32"/>
  <c r="K39"/>
  <c r="N41" i="199"/>
  <c r="K41"/>
  <c r="N23" i="137"/>
  <c r="K23"/>
  <c r="K13" i="101"/>
  <c r="N13"/>
  <c r="N41" i="136"/>
  <c r="K41"/>
  <c r="K7" i="76"/>
  <c r="N7"/>
  <c r="K17"/>
  <c r="N17"/>
  <c r="K29" i="185"/>
  <c r="N29"/>
  <c r="N31" i="297"/>
  <c r="K31"/>
  <c r="N13" i="305"/>
  <c r="K13"/>
  <c r="N19" i="324"/>
  <c r="K19"/>
  <c r="N20" i="253"/>
  <c r="K20"/>
  <c r="K19" i="335"/>
  <c r="N19"/>
  <c r="K41"/>
  <c r="N41"/>
  <c r="K23" i="41"/>
  <c r="N29" i="195"/>
  <c r="N7" i="337"/>
  <c r="K27" i="14"/>
  <c r="K41" i="47"/>
  <c r="N18" i="307"/>
  <c r="N9" i="324"/>
  <c r="N21" i="241"/>
  <c r="K7" i="214"/>
  <c r="K39" i="185"/>
  <c r="K21" i="221"/>
  <c r="N13" i="88"/>
  <c r="N21" i="264"/>
  <c r="K11" i="41"/>
  <c r="K9" i="204"/>
  <c r="N25" i="88"/>
  <c r="N45" i="76"/>
  <c r="N15" i="18"/>
  <c r="K45" i="179"/>
  <c r="N7" i="232"/>
  <c r="N25" i="137"/>
  <c r="N25" i="136"/>
  <c r="N5" i="47"/>
  <c r="K33" i="226"/>
  <c r="K17" i="229"/>
  <c r="N9" i="63"/>
  <c r="N15" i="85"/>
  <c r="N37"/>
  <c r="N7" i="178"/>
  <c r="N7" i="226"/>
  <c r="K9" i="96"/>
  <c r="N19" i="41"/>
  <c r="N27" i="245"/>
  <c r="K44" i="2"/>
  <c r="K5" i="195"/>
  <c r="N15" i="240"/>
  <c r="N25"/>
  <c r="K15" i="14"/>
  <c r="K15" i="74"/>
  <c r="N11" i="5"/>
  <c r="K23" i="214"/>
  <c r="K27" i="18"/>
  <c r="K9" i="194"/>
  <c r="K34" i="32"/>
  <c r="K25" i="25"/>
  <c r="N27" i="136"/>
  <c r="K43" i="197"/>
  <c r="K27" i="124"/>
  <c r="K35" i="72"/>
  <c r="K11" i="96"/>
  <c r="N7" i="98"/>
  <c r="K11" i="185"/>
  <c r="N23"/>
  <c r="K25" i="37"/>
  <c r="N33"/>
  <c r="K9" i="240"/>
  <c r="N17"/>
  <c r="K27"/>
  <c r="K15" i="127"/>
  <c r="K17" i="226"/>
  <c r="K35"/>
  <c r="N19" i="140"/>
  <c r="N31"/>
  <c r="N31" i="221"/>
  <c r="N13" i="68"/>
  <c r="N11" i="191"/>
  <c r="N23" i="179"/>
  <c r="N11" i="2"/>
  <c r="K39"/>
  <c r="K41" i="65"/>
  <c r="K31" i="79"/>
  <c r="N5" i="88"/>
  <c r="K15"/>
  <c r="N35"/>
  <c r="K19" i="199"/>
  <c r="N48" i="209"/>
  <c r="K11" i="101"/>
  <c r="K23" i="76"/>
  <c r="N27" i="2"/>
  <c r="N21" i="179"/>
  <c r="K13" i="240"/>
  <c r="K37" i="226"/>
  <c r="N13" i="229"/>
  <c r="N13" i="191"/>
  <c r="K9" i="18"/>
  <c r="N41" i="2"/>
  <c r="K13" i="69"/>
  <c r="N17" i="88"/>
  <c r="N37"/>
  <c r="N29" i="57"/>
  <c r="K15" i="139"/>
  <c r="K29" i="72"/>
  <c r="K21" i="14"/>
  <c r="N11" i="25"/>
  <c r="K27" i="232"/>
  <c r="N23" i="237"/>
  <c r="K23" i="164"/>
  <c r="K19" i="31"/>
  <c r="N29"/>
  <c r="K9" i="214"/>
  <c r="N13" i="124"/>
  <c r="K7" i="199"/>
  <c r="K27"/>
  <c r="N13" i="159"/>
  <c r="K21"/>
  <c r="N31"/>
  <c r="N5" i="221"/>
  <c r="N17"/>
  <c r="N27" i="179"/>
  <c r="N29" i="125"/>
  <c r="N29" i="69"/>
  <c r="K7" i="63"/>
  <c r="K29" i="287"/>
  <c r="N29" i="299"/>
  <c r="N5" i="301"/>
  <c r="N22" i="303"/>
  <c r="K19" i="184"/>
  <c r="N19" i="57"/>
  <c r="K7" i="124"/>
  <c r="K31" i="14"/>
  <c r="K45" i="220"/>
  <c r="K37" i="283"/>
  <c r="K7" i="233"/>
  <c r="N33" i="220"/>
  <c r="N11" i="360"/>
  <c r="K23" i="57"/>
  <c r="K37" i="96"/>
  <c r="N5" i="139"/>
  <c r="K11" i="233"/>
  <c r="N19" i="47"/>
  <c r="K25" i="14"/>
  <c r="K21" i="32"/>
  <c r="K31"/>
  <c r="K15" i="125"/>
  <c r="N6" i="190"/>
  <c r="N24"/>
  <c r="N19" i="74"/>
  <c r="K43"/>
  <c r="K21" i="101"/>
  <c r="K33"/>
  <c r="K13" i="195"/>
  <c r="N25"/>
  <c r="K11" i="232"/>
  <c r="N23"/>
  <c r="N31" i="260"/>
  <c r="N5" i="265"/>
  <c r="K11" i="270"/>
  <c r="N21" i="278"/>
  <c r="K27" i="282"/>
  <c r="N31"/>
  <c r="K25" i="297"/>
  <c r="N43" i="299"/>
  <c r="N17" i="305"/>
  <c r="K41" i="265"/>
  <c r="K29" i="283"/>
  <c r="N31" i="292"/>
  <c r="K23" i="305"/>
  <c r="K33"/>
  <c r="N39" i="324"/>
  <c r="K7" i="260"/>
  <c r="N31" i="325"/>
  <c r="N41"/>
  <c r="N7" i="329"/>
  <c r="K33" i="122"/>
  <c r="N11" i="46"/>
  <c r="N21"/>
  <c r="N27"/>
  <c r="K37"/>
  <c r="N33" i="130"/>
  <c r="K23" i="331"/>
  <c r="N17" i="333"/>
  <c r="N27"/>
  <c r="K35" i="334"/>
  <c r="N25" i="346"/>
  <c r="N35" i="347"/>
  <c r="N31" i="348"/>
  <c r="N23" i="352"/>
  <c r="K23" i="360"/>
  <c r="N7" i="365"/>
  <c r="N37"/>
  <c r="N17" i="367"/>
  <c r="N25"/>
  <c r="N5" i="368"/>
  <c r="N9"/>
  <c r="N25"/>
  <c r="N31"/>
  <c r="N29" i="370"/>
  <c r="K25" i="305"/>
  <c r="K11" i="345"/>
  <c r="K23" i="335"/>
  <c r="K11" i="352"/>
  <c r="N17" i="330"/>
  <c r="N7" i="347"/>
  <c r="K39"/>
  <c r="K43" i="264"/>
  <c r="N43"/>
  <c r="N23" i="283"/>
  <c r="K23"/>
  <c r="K9" i="346"/>
  <c r="N9"/>
  <c r="N17" i="362"/>
  <c r="K17"/>
  <c r="N23"/>
  <c r="K23"/>
  <c r="K17" i="365"/>
  <c r="N17"/>
  <c r="K5" i="139"/>
  <c r="K11" i="191"/>
  <c r="N13" i="195"/>
  <c r="K23" i="179"/>
  <c r="N39" i="352"/>
  <c r="K17" i="333"/>
  <c r="N39" i="2"/>
  <c r="N37" i="46"/>
  <c r="K21"/>
  <c r="K24" i="190"/>
  <c r="K43" i="299"/>
  <c r="K31" i="282"/>
  <c r="N35" i="334"/>
  <c r="K9" i="25"/>
  <c r="N9"/>
  <c r="K13" i="140"/>
  <c r="N13"/>
  <c r="K21"/>
  <c r="N21"/>
  <c r="K13" i="63"/>
  <c r="N13"/>
  <c r="N39" i="137"/>
  <c r="K39"/>
  <c r="K7" i="264"/>
  <c r="N7"/>
  <c r="K10" i="303"/>
  <c r="N10"/>
  <c r="K25" i="317"/>
  <c r="N25"/>
  <c r="N15" i="334"/>
  <c r="K15"/>
  <c r="K11" i="355"/>
  <c r="N11"/>
  <c r="K23" i="352"/>
  <c r="K35" i="88"/>
  <c r="N23" i="57"/>
  <c r="K33" i="214"/>
  <c r="N33"/>
  <c r="N36"/>
  <c r="K36"/>
  <c r="N41"/>
  <c r="K41"/>
  <c r="K33" i="232"/>
  <c r="N33"/>
  <c r="N31" i="137"/>
  <c r="K31"/>
  <c r="K19" i="197"/>
  <c r="N19"/>
  <c r="N29" i="124"/>
  <c r="K29"/>
  <c r="N39" i="60"/>
  <c r="K39"/>
  <c r="N15" i="209"/>
  <c r="K15"/>
  <c r="K15" i="2"/>
  <c r="N15"/>
  <c r="K5" i="204"/>
  <c r="N5"/>
  <c r="K19" i="191"/>
  <c r="N19"/>
  <c r="K11" i="229"/>
  <c r="N11"/>
  <c r="K39" i="221"/>
  <c r="N39"/>
  <c r="N29" i="18"/>
  <c r="K29"/>
  <c r="K33" i="57"/>
  <c r="N33"/>
  <c r="N37" i="195"/>
  <c r="K37"/>
  <c r="N11" i="264"/>
  <c r="K11"/>
  <c r="K7" i="283"/>
  <c r="N7"/>
  <c r="N25" i="325"/>
  <c r="K25"/>
  <c r="K13" i="344"/>
  <c r="N13"/>
  <c r="K33" i="352"/>
  <c r="N33"/>
  <c r="K23" i="185"/>
  <c r="N15" i="127"/>
  <c r="K17" i="367"/>
  <c r="N11" i="185"/>
  <c r="K35" i="347"/>
  <c r="N23" i="331"/>
  <c r="N23" i="305"/>
  <c r="K13" i="137"/>
  <c r="N13"/>
  <c r="K33" i="41"/>
  <c r="N33"/>
  <c r="K27" i="57"/>
  <c r="N27"/>
  <c r="N23" i="69"/>
  <c r="K23"/>
  <c r="N21" i="188"/>
  <c r="K21"/>
  <c r="N23" i="56"/>
  <c r="K23"/>
  <c r="K29" i="229"/>
  <c r="N29"/>
  <c r="K25" i="221"/>
  <c r="N25"/>
  <c r="K35"/>
  <c r="N35"/>
  <c r="K35" i="232"/>
  <c r="N35"/>
  <c r="K12" i="279"/>
  <c r="N12"/>
  <c r="N17" i="283"/>
  <c r="K17"/>
  <c r="K31" i="368"/>
  <c r="K5"/>
  <c r="K31" i="221"/>
  <c r="K37" i="365"/>
  <c r="N13" i="283"/>
  <c r="K41" i="325"/>
  <c r="N23" i="136"/>
  <c r="K23"/>
  <c r="K23" i="229"/>
  <c r="N23"/>
  <c r="N5" i="191"/>
  <c r="K5"/>
  <c r="K5" i="265"/>
  <c r="K11" i="46"/>
  <c r="N21" i="85"/>
  <c r="K23" i="232"/>
  <c r="N11" i="233"/>
  <c r="N15" i="164"/>
  <c r="K15"/>
  <c r="N25"/>
  <c r="K25"/>
  <c r="K33"/>
  <c r="N33"/>
  <c r="N5" i="181"/>
  <c r="K5"/>
  <c r="N27" i="140"/>
  <c r="K27"/>
  <c r="K33" i="63"/>
  <c r="N33"/>
  <c r="N15" i="233"/>
  <c r="K15"/>
  <c r="K17" i="96"/>
  <c r="N17"/>
  <c r="K15" i="317"/>
  <c r="N15"/>
  <c r="K41" i="334"/>
  <c r="N41"/>
  <c r="K11" i="2"/>
  <c r="N37" i="96"/>
  <c r="K25" i="88"/>
  <c r="N31" i="79"/>
  <c r="N33" i="305"/>
  <c r="K31" i="140"/>
  <c r="K31" i="85"/>
  <c r="K27" i="333"/>
  <c r="K31" i="325"/>
  <c r="K31" i="260"/>
  <c r="N19" i="205"/>
  <c r="K19"/>
  <c r="K5" i="159"/>
  <c r="N5"/>
  <c r="N25" i="226"/>
  <c r="K25"/>
  <c r="N41" i="60"/>
  <c r="K41"/>
  <c r="N14" i="190"/>
  <c r="K14"/>
  <c r="N39" i="264"/>
  <c r="K39"/>
  <c r="N9" i="317"/>
  <c r="K9"/>
  <c r="K9" i="325"/>
  <c r="N9"/>
  <c r="N29" i="331"/>
  <c r="K29"/>
  <c r="N31" i="356"/>
  <c r="K31"/>
  <c r="K6" i="190"/>
  <c r="N15" i="139"/>
  <c r="N25" i="297"/>
  <c r="K7" i="329"/>
  <c r="N11" i="232"/>
  <c r="K43" i="221"/>
  <c r="N43"/>
  <c r="N46" i="2"/>
  <c r="N52"/>
  <c r="N19" i="199"/>
  <c r="N13" i="185"/>
  <c r="K31" i="159"/>
  <c r="K35" i="240"/>
  <c r="K17" i="221"/>
  <c r="K21" i="68"/>
  <c r="N31" i="74"/>
  <c r="N5" i="76"/>
  <c r="N5" i="101"/>
  <c r="N27" i="221"/>
  <c r="K43" i="14"/>
  <c r="N43" i="37"/>
  <c r="K37" i="240"/>
  <c r="K11" i="127"/>
  <c r="N7" i="140"/>
  <c r="K23" i="68"/>
  <c r="K52" i="209"/>
  <c r="N9" i="159"/>
  <c r="K7" i="93"/>
  <c r="N35" i="159"/>
  <c r="K11" i="178"/>
  <c r="N42" i="2"/>
  <c r="K19" i="185"/>
  <c r="K51" i="2"/>
  <c r="K48" i="209"/>
  <c r="N33" i="101"/>
  <c r="N15" i="88"/>
  <c r="N5" i="37"/>
  <c r="N37" i="185"/>
  <c r="N45"/>
  <c r="N13" i="181"/>
  <c r="K7" i="229"/>
  <c r="N27" i="204"/>
  <c r="K7" i="18"/>
  <c r="K39" i="79"/>
  <c r="N7" i="88"/>
  <c r="K19" i="241"/>
  <c r="N39" i="31"/>
  <c r="K8" i="190"/>
  <c r="K19" i="74"/>
  <c r="K33" i="136"/>
  <c r="N7" i="146"/>
  <c r="K11" i="220"/>
  <c r="K6" i="183"/>
  <c r="K31" i="65"/>
  <c r="K19" i="79"/>
  <c r="K7" i="69"/>
  <c r="K5" i="126"/>
  <c r="N15"/>
  <c r="N21" i="197"/>
  <c r="N33"/>
  <c r="K9" i="164"/>
  <c r="K17"/>
  <c r="K31"/>
  <c r="N21" i="146"/>
  <c r="K13" i="220"/>
  <c r="N25"/>
  <c r="N6" i="30"/>
  <c r="K27" i="93"/>
  <c r="N15" i="195"/>
  <c r="N11" i="85"/>
  <c r="K17" i="25"/>
  <c r="N41" i="245"/>
  <c r="N7" i="56"/>
  <c r="N24" i="183"/>
  <c r="K31" i="204"/>
  <c r="N5" i="113"/>
  <c r="K29"/>
  <c r="N31" i="2"/>
  <c r="K21" i="65"/>
  <c r="N5" i="60"/>
  <c r="K37" i="57"/>
  <c r="K26" i="109"/>
  <c r="N21" i="2"/>
  <c r="K29" i="88"/>
  <c r="K35" i="199"/>
  <c r="K13" i="178"/>
  <c r="N23"/>
  <c r="K43" i="76"/>
  <c r="K23" i="146"/>
  <c r="K15" i="237"/>
  <c r="N33" i="204"/>
  <c r="K21" i="96"/>
  <c r="K17" i="72"/>
  <c r="N20" i="190"/>
  <c r="K37" i="41"/>
  <c r="K9" i="178"/>
  <c r="K37"/>
  <c r="N11" i="76"/>
  <c r="K19" i="232"/>
  <c r="N18" i="183"/>
  <c r="N7" i="370"/>
  <c r="K7"/>
  <c r="K35" i="278"/>
  <c r="N7" i="280"/>
  <c r="N27" i="282"/>
  <c r="N41" i="287"/>
  <c r="N23" i="332"/>
  <c r="N19" i="345"/>
  <c r="K15" i="367"/>
  <c r="K20" i="279"/>
  <c r="N23" i="285"/>
  <c r="K31" i="370"/>
  <c r="K27" i="368"/>
  <c r="K37" i="265"/>
  <c r="N31" i="274"/>
  <c r="K19" i="46"/>
  <c r="K15" i="335"/>
  <c r="N37" i="370"/>
  <c r="K11" i="290"/>
  <c r="N5" i="348"/>
  <c r="K29" i="360"/>
  <c r="N31" i="369"/>
  <c r="N5" i="370"/>
  <c r="K13" i="245"/>
  <c r="N13"/>
  <c r="N37" i="311"/>
  <c r="K37"/>
  <c r="K63" i="184"/>
  <c r="N63"/>
  <c r="N9" i="164"/>
  <c r="K5" i="113"/>
  <c r="K25" i="136"/>
  <c r="K11" i="311"/>
  <c r="K31" i="2"/>
  <c r="K21" i="204"/>
  <c r="K11" i="72"/>
  <c r="N11"/>
  <c r="N29" i="240"/>
  <c r="K29"/>
  <c r="K33" i="159"/>
  <c r="N33"/>
  <c r="K21" i="74"/>
  <c r="N21"/>
  <c r="N11" i="252"/>
  <c r="K11"/>
  <c r="N27" i="311"/>
  <c r="K27"/>
  <c r="K79" i="184"/>
  <c r="N79"/>
  <c r="N31" i="313"/>
  <c r="K31"/>
  <c r="K13" i="2"/>
  <c r="N13" i="220"/>
  <c r="N31" i="32"/>
  <c r="K13" i="191"/>
  <c r="K25" i="220"/>
  <c r="K21" i="313"/>
  <c r="K5"/>
  <c r="N11" i="204"/>
  <c r="K17" i="305"/>
  <c r="N15" i="310"/>
  <c r="N46" i="14"/>
  <c r="K46"/>
  <c r="K23" i="42"/>
  <c r="N23"/>
  <c r="N25" i="185"/>
  <c r="K25"/>
  <c r="N19" i="221"/>
  <c r="K19"/>
  <c r="N15" i="309"/>
  <c r="K15"/>
  <c r="N21" i="310"/>
  <c r="K21"/>
  <c r="N69" i="184"/>
  <c r="K69"/>
  <c r="N15" i="313"/>
  <c r="K15"/>
  <c r="K21" i="197"/>
  <c r="K39" i="274"/>
  <c r="K24" i="183"/>
  <c r="K37" i="305"/>
  <c r="N53" i="184"/>
  <c r="N27" i="56"/>
  <c r="K33" i="197"/>
  <c r="K15" i="195"/>
  <c r="K19" i="72"/>
  <c r="K7" i="47"/>
  <c r="K9"/>
  <c r="N7"/>
  <c r="K25" i="98"/>
  <c r="N25"/>
  <c r="N31" i="204"/>
  <c r="K21" i="146"/>
  <c r="K17" i="240"/>
  <c r="K31" i="74"/>
  <c r="N11" i="101"/>
  <c r="N29" i="113"/>
  <c r="N17" i="226"/>
  <c r="K33" i="37"/>
  <c r="N7" i="314"/>
  <c r="N41" i="41"/>
  <c r="K41"/>
  <c r="N5" i="126"/>
  <c r="K25" i="229"/>
  <c r="K5" i="101"/>
  <c r="N9" i="18"/>
  <c r="N27" i="240"/>
  <c r="N17" i="229"/>
  <c r="N5" i="310"/>
  <c r="N19" i="79"/>
  <c r="N9" i="240"/>
  <c r="N5" i="311"/>
  <c r="K11" i="188"/>
  <c r="N11"/>
  <c r="K6" i="30"/>
  <c r="N25" i="37"/>
  <c r="K31" i="369"/>
  <c r="K15" i="126"/>
  <c r="N17" i="164"/>
  <c r="N27" i="93"/>
  <c r="K15" i="140"/>
  <c r="N7" i="69"/>
  <c r="K5" i="301"/>
  <c r="N44" i="205"/>
  <c r="K44"/>
  <c r="K23" i="31"/>
  <c r="K13" i="68"/>
  <c r="K17" i="314"/>
  <c r="N27" i="237"/>
  <c r="K27"/>
  <c r="N41" i="32"/>
  <c r="K40" i="214"/>
  <c r="K13" i="136"/>
  <c r="N25" i="126"/>
  <c r="N23" i="76"/>
  <c r="N37" i="74"/>
  <c r="K35" i="37"/>
  <c r="K37" i="85"/>
  <c r="N39" i="74"/>
  <c r="N53" i="2"/>
  <c r="N11" i="37"/>
  <c r="N19" i="240"/>
  <c r="N13" i="127"/>
  <c r="K35" i="2"/>
  <c r="N31" i="60"/>
  <c r="K17" i="185"/>
  <c r="K32" i="32"/>
  <c r="N54" i="2"/>
  <c r="N37" i="79"/>
  <c r="N21" i="5"/>
  <c r="N33" i="185"/>
  <c r="N17" i="25"/>
  <c r="N41" i="185"/>
  <c r="N17" i="159"/>
  <c r="N37" i="204"/>
  <c r="N21" i="229"/>
  <c r="N23" i="209"/>
  <c r="N7" i="79"/>
  <c r="N19" i="214"/>
  <c r="N7" i="37"/>
  <c r="N5" i="127"/>
  <c r="K7" i="179"/>
  <c r="K13" i="65"/>
  <c r="N15" i="60"/>
  <c r="K11" i="88"/>
  <c r="N5" i="205"/>
  <c r="N35" i="47"/>
  <c r="N13" i="125"/>
  <c r="N37" i="136"/>
  <c r="N43" i="63"/>
  <c r="K25" i="18"/>
  <c r="K25" i="127"/>
  <c r="K31" i="229"/>
  <c r="N13" i="221"/>
  <c r="K5" i="2"/>
  <c r="N17" i="60"/>
  <c r="N27" i="5"/>
  <c r="K27" i="127"/>
  <c r="K33"/>
  <c r="N31" i="226"/>
  <c r="K35" i="140"/>
  <c r="K23" i="191"/>
  <c r="K33" i="18"/>
  <c r="N33" i="65"/>
  <c r="N37" i="209"/>
  <c r="K33" i="79"/>
  <c r="N7" i="199"/>
  <c r="K31"/>
  <c r="K21" i="57"/>
  <c r="N21" i="31"/>
  <c r="K12" i="183"/>
  <c r="K35" i="113"/>
  <c r="N27" i="188"/>
  <c r="K39"/>
  <c r="K7" i="126"/>
  <c r="N33" i="199"/>
  <c r="K29" i="241"/>
  <c r="K15" i="31"/>
  <c r="K21" i="136"/>
  <c r="N37" i="101"/>
  <c r="K21" i="137"/>
  <c r="N29"/>
  <c r="K11" i="85"/>
  <c r="K19" i="270"/>
  <c r="N15" i="146"/>
  <c r="K37" i="220"/>
  <c r="K31" i="233"/>
  <c r="N29" i="47"/>
  <c r="N31" i="31"/>
  <c r="N41"/>
  <c r="K9" i="74"/>
  <c r="K18" i="30"/>
  <c r="N15" i="262"/>
  <c r="N7" i="285"/>
  <c r="N33" i="233"/>
  <c r="K5" i="14"/>
  <c r="K9" i="241"/>
  <c r="K27" i="31"/>
  <c r="K27" i="42"/>
  <c r="N27" i="197"/>
  <c r="K9" i="101"/>
  <c r="N17" i="146"/>
  <c r="N17" i="232"/>
  <c r="K15" i="25"/>
  <c r="K11" i="205"/>
  <c r="N29" i="197"/>
  <c r="N15" i="265"/>
  <c r="N5" i="280"/>
  <c r="N21" i="98"/>
  <c r="K13" i="124"/>
  <c r="N37" i="14"/>
  <c r="N11" i="136"/>
  <c r="K39" i="164"/>
  <c r="N17" i="252"/>
  <c r="K11" i="317"/>
  <c r="N27"/>
  <c r="K19" i="260"/>
  <c r="N7" i="274"/>
  <c r="N29" i="278"/>
  <c r="N19" i="280"/>
  <c r="K29"/>
  <c r="N19" i="287"/>
  <c r="K27"/>
  <c r="K43" i="290"/>
  <c r="N17" i="294"/>
  <c r="N11" i="305"/>
  <c r="N31" i="184"/>
  <c r="K37"/>
  <c r="N41"/>
  <c r="N45"/>
  <c r="N49"/>
  <c r="K18" i="342"/>
  <c r="K33" i="294"/>
  <c r="K35" i="260"/>
  <c r="K23" i="356"/>
  <c r="N35" i="369"/>
  <c r="K20" i="303"/>
  <c r="N29" i="325"/>
  <c r="K31" i="198"/>
  <c r="N27" i="369"/>
  <c r="K21" i="122"/>
  <c r="N29" i="130"/>
  <c r="K20" i="173"/>
  <c r="N13" i="356"/>
  <c r="K21" i="358"/>
  <c r="N17" i="6"/>
  <c r="K7" i="130"/>
  <c r="N9" i="347"/>
  <c r="K35" i="368"/>
  <c r="K9" i="357"/>
  <c r="K23" i="370"/>
  <c r="K37"/>
  <c r="N37" i="324"/>
  <c r="K11" i="171"/>
  <c r="K20" i="342"/>
  <c r="K31" i="344"/>
  <c r="N29" i="346"/>
  <c r="N13" i="370"/>
  <c r="N37" i="198"/>
  <c r="K37" i="122"/>
  <c r="N23" i="360"/>
  <c r="N30" i="171"/>
  <c r="K15" i="357"/>
  <c r="N13" i="360"/>
  <c r="K15" i="370"/>
  <c r="K37" i="185"/>
  <c r="N27" i="60"/>
  <c r="K29" i="130"/>
  <c r="K22" i="303"/>
  <c r="N11" i="41"/>
  <c r="K31" i="292"/>
  <c r="N23" i="214"/>
  <c r="N35" i="37"/>
  <c r="K5" i="241"/>
  <c r="K7" i="137"/>
  <c r="N29" i="283"/>
  <c r="K15" i="240"/>
  <c r="K18" i="183"/>
  <c r="N37" i="240"/>
  <c r="N9" i="85"/>
  <c r="N11" i="96"/>
  <c r="K27" i="179"/>
  <c r="N29" i="280"/>
  <c r="K27" i="204"/>
  <c r="N19" i="31"/>
  <c r="N17" i="185"/>
  <c r="K48" i="14"/>
  <c r="K7" i="232"/>
  <c r="K15" i="191"/>
  <c r="K27" i="65"/>
  <c r="K37" i="5"/>
  <c r="K29" i="57"/>
  <c r="N11" i="68"/>
  <c r="N51" i="2"/>
  <c r="K19" i="280"/>
  <c r="K45" i="185"/>
  <c r="K5" i="37"/>
  <c r="K21" i="31"/>
  <c r="N33" i="18"/>
  <c r="N23" i="191"/>
  <c r="N21" i="221"/>
  <c r="K27" i="146"/>
  <c r="K19" i="287"/>
  <c r="K13" i="214"/>
  <c r="N31" i="164"/>
  <c r="N21" i="226"/>
  <c r="N35" i="85"/>
  <c r="K35" i="32"/>
  <c r="K33" i="65"/>
  <c r="K11" i="37"/>
  <c r="K41" i="184"/>
  <c r="N43" i="18"/>
  <c r="N13" i="69"/>
  <c r="N39" i="220"/>
  <c r="N37" i="184"/>
  <c r="K49"/>
  <c r="K41" i="287"/>
  <c r="K9" i="140"/>
  <c r="N9"/>
  <c r="N27" i="127"/>
  <c r="N7" i="93"/>
  <c r="N21" i="57"/>
  <c r="N29" i="214"/>
  <c r="K29"/>
  <c r="K5" i="76"/>
  <c r="K17" i="188"/>
  <c r="K19" i="140"/>
  <c r="K13" i="98"/>
  <c r="N44" i="2"/>
  <c r="N35" i="60"/>
  <c r="N33" i="127"/>
  <c r="N25" i="305"/>
  <c r="K5" i="164"/>
  <c r="N20" i="173"/>
  <c r="K13" i="159"/>
  <c r="N31" i="199"/>
  <c r="N33" i="79"/>
  <c r="N21" i="159"/>
  <c r="K29" i="164"/>
  <c r="K13"/>
  <c r="K45" i="184"/>
  <c r="K33" i="179"/>
  <c r="N19" i="226"/>
  <c r="N10" i="30"/>
  <c r="K25" i="195"/>
  <c r="N15" i="137"/>
  <c r="N29" i="72"/>
  <c r="N22" i="109"/>
  <c r="K22"/>
  <c r="K41" i="37"/>
  <c r="N41"/>
  <c r="N41" i="204"/>
  <c r="K41"/>
  <c r="K39" i="179"/>
  <c r="N11" i="47"/>
  <c r="K10" i="190"/>
  <c r="K27" i="96"/>
  <c r="K27" i="72"/>
  <c r="K17" i="214"/>
  <c r="N45" i="209"/>
  <c r="N15" i="69"/>
  <c r="N21" i="72"/>
  <c r="K17" i="14"/>
  <c r="K11" i="214"/>
  <c r="K15" i="63"/>
  <c r="K25" i="101"/>
  <c r="N19" i="285"/>
  <c r="N43" i="290"/>
  <c r="K17" i="294"/>
  <c r="K34" i="279"/>
  <c r="K21" i="280"/>
  <c r="K9" i="294"/>
  <c r="N15" i="329"/>
  <c r="N39" i="325"/>
  <c r="N19" i="198"/>
  <c r="N4" i="338"/>
  <c r="N21" i="370"/>
  <c r="K21"/>
  <c r="N25"/>
  <c r="K25"/>
  <c r="N35"/>
  <c r="K35"/>
  <c r="N19" i="337"/>
  <c r="N15" i="341"/>
  <c r="K5" i="370"/>
  <c r="K29" i="354"/>
  <c r="N15" i="368"/>
  <c r="K15"/>
  <c r="K25"/>
  <c r="N9" i="370"/>
  <c r="K9"/>
  <c r="K16" i="349"/>
  <c r="N17" i="370"/>
  <c r="K17"/>
  <c r="K27" i="358"/>
  <c r="N17" i="368"/>
  <c r="N11" i="369"/>
  <c r="K11"/>
  <c r="N23"/>
  <c r="N27" i="370"/>
  <c r="K27"/>
  <c r="N31"/>
  <c r="K7" i="369"/>
  <c r="N7"/>
  <c r="N19" i="370"/>
  <c r="K19"/>
  <c r="N11"/>
  <c r="K11"/>
  <c r="N15"/>
  <c r="K29"/>
  <c r="N5" i="358"/>
  <c r="N33" i="370"/>
  <c r="K33"/>
</calcChain>
</file>

<file path=xl/comments1.xml><?xml version="1.0" encoding="utf-8"?>
<comments xmlns="http://schemas.openxmlformats.org/spreadsheetml/2006/main">
  <authors>
    <author>LaBonita</author>
  </authors>
  <commentList>
    <comment ref="H7" authorId="0">
      <text>
        <r>
          <rPr>
            <b/>
            <sz val="9"/>
            <color indexed="81"/>
            <rFont val="Tahoma"/>
            <family val="2"/>
          </rPr>
          <t>LaBonita:</t>
        </r>
        <r>
          <rPr>
            <sz val="9"/>
            <color indexed="81"/>
            <rFont val="Tahoma"/>
            <family val="2"/>
          </rPr>
          <t xml:space="preserve">
alta fuera de plazo 3 eu</t>
        </r>
      </text>
    </comment>
  </commentList>
</comments>
</file>

<file path=xl/comments2.xml><?xml version="1.0" encoding="utf-8"?>
<comments xmlns="http://schemas.openxmlformats.org/spreadsheetml/2006/main">
  <authors>
    <author>LABONITA</author>
    <author>HP</author>
  </authors>
  <commentList>
    <comment ref="H5" authorId="0">
      <text>
        <r>
          <rPr>
            <b/>
            <sz val="9"/>
            <color indexed="81"/>
            <rFont val="Tahoma"/>
            <family val="2"/>
          </rPr>
          <t>LABONITA:</t>
        </r>
        <r>
          <rPr>
            <sz val="9"/>
            <color indexed="81"/>
            <rFont val="Tahoma"/>
            <family val="2"/>
          </rPr>
          <t xml:space="preserve">
Alta fuera de plazo
</t>
        </r>
      </text>
    </comment>
    <comment ref="H7" authorId="1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mod nomina</t>
        </r>
      </text>
    </comment>
  </commentList>
</comments>
</file>

<file path=xl/sharedStrings.xml><?xml version="1.0" encoding="utf-8"?>
<sst xmlns="http://schemas.openxmlformats.org/spreadsheetml/2006/main" count="4610" uniqueCount="307">
  <si>
    <t>NOMBRE</t>
  </si>
  <si>
    <t>REFERENCIA</t>
  </si>
  <si>
    <t>SITUACION</t>
  </si>
  <si>
    <t>INFO GENERAL</t>
  </si>
  <si>
    <t>FACTURA</t>
  </si>
  <si>
    <t>Nº FACTURA</t>
  </si>
  <si>
    <t>TOTAL</t>
  </si>
  <si>
    <t>IVA</t>
  </si>
  <si>
    <t>BASE</t>
  </si>
  <si>
    <t>RESTO</t>
  </si>
  <si>
    <t>SEG SOCIAL + IRPF</t>
  </si>
  <si>
    <t>TOTAL A DEPOSITAR</t>
  </si>
  <si>
    <t>LIQUIDACION</t>
  </si>
  <si>
    <t>COMISION LA BONITA</t>
  </si>
  <si>
    <t>LIQUIDADO   (FECHA)</t>
  </si>
  <si>
    <t>"RESTO" DE DIVIDE EN</t>
  </si>
  <si>
    <t>GASTOS PUNTUALES</t>
  </si>
  <si>
    <t>GASTOS GENERALES</t>
  </si>
  <si>
    <t>A CALCULAR EN NOMINA ( COSTE TOTAL)</t>
  </si>
  <si>
    <t>PARTES DE LA NOMINA</t>
  </si>
  <si>
    <t>TRAMO O CONTRATO</t>
  </si>
  <si>
    <t>LIQUIDO          ( EN MANO)</t>
  </si>
  <si>
    <t>SSOCIAL</t>
  </si>
  <si>
    <t>IRPF</t>
  </si>
  <si>
    <t>ALTA/BAJA</t>
  </si>
  <si>
    <t>PABLO ROBERTO DEL GIUDICE</t>
  </si>
  <si>
    <t>MAURICIO VILLARROEL</t>
  </si>
  <si>
    <t>JORGE ALBUERNE JUANCO</t>
  </si>
  <si>
    <t>JOAQUIN LAGUARDE</t>
  </si>
  <si>
    <t>RACHIDA AHARRAT EL ALLOUCH</t>
  </si>
  <si>
    <t>ADRIANA SEGURADO MÉNDEZ</t>
  </si>
  <si>
    <t>EMMANUEL JOEL DANET</t>
  </si>
  <si>
    <t>ANNA FONTANET BASSAS</t>
  </si>
  <si>
    <t>ANGEL ROSET ROSADO</t>
  </si>
  <si>
    <t>HECTOR GRANADA COROLEU</t>
  </si>
  <si>
    <t>IGNACIO MARTIN RICCI</t>
  </si>
  <si>
    <t xml:space="preserve">VICTOR RUBILAR </t>
  </si>
  <si>
    <t>FRANCISCO BAENA MORALES</t>
  </si>
  <si>
    <t>TUPAC MARTIN DAMIA</t>
  </si>
  <si>
    <t>EULALIA SANTANACH GRANEL</t>
  </si>
  <si>
    <t>JUANA BELTRAN NÚÑEZ</t>
  </si>
  <si>
    <t>MARIA SOL VAZQUEZ NICOLOFF</t>
  </si>
  <si>
    <t>NICOLETTA VALENTE</t>
  </si>
  <si>
    <t>ALBERT VENDRELL ORTIZ</t>
  </si>
  <si>
    <t>NICOLAS ALEJANDRO BENINCASA</t>
  </si>
  <si>
    <t>PABLO RAMIREZ</t>
  </si>
  <si>
    <t>STINA KOPRA</t>
  </si>
  <si>
    <t>XAVI GARCIA ILLA</t>
  </si>
  <si>
    <t>KRISHNA MOLINA BUELGA</t>
  </si>
  <si>
    <t>EMMA VILLAECCHIA LEIBMAN</t>
  </si>
  <si>
    <t>MARTA GARCIA CARDELLACH</t>
  </si>
  <si>
    <t>DOMINIK MACIEJ SRZEDNICKI</t>
  </si>
  <si>
    <t>NEUS CANALIAS AVILA</t>
  </si>
  <si>
    <t>FRANCISCO ROJAS DYVINETZ</t>
  </si>
  <si>
    <t>ALBA COMELLA PUGA</t>
  </si>
  <si>
    <t>MERITXELL ESTEBAN JANOT</t>
  </si>
  <si>
    <t>PDTE</t>
  </si>
  <si>
    <t>ANTONIO JESUS ALCALDE SEBASTIAN</t>
  </si>
  <si>
    <t xml:space="preserve">MARCELO COTIGNOLA GATTI </t>
  </si>
  <si>
    <t>JUAN CARLOS SABATE</t>
  </si>
  <si>
    <t>CRISTINA GASULLA MEGIDO</t>
  </si>
  <si>
    <t>MARIA INES GUARDIA ARARIO</t>
  </si>
  <si>
    <t>PAU SEGUI SUÑOL</t>
  </si>
  <si>
    <t>SONIA GOMEZ VICENTE</t>
  </si>
  <si>
    <t>PUNTUALES</t>
  </si>
  <si>
    <t>GUILLERMO VIZCAINO LLOBERA</t>
  </si>
  <si>
    <t>MAURO DANIEL PAGANINI</t>
  </si>
  <si>
    <t>TOMAS TABOADA</t>
  </si>
  <si>
    <t>JULIE BERGEZ</t>
  </si>
  <si>
    <t>GEMMA BERENGUER BALAT</t>
  </si>
  <si>
    <t>DAVID TEIXIDO IBAÑEZ</t>
  </si>
  <si>
    <t>CLARA GARCES CIURANA</t>
  </si>
  <si>
    <t>SONIA ESPINOSA MUÑOZ</t>
  </si>
  <si>
    <t>CESAR LOPEZ TORRES</t>
  </si>
  <si>
    <t>LUIZ FERNANDO MOURA</t>
  </si>
  <si>
    <t>MARIA MORA ALCOLEA</t>
  </si>
  <si>
    <t>XABI ELICAGARAY</t>
  </si>
  <si>
    <t>DAVID PRIEGO</t>
  </si>
  <si>
    <t>IVA 4%</t>
  </si>
  <si>
    <t>KARL K. STETS</t>
  </si>
  <si>
    <t>ELENA LALUCAT</t>
  </si>
  <si>
    <t>LISARD TRANIS</t>
  </si>
  <si>
    <t>PAULA FERNANDA BASSO</t>
  </si>
  <si>
    <t>THOMAS ZETTEL</t>
  </si>
  <si>
    <t>SALVADOR RIBA MEGIAS</t>
  </si>
  <si>
    <t>MARTA CAMUFFI</t>
  </si>
  <si>
    <t>Mª EUGENIA CASANOVA</t>
  </si>
  <si>
    <t>MINERVA CASTRO</t>
  </si>
  <si>
    <t>GEORGIA VARDAROU</t>
  </si>
  <si>
    <t>SALVADOR SANCHIS</t>
  </si>
  <si>
    <t>MARIA CONCEPCION PONS</t>
  </si>
  <si>
    <t>ANDREU GUZMAN</t>
  </si>
  <si>
    <t>DESISLAVA STANEVA</t>
  </si>
  <si>
    <t>ANGEL NAVARRO</t>
  </si>
  <si>
    <t>MARIA VILLATE LOPEZ</t>
  </si>
  <si>
    <t>RICARDO GASTON SANCHEZ</t>
  </si>
  <si>
    <t>LINDA VELLAR</t>
  </si>
  <si>
    <t>LAURA ARAGO CREHUET</t>
  </si>
  <si>
    <t>OSKAR MAURICIO</t>
  </si>
  <si>
    <t>ORIOL PLA SOLINAS</t>
  </si>
  <si>
    <t>JORDI GASPAR</t>
  </si>
  <si>
    <t>JORGE FERREIRA DA ROCHA</t>
  </si>
  <si>
    <t>TODAVIA NO TIENE Nº</t>
  </si>
  <si>
    <t>ARNAU ANDREU FEIXAS</t>
  </si>
  <si>
    <t>SOFIA DEMICHELI</t>
  </si>
  <si>
    <t>TIZIANO CAFFI</t>
  </si>
  <si>
    <t>THAIS JULIA MAS</t>
  </si>
  <si>
    <t>ANNA CUSCO</t>
  </si>
  <si>
    <t>CAROLINA STEFANO</t>
  </si>
  <si>
    <t>VICTORIA CARLOS ALBACETE</t>
  </si>
  <si>
    <t>JESUS NAVARRO</t>
  </si>
  <si>
    <t>GONZALO COLOSIA GIMÉNEZ</t>
  </si>
  <si>
    <t>EXENTO</t>
  </si>
  <si>
    <t>Total</t>
  </si>
  <si>
    <t>COMISION SERVICIOS EXTRAS</t>
  </si>
  <si>
    <t>DIANA PLA SOLINA</t>
  </si>
  <si>
    <t>T2+26,67D</t>
  </si>
  <si>
    <t>SUMA</t>
  </si>
  <si>
    <t>ARCADI POCH</t>
  </si>
  <si>
    <t>ANA CAMPOS FERREIRA</t>
  </si>
  <si>
    <t>AINHOA ROCA VIELBA</t>
  </si>
  <si>
    <t>LILA CABARET</t>
  </si>
  <si>
    <t>18-0204</t>
  </si>
  <si>
    <t>GINES BELCHI GABARRON</t>
  </si>
  <si>
    <t>LEIRE MESA</t>
  </si>
  <si>
    <t>17/03</t>
  </si>
  <si>
    <t>DAVID MAQUEDA PAVO</t>
  </si>
  <si>
    <t>RAQUEL BATET ALVAREZ</t>
  </si>
  <si>
    <t>ALBERT REQUENA SERRA</t>
  </si>
  <si>
    <t>IVANA DUZANEC</t>
  </si>
  <si>
    <t>JORDI QUEROL GIMENEZ</t>
  </si>
  <si>
    <t>MIGUEL GUILLEN POZUELO</t>
  </si>
  <si>
    <t>LARA RENARD GARCIA</t>
  </si>
  <si>
    <t>FINN PATRICK MURPHY</t>
  </si>
  <si>
    <t>JACOBO VAZQUEZ</t>
  </si>
  <si>
    <t>ROCIO AHUMADA HONORATO</t>
  </si>
  <si>
    <t>HELGA MARTIN REDONDO</t>
  </si>
  <si>
    <t>ANNA MARIA COLOMAR</t>
  </si>
  <si>
    <t>MONTSERRAT CAMPS LLORENS</t>
  </si>
  <si>
    <t>LAURA SAUMWEBER</t>
  </si>
  <si>
    <t>JUDIT OBACH</t>
  </si>
  <si>
    <t>LAIA MONTOYA</t>
  </si>
  <si>
    <t>LUCIANA DIAZ GARCIA</t>
  </si>
  <si>
    <t>ANJA KODRUN</t>
  </si>
  <si>
    <t>REGULARIZACION DEUDA CUOTA SOCIO 2017</t>
  </si>
  <si>
    <t>MARC LAPUERTA LIZANA</t>
  </si>
  <si>
    <t>CABARET CLOWNIA</t>
  </si>
  <si>
    <t>18-0722</t>
  </si>
  <si>
    <t>30/06</t>
  </si>
  <si>
    <t>RUBEN PEREZ VIANA</t>
  </si>
  <si>
    <t>DIDAC GILABERT MANSILLA</t>
  </si>
  <si>
    <t>ANTONIO ROVIRA UÑO</t>
  </si>
  <si>
    <t>ANA RITA ALMEIDA</t>
  </si>
  <si>
    <t>438 JULIO NORBERTO OPAZO</t>
  </si>
  <si>
    <t xml:space="preserve"> </t>
  </si>
  <si>
    <t>OLGA ALEXANDROVA</t>
  </si>
  <si>
    <t>ALFONSO PARDO ZAPATERO</t>
  </si>
  <si>
    <t>INES GONZALEZ BOZA</t>
  </si>
  <si>
    <t>MARTIN ROBERTO SAMANNA</t>
  </si>
  <si>
    <t>YOEL RODRIGUEZ SANCHEZ</t>
  </si>
  <si>
    <t>MONICA YURRURIA MARTINEZ HERRERA</t>
  </si>
  <si>
    <t>NAHUEL ANDRES GROPPO</t>
  </si>
  <si>
    <t>ADRIANA MASCORT MARTINEZ</t>
  </si>
  <si>
    <t>ELISABETTA CAU</t>
  </si>
  <si>
    <t>MARIA DOLORES RODRIGUEZ SANCHEZ</t>
  </si>
  <si>
    <t>ALEX GUIRAO LOPEZ</t>
  </si>
  <si>
    <t>RAPHAEL CHARLES AIME GIRAUD</t>
  </si>
  <si>
    <t>JOSE LUIS DE LA TORRE CASTEJON</t>
  </si>
  <si>
    <t>LAIA JORBA RAFOLS</t>
  </si>
  <si>
    <t>REMANENTE 2019</t>
  </si>
  <si>
    <t>TOTAL REMANENTE 2019</t>
  </si>
  <si>
    <t>COMISION SERVICIO EXTRA</t>
  </si>
  <si>
    <t>LINN MIRJA JOHANSSON</t>
  </si>
  <si>
    <t>THANIA PAULINA FLORES ALVAREZ</t>
  </si>
  <si>
    <t xml:space="preserve">MADE EVANGELIST ENERO </t>
  </si>
  <si>
    <t>19-0019</t>
  </si>
  <si>
    <t>OJO COBRAR A PUNTUALES 25 € POR SERVICIO EXTRA</t>
  </si>
  <si>
    <t>CONTRATO</t>
  </si>
  <si>
    <t>11/01</t>
  </si>
  <si>
    <t>ACTUACIO LE BOULON</t>
  </si>
  <si>
    <t>19-0047</t>
  </si>
  <si>
    <t>JEAN BOSCO BOTSHO</t>
  </si>
  <si>
    <t>NURIA GONZALEZ LLAUSI</t>
  </si>
  <si>
    <t>CIRQUE DE DEMAIN</t>
  </si>
  <si>
    <t>19-0065</t>
  </si>
  <si>
    <t>T1*2+T2+26,67D*3</t>
  </si>
  <si>
    <t>ALBERT ARTIGAS FERNANDEZ</t>
  </si>
  <si>
    <t>MADE EVANGELIS FEB</t>
  </si>
  <si>
    <t>19-0087</t>
  </si>
  <si>
    <t>T1*2+T2+48,08D*2</t>
  </si>
  <si>
    <t>25-27/01</t>
  </si>
  <si>
    <t>29-31/1-1-4/02</t>
  </si>
  <si>
    <t>EMILIANO GONZALEZ FROLA</t>
  </si>
  <si>
    <t>MANUEL JORGE ZOCCHI</t>
  </si>
  <si>
    <t>INGRESOS DE REMANENTES DE BOLOS</t>
  </si>
  <si>
    <t xml:space="preserve">NO PAGAR NADA A ARCADI!!!! EMBARGO!!!! </t>
  </si>
  <si>
    <t>AVISAR A NATALIA CUANDO SE COBRE</t>
  </si>
  <si>
    <t>RESIDENCIA CREST</t>
  </si>
  <si>
    <t>19-0116</t>
  </si>
  <si>
    <t>08/02</t>
  </si>
  <si>
    <t>CRISTIAN GOMEZ BERMUDEZ</t>
  </si>
  <si>
    <t>17-20-22-23/02</t>
  </si>
  <si>
    <t>MADE EVANGELIST MARZO</t>
  </si>
  <si>
    <t>19-0151</t>
  </si>
  <si>
    <t>GERMAN CARO LARSON</t>
  </si>
  <si>
    <t>CECILIA ALICE MANFRINI</t>
  </si>
  <si>
    <t>7/03</t>
  </si>
  <si>
    <t>TOPE DE REMANENTE 1200€ CADA VEZ QUE PASE EL TOPE HAY QUE TRANSFERIRLE LA DIFERENCIA A PATXO</t>
  </si>
  <si>
    <t>MADE EVANGELIST 2</t>
  </si>
  <si>
    <t>19-0215</t>
  </si>
  <si>
    <t xml:space="preserve">QUIM VILAGRAN CASANOVAS </t>
  </si>
  <si>
    <t>JORDI PUJADES ALARAZ</t>
  </si>
  <si>
    <t>28/03</t>
  </si>
  <si>
    <t>MARTA SORRIBAS SUGRAÑES</t>
  </si>
  <si>
    <t>ANA BARROSO GARCIA</t>
  </si>
  <si>
    <t>OJO NOMINA DE MARZO INCORRECTA PASAR NUEVA Y ABONAR DIFERENCIA</t>
  </si>
  <si>
    <t>NOM. OK</t>
  </si>
  <si>
    <t>PAGO DIF.</t>
  </si>
  <si>
    <t>MADE EVANGELIST ABR</t>
  </si>
  <si>
    <t>19-0316</t>
  </si>
  <si>
    <t>IAN GARRIDO LOPEZ</t>
  </si>
  <si>
    <t>CLAUDIA GOMEZ FIGUERAS</t>
  </si>
  <si>
    <t>30/04</t>
  </si>
  <si>
    <t>JADE MORIN</t>
  </si>
  <si>
    <t>JONATHAN GUISADO MARTINEZ</t>
  </si>
  <si>
    <t>T1*2+T2</t>
  </si>
  <si>
    <t>MADE EVANGELIST MAYO</t>
  </si>
  <si>
    <t>19-0428</t>
  </si>
  <si>
    <t>SELMA AGUILAR</t>
  </si>
  <si>
    <t>LA BONITA</t>
  </si>
  <si>
    <t>FATIMA CAMPOS TREPAT</t>
  </si>
  <si>
    <t>AURORA CAJA ROCA</t>
  </si>
  <si>
    <t>FRICS</t>
  </si>
  <si>
    <t>19-0455</t>
  </si>
  <si>
    <t>ARGENTONA</t>
  </si>
  <si>
    <t>19-0456</t>
  </si>
  <si>
    <t>ASFALTART</t>
  </si>
  <si>
    <t>19-0460</t>
  </si>
  <si>
    <t>31/05</t>
  </si>
  <si>
    <t>ANGEL</t>
  </si>
  <si>
    <t>19-0484</t>
  </si>
  <si>
    <t>MILANO</t>
  </si>
  <si>
    <t>19-0487</t>
  </si>
  <si>
    <t>08/06</t>
  </si>
  <si>
    <t>ALBA RAMIO GUELL</t>
  </si>
  <si>
    <t>7-9/06</t>
  </si>
  <si>
    <t>EVANGELIST JUNIO</t>
  </si>
  <si>
    <t>19-0535</t>
  </si>
  <si>
    <t>ACTUACIO ANGEL</t>
  </si>
  <si>
    <t>19-0537</t>
  </si>
  <si>
    <t>15/06</t>
  </si>
  <si>
    <t>29/06</t>
  </si>
  <si>
    <t>JONATAN GONZALEZ CUESTA</t>
  </si>
  <si>
    <t>ACTUACIO ANGEL 2</t>
  </si>
  <si>
    <t>19-0588</t>
  </si>
  <si>
    <t>NOELIA MENCIAS</t>
  </si>
  <si>
    <t>ACTUACIO ANGEL 3</t>
  </si>
  <si>
    <t>19-0603</t>
  </si>
  <si>
    <t>OJO DESCONTAR EN PROXIMOS PAGOS RESTO DEUDA (49,97)</t>
  </si>
  <si>
    <t>MADE EVANGELIST JULIO</t>
  </si>
  <si>
    <t>19-0641</t>
  </si>
  <si>
    <t>15-17/06</t>
  </si>
  <si>
    <t>Judit Beltri Pansello</t>
  </si>
  <si>
    <t>DALMAU BOADA</t>
  </si>
  <si>
    <t>MARIA CATALINA AMORIM CLAVELLI</t>
  </si>
  <si>
    <t>8/06</t>
  </si>
  <si>
    <t>15/07</t>
  </si>
  <si>
    <t>27/07</t>
  </si>
  <si>
    <t>PATXI URLEZEAGA</t>
  </si>
  <si>
    <t>18/07</t>
  </si>
  <si>
    <t>KATARZYNA SZCZEPANSKA</t>
  </si>
  <si>
    <t>XEVI CASALS</t>
  </si>
  <si>
    <t>IAN DE LA ROSA</t>
  </si>
  <si>
    <t>PRAGA</t>
  </si>
  <si>
    <t>19-0716</t>
  </si>
  <si>
    <t>puntual jade morin</t>
  </si>
  <si>
    <t>MADE EVANGELIST SEP</t>
  </si>
  <si>
    <t>19-0728</t>
  </si>
  <si>
    <t>9-31/08+1-2/09</t>
  </si>
  <si>
    <t>XAVI SANCHEZ</t>
  </si>
  <si>
    <t>6-7/09</t>
  </si>
  <si>
    <t>JORDI VILA GUILLAMET</t>
  </si>
  <si>
    <t>BOURG EN BRESSE</t>
  </si>
  <si>
    <t>19-0801</t>
  </si>
  <si>
    <t>GREGORIO TORCHIA</t>
  </si>
  <si>
    <t>OJO CONTROLAR QUE KARL INGRESE LOS 50€ DE BOLO ANULADO CHARNEVILLE/ ESTA TODO EN COSTES SEPTIEMBRE</t>
  </si>
  <si>
    <t>1-3/10</t>
  </si>
  <si>
    <t>MARIA VANESA PEREZ AVILA</t>
  </si>
  <si>
    <t>UTILIZAR LAS NOMINAS QUE QUEDAN PARA SALDAR LA DEUDA DE BADALONA</t>
  </si>
  <si>
    <t>A PEDIDO DE NAHUEL PASAR EL PAGO DE SU NOMINA A LA DEUDA DE BADALONA AVISAR A FINA</t>
  </si>
  <si>
    <t>FESTIVAL HOLANDA</t>
  </si>
  <si>
    <t>19-0837</t>
  </si>
  <si>
    <t>JULIA CAPEL DE LA CHICA</t>
  </si>
  <si>
    <t>MARIA JOSE CORRAL TORT</t>
  </si>
  <si>
    <t>15-20/10</t>
  </si>
  <si>
    <t>T1*5+T4*1+6*48,89D</t>
  </si>
  <si>
    <t>BRUNA ARTIGAL I GARCIA</t>
  </si>
  <si>
    <t>DANIELA POCH</t>
  </si>
  <si>
    <t>BRUNO TOSO</t>
  </si>
  <si>
    <t>ELISE MARILYNE MOREAU</t>
  </si>
  <si>
    <t>OJO SE DA DE BAJA EL 8-10-19 DEBE 49,97€)</t>
  </si>
  <si>
    <t>CYNTHIA PAMELA MOROS</t>
  </si>
  <si>
    <t>MIGUEL ANGEL LUNA RUIZ</t>
  </si>
  <si>
    <t>CARLA FERRANY JIMENEZ</t>
  </si>
  <si>
    <t>TRICICLE DE COLORS</t>
  </si>
  <si>
    <t>ENVIE MAIL EL 13/01/2020 MIRAR CONTROL TOTAL 2019 PARA VER EL DESGLOSE DE LA DEUDA</t>
  </si>
  <si>
    <t>FUE UN ERROR DE LABONITA</t>
  </si>
</sst>
</file>

<file path=xl/styles.xml><?xml version="1.0" encoding="utf-8"?>
<styleSheet xmlns="http://schemas.openxmlformats.org/spreadsheetml/2006/main">
  <numFmts count="4">
    <numFmt numFmtId="44" formatCode="_-* #,##0.00\ &quot;€&quot;_-;\-* #,##0.00\ &quot;€&quot;_-;_-* &quot;-&quot;??\ &quot;€&quot;_-;_-@_-"/>
    <numFmt numFmtId="164" formatCode="[$-C0A]d\-mmm;@"/>
    <numFmt numFmtId="165" formatCode="[$-C0A]d\-mmm\-yy;@"/>
    <numFmt numFmtId="167" formatCode="d\-m;@"/>
  </numFmts>
  <fonts count="4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mbria"/>
      <family val="1"/>
    </font>
    <font>
      <sz val="10"/>
      <name val="Arial"/>
      <family val="2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indexed="8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4"/>
      <color rgb="FFFF0000"/>
      <name val="Calibri"/>
      <family val="2"/>
    </font>
    <font>
      <sz val="14"/>
      <name val="Calibri"/>
      <family val="2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</font>
    <font>
      <sz val="11"/>
      <color rgb="FF9C6500"/>
      <name val="Calibri"/>
      <family val="2"/>
      <scheme val="minor"/>
    </font>
    <font>
      <sz val="12"/>
      <color indexed="8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5DEF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FB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49">
    <xf numFmtId="0" fontId="0" fillId="0" borderId="0"/>
    <xf numFmtId="0" fontId="20" fillId="0" borderId="0"/>
    <xf numFmtId="0" fontId="20" fillId="2" borderId="1" applyNumberForma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2" fillId="0" borderId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8" fillId="0" borderId="0"/>
    <xf numFmtId="0" fontId="18" fillId="0" borderId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14" fillId="0" borderId="0"/>
    <xf numFmtId="0" fontId="14" fillId="0" borderId="0"/>
    <xf numFmtId="0" fontId="38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0" fillId="14" borderId="0" applyNumberFormat="0" applyBorder="0" applyAlignment="0" applyProtection="0"/>
    <xf numFmtId="44" fontId="19" fillId="0" borderId="0" applyFont="0" applyFill="0" applyBorder="0" applyAlignment="0" applyProtection="0"/>
  </cellStyleXfs>
  <cellXfs count="304">
    <xf numFmtId="0" fontId="0" fillId="0" borderId="0" xfId="0"/>
    <xf numFmtId="0" fontId="20" fillId="0" borderId="0" xfId="1"/>
    <xf numFmtId="164" fontId="20" fillId="0" borderId="0" xfId="1" applyNumberFormat="1"/>
    <xf numFmtId="1" fontId="20" fillId="0" borderId="0" xfId="1" applyNumberFormat="1"/>
    <xf numFmtId="0" fontId="26" fillId="0" borderId="2" xfId="1" applyFont="1" applyBorder="1"/>
    <xf numFmtId="0" fontId="20" fillId="0" borderId="2" xfId="1" applyBorder="1"/>
    <xf numFmtId="0" fontId="20" fillId="5" borderId="0" xfId="1" applyFill="1"/>
    <xf numFmtId="2" fontId="20" fillId="0" borderId="0" xfId="1" applyNumberFormat="1"/>
    <xf numFmtId="0" fontId="20" fillId="0" borderId="0" xfId="1" applyAlignment="1">
      <alignment vertical="center" wrapText="1"/>
    </xf>
    <xf numFmtId="0" fontId="20" fillId="0" borderId="0" xfId="1" applyAlignment="1">
      <alignment horizontal="right"/>
    </xf>
    <xf numFmtId="0" fontId="26" fillId="0" borderId="2" xfId="1" applyFont="1" applyBorder="1" applyAlignment="1">
      <alignment horizontal="right"/>
    </xf>
    <xf numFmtId="0" fontId="20" fillId="0" borderId="2" xfId="1" applyBorder="1" applyAlignment="1">
      <alignment horizontal="right"/>
    </xf>
    <xf numFmtId="0" fontId="32" fillId="0" borderId="2" xfId="1" applyFont="1" applyBorder="1"/>
    <xf numFmtId="0" fontId="20" fillId="6" borderId="0" xfId="1" applyFill="1"/>
    <xf numFmtId="0" fontId="33" fillId="0" borderId="2" xfId="1" applyFont="1" applyBorder="1"/>
    <xf numFmtId="0" fontId="33" fillId="0" borderId="6" xfId="1" applyFont="1" applyBorder="1"/>
    <xf numFmtId="0" fontId="33" fillId="0" borderId="7" xfId="1" applyFont="1" applyBorder="1"/>
    <xf numFmtId="0" fontId="33" fillId="0" borderId="8" xfId="1" applyFont="1" applyBorder="1"/>
    <xf numFmtId="0" fontId="26" fillId="0" borderId="6" xfId="1" applyFont="1" applyBorder="1"/>
    <xf numFmtId="0" fontId="26" fillId="0" borderId="7" xfId="1" applyFont="1" applyBorder="1"/>
    <xf numFmtId="0" fontId="26" fillId="0" borderId="8" xfId="1" applyFont="1" applyBorder="1"/>
    <xf numFmtId="0" fontId="33" fillId="6" borderId="8" xfId="1" applyFont="1" applyFill="1" applyBorder="1"/>
    <xf numFmtId="0" fontId="20" fillId="0" borderId="2" xfId="1" applyBorder="1" applyAlignment="1">
      <alignment horizontal="left"/>
    </xf>
    <xf numFmtId="1" fontId="20" fillId="0" borderId="0" xfId="1" applyNumberFormat="1" applyAlignment="1">
      <alignment horizontal="left"/>
    </xf>
    <xf numFmtId="0" fontId="32" fillId="0" borderId="2" xfId="1" applyFont="1" applyBorder="1" applyAlignment="1">
      <alignment wrapText="1"/>
    </xf>
    <xf numFmtId="49" fontId="28" fillId="4" borderId="11" xfId="1" applyNumberFormat="1" applyFont="1" applyFill="1" applyBorder="1" applyAlignment="1">
      <alignment horizontal="center" vertical="center"/>
    </xf>
    <xf numFmtId="164" fontId="28" fillId="4" borderId="11" xfId="1" applyNumberFormat="1" applyFont="1" applyFill="1" applyBorder="1" applyAlignment="1">
      <alignment horizontal="center" vertical="center"/>
    </xf>
    <xf numFmtId="49" fontId="28" fillId="3" borderId="11" xfId="1" applyNumberFormat="1" applyFont="1" applyFill="1" applyBorder="1" applyAlignment="1">
      <alignment horizontal="center" vertical="center" wrapText="1"/>
    </xf>
    <xf numFmtId="49" fontId="28" fillId="4" borderId="11" xfId="1" applyNumberFormat="1" applyFont="1" applyFill="1" applyBorder="1" applyAlignment="1">
      <alignment horizontal="center" vertical="center" wrapText="1"/>
    </xf>
    <xf numFmtId="165" fontId="28" fillId="4" borderId="11" xfId="1" applyNumberFormat="1" applyFont="1" applyFill="1" applyBorder="1" applyAlignment="1">
      <alignment horizontal="center" vertical="center" wrapText="1"/>
    </xf>
    <xf numFmtId="1" fontId="28" fillId="4" borderId="11" xfId="1" applyNumberFormat="1" applyFont="1" applyFill="1" applyBorder="1" applyAlignment="1">
      <alignment horizontal="center" vertical="center"/>
    </xf>
    <xf numFmtId="49" fontId="28" fillId="4" borderId="2" xfId="1" applyNumberFormat="1" applyFont="1" applyFill="1" applyBorder="1" applyAlignment="1">
      <alignment horizontal="center" vertical="center" wrapText="1"/>
    </xf>
    <xf numFmtId="0" fontId="20" fillId="5" borderId="11" xfId="1" applyFill="1" applyBorder="1"/>
    <xf numFmtId="164" fontId="20" fillId="5" borderId="11" xfId="1" applyNumberFormat="1" applyFill="1" applyBorder="1"/>
    <xf numFmtId="0" fontId="20" fillId="5" borderId="11" xfId="1" applyFill="1" applyBorder="1" applyAlignment="1">
      <alignment horizontal="right"/>
    </xf>
    <xf numFmtId="2" fontId="20" fillId="5" borderId="11" xfId="1" applyNumberFormat="1" applyFill="1" applyBorder="1" applyAlignment="1">
      <alignment horizontal="right"/>
    </xf>
    <xf numFmtId="165" fontId="20" fillId="5" borderId="11" xfId="1" applyNumberFormat="1" applyFill="1" applyBorder="1"/>
    <xf numFmtId="2" fontId="20" fillId="5" borderId="11" xfId="1" applyNumberFormat="1" applyFill="1" applyBorder="1"/>
    <xf numFmtId="164" fontId="20" fillId="5" borderId="11" xfId="1" applyNumberFormat="1" applyFill="1" applyBorder="1" applyAlignment="1">
      <alignment horizontal="right"/>
    </xf>
    <xf numFmtId="0" fontId="20" fillId="5" borderId="2" xfId="1" applyFill="1" applyBorder="1"/>
    <xf numFmtId="0" fontId="20" fillId="0" borderId="11" xfId="1" applyBorder="1"/>
    <xf numFmtId="164" fontId="20" fillId="0" borderId="11" xfId="1" applyNumberFormat="1" applyBorder="1"/>
    <xf numFmtId="0" fontId="20" fillId="0" borderId="11" xfId="1" applyBorder="1" applyAlignment="1">
      <alignment horizontal="right"/>
    </xf>
    <xf numFmtId="2" fontId="20" fillId="0" borderId="11" xfId="1" applyNumberFormat="1" applyBorder="1"/>
    <xf numFmtId="2" fontId="20" fillId="0" borderId="11" xfId="1" applyNumberFormat="1" applyBorder="1" applyAlignment="1">
      <alignment horizontal="right"/>
    </xf>
    <xf numFmtId="165" fontId="20" fillId="0" borderId="11" xfId="1" applyNumberFormat="1" applyBorder="1"/>
    <xf numFmtId="164" fontId="20" fillId="0" borderId="11" xfId="1" applyNumberFormat="1" applyBorder="1" applyAlignment="1">
      <alignment horizontal="right"/>
    </xf>
    <xf numFmtId="4" fontId="20" fillId="0" borderId="11" xfId="1" applyNumberFormat="1" applyBorder="1"/>
    <xf numFmtId="4" fontId="20" fillId="0" borderId="2" xfId="1" applyNumberFormat="1" applyBorder="1"/>
    <xf numFmtId="2" fontId="20" fillId="0" borderId="2" xfId="1" applyNumberFormat="1" applyBorder="1"/>
    <xf numFmtId="0" fontId="20" fillId="0" borderId="9" xfId="1" applyBorder="1"/>
    <xf numFmtId="164" fontId="20" fillId="0" borderId="9" xfId="1" applyNumberFormat="1" applyBorder="1"/>
    <xf numFmtId="0" fontId="20" fillId="0" borderId="9" xfId="1" applyBorder="1" applyAlignment="1">
      <alignment horizontal="right"/>
    </xf>
    <xf numFmtId="2" fontId="20" fillId="0" borderId="9" xfId="1" applyNumberFormat="1" applyBorder="1"/>
    <xf numFmtId="2" fontId="20" fillId="0" borderId="9" xfId="1" applyNumberFormat="1" applyBorder="1" applyAlignment="1">
      <alignment horizontal="right"/>
    </xf>
    <xf numFmtId="165" fontId="20" fillId="0" borderId="9" xfId="1" applyNumberFormat="1" applyBorder="1"/>
    <xf numFmtId="164" fontId="20" fillId="0" borderId="9" xfId="1" applyNumberFormat="1" applyBorder="1" applyAlignment="1">
      <alignment horizontal="right"/>
    </xf>
    <xf numFmtId="0" fontId="20" fillId="0" borderId="10" xfId="1" applyBorder="1"/>
    <xf numFmtId="0" fontId="20" fillId="7" borderId="11" xfId="1" applyFill="1" applyBorder="1"/>
    <xf numFmtId="164" fontId="20" fillId="7" borderId="11" xfId="1" applyNumberFormat="1" applyFill="1" applyBorder="1"/>
    <xf numFmtId="0" fontId="20" fillId="7" borderId="11" xfId="1" applyFill="1" applyBorder="1" applyAlignment="1">
      <alignment horizontal="right"/>
    </xf>
    <xf numFmtId="2" fontId="20" fillId="7" borderId="11" xfId="1" applyNumberFormat="1" applyFill="1" applyBorder="1" applyAlignment="1">
      <alignment horizontal="right"/>
    </xf>
    <xf numFmtId="165" fontId="20" fillId="7" borderId="11" xfId="1" applyNumberFormat="1" applyFill="1" applyBorder="1"/>
    <xf numFmtId="2" fontId="20" fillId="7" borderId="11" xfId="1" applyNumberFormat="1" applyFill="1" applyBorder="1"/>
    <xf numFmtId="164" fontId="20" fillId="7" borderId="11" xfId="1" applyNumberFormat="1" applyFill="1" applyBorder="1" applyAlignment="1">
      <alignment horizontal="right"/>
    </xf>
    <xf numFmtId="4" fontId="20" fillId="7" borderId="11" xfId="1" applyNumberFormat="1" applyFill="1" applyBorder="1"/>
    <xf numFmtId="4" fontId="20" fillId="7" borderId="2" xfId="1" applyNumberFormat="1" applyFill="1" applyBorder="1"/>
    <xf numFmtId="0" fontId="20" fillId="0" borderId="11" xfId="1" applyBorder="1" applyAlignment="1">
      <alignment horizontal="left"/>
    </xf>
    <xf numFmtId="0" fontId="20" fillId="7" borderId="2" xfId="1" applyFill="1" applyBorder="1"/>
    <xf numFmtId="0" fontId="20" fillId="7" borderId="9" xfId="1" applyFill="1" applyBorder="1"/>
    <xf numFmtId="164" fontId="20" fillId="7" borderId="9" xfId="1" applyNumberFormat="1" applyFill="1" applyBorder="1"/>
    <xf numFmtId="0" fontId="20" fillId="7" borderId="9" xfId="1" applyFill="1" applyBorder="1" applyAlignment="1">
      <alignment horizontal="right"/>
    </xf>
    <xf numFmtId="2" fontId="20" fillId="7" borderId="9" xfId="1" applyNumberFormat="1" applyFill="1" applyBorder="1" applyAlignment="1">
      <alignment horizontal="right"/>
    </xf>
    <xf numFmtId="165" fontId="20" fillId="7" borderId="9" xfId="1" applyNumberFormat="1" applyFill="1" applyBorder="1"/>
    <xf numFmtId="2" fontId="20" fillId="7" borderId="9" xfId="1" applyNumberFormat="1" applyFill="1" applyBorder="1"/>
    <xf numFmtId="164" fontId="20" fillId="7" borderId="9" xfId="1" applyNumberFormat="1" applyFill="1" applyBorder="1" applyAlignment="1">
      <alignment horizontal="right"/>
    </xf>
    <xf numFmtId="0" fontId="20" fillId="7" borderId="10" xfId="1" applyFill="1" applyBorder="1"/>
    <xf numFmtId="49" fontId="27" fillId="0" borderId="4" xfId="1" applyNumberFormat="1" applyFont="1" applyBorder="1" applyAlignment="1">
      <alignment horizontal="center" vertical="center" wrapText="1"/>
    </xf>
    <xf numFmtId="2" fontId="20" fillId="0" borderId="10" xfId="1" applyNumberFormat="1" applyBorder="1" applyAlignment="1">
      <alignment horizontal="right"/>
    </xf>
    <xf numFmtId="0" fontId="20" fillId="0" borderId="9" xfId="0" applyFont="1" applyBorder="1"/>
    <xf numFmtId="164" fontId="20" fillId="0" borderId="9" xfId="0" applyNumberFormat="1" applyFont="1" applyBorder="1"/>
    <xf numFmtId="0" fontId="20" fillId="0" borderId="9" xfId="0" applyFont="1" applyBorder="1" applyAlignment="1">
      <alignment horizontal="right"/>
    </xf>
    <xf numFmtId="2" fontId="20" fillId="0" borderId="9" xfId="0" applyNumberFormat="1" applyFont="1" applyBorder="1" applyAlignment="1">
      <alignment horizontal="right"/>
    </xf>
    <xf numFmtId="165" fontId="20" fillId="0" borderId="9" xfId="0" applyNumberFormat="1" applyFont="1" applyBorder="1"/>
    <xf numFmtId="2" fontId="20" fillId="0" borderId="9" xfId="0" applyNumberFormat="1" applyFont="1" applyBorder="1"/>
    <xf numFmtId="164" fontId="20" fillId="0" borderId="9" xfId="0" applyNumberFormat="1" applyFont="1" applyBorder="1" applyAlignment="1">
      <alignment horizontal="right"/>
    </xf>
    <xf numFmtId="0" fontId="20" fillId="0" borderId="10" xfId="0" applyFont="1" applyBorder="1"/>
    <xf numFmtId="49" fontId="20" fillId="7" borderId="11" xfId="1" applyNumberFormat="1" applyFill="1" applyBorder="1" applyAlignment="1">
      <alignment horizontal="right"/>
    </xf>
    <xf numFmtId="0" fontId="20" fillId="7" borderId="11" xfId="1" applyFill="1" applyBorder="1" applyAlignment="1">
      <alignment horizontal="left"/>
    </xf>
    <xf numFmtId="0" fontId="15" fillId="0" borderId="11" xfId="0" applyFont="1" applyBorder="1" applyAlignment="1">
      <alignment horizontal="right"/>
    </xf>
    <xf numFmtId="14" fontId="20" fillId="0" borderId="11" xfId="1" applyNumberFormat="1" applyBorder="1"/>
    <xf numFmtId="0" fontId="15" fillId="0" borderId="11" xfId="0" applyFont="1" applyBorder="1"/>
    <xf numFmtId="14" fontId="20" fillId="0" borderId="11" xfId="1" applyNumberFormat="1" applyBorder="1" applyAlignment="1">
      <alignment horizontal="right"/>
    </xf>
    <xf numFmtId="0" fontId="0" fillId="0" borderId="9" xfId="0" applyBorder="1"/>
    <xf numFmtId="0" fontId="0" fillId="0" borderId="9" xfId="0" applyBorder="1" applyAlignment="1">
      <alignment horizontal="right"/>
    </xf>
    <xf numFmtId="0" fontId="31" fillId="0" borderId="11" xfId="1" applyFont="1" applyBorder="1"/>
    <xf numFmtId="164" fontId="31" fillId="0" borderId="11" xfId="1" applyNumberFormat="1" applyFont="1" applyBorder="1"/>
    <xf numFmtId="0" fontId="31" fillId="0" borderId="11" xfId="1" applyFont="1" applyBorder="1" applyAlignment="1">
      <alignment horizontal="right"/>
    </xf>
    <xf numFmtId="2" fontId="31" fillId="0" borderId="11" xfId="1" applyNumberFormat="1" applyFont="1" applyBorder="1"/>
    <xf numFmtId="2" fontId="31" fillId="0" borderId="11" xfId="1" applyNumberFormat="1" applyFont="1" applyBorder="1" applyAlignment="1">
      <alignment horizontal="right"/>
    </xf>
    <xf numFmtId="0" fontId="34" fillId="0" borderId="11" xfId="1" applyFont="1" applyBorder="1"/>
    <xf numFmtId="0" fontId="0" fillId="7" borderId="11" xfId="0" applyFill="1" applyBorder="1"/>
    <xf numFmtId="1" fontId="20" fillId="7" borderId="11" xfId="1" applyNumberFormat="1" applyFill="1" applyBorder="1"/>
    <xf numFmtId="14" fontId="20" fillId="7" borderId="11" xfId="1" applyNumberFormat="1" applyFill="1" applyBorder="1" applyAlignment="1">
      <alignment horizontal="right"/>
    </xf>
    <xf numFmtId="49" fontId="30" fillId="4" borderId="11" xfId="1" applyNumberFormat="1" applyFont="1" applyFill="1" applyBorder="1" applyAlignment="1">
      <alignment horizontal="center" vertical="center" wrapText="1"/>
    </xf>
    <xf numFmtId="167" fontId="20" fillId="0" borderId="11" xfId="1" applyNumberFormat="1" applyBorder="1" applyAlignment="1">
      <alignment horizontal="right"/>
    </xf>
    <xf numFmtId="0" fontId="20" fillId="9" borderId="11" xfId="1" applyFill="1" applyBorder="1"/>
    <xf numFmtId="164" fontId="20" fillId="9" borderId="11" xfId="1" applyNumberFormat="1" applyFill="1" applyBorder="1"/>
    <xf numFmtId="0" fontId="20" fillId="9" borderId="11" xfId="1" applyFill="1" applyBorder="1" applyAlignment="1">
      <alignment horizontal="right"/>
    </xf>
    <xf numFmtId="2" fontId="20" fillId="9" borderId="11" xfId="1" applyNumberFormat="1" applyFill="1" applyBorder="1"/>
    <xf numFmtId="2" fontId="20" fillId="9" borderId="11" xfId="1" applyNumberFormat="1" applyFill="1" applyBorder="1" applyAlignment="1">
      <alignment horizontal="right"/>
    </xf>
    <xf numFmtId="0" fontId="20" fillId="6" borderId="11" xfId="1" applyFill="1" applyBorder="1"/>
    <xf numFmtId="2" fontId="20" fillId="6" borderId="11" xfId="1" applyNumberFormat="1" applyFill="1" applyBorder="1"/>
    <xf numFmtId="2" fontId="20" fillId="6" borderId="11" xfId="1" applyNumberFormat="1" applyFill="1" applyBorder="1" applyAlignment="1">
      <alignment horizontal="right"/>
    </xf>
    <xf numFmtId="164" fontId="20" fillId="6" borderId="11" xfId="1" applyNumberFormat="1" applyFill="1" applyBorder="1" applyAlignment="1">
      <alignment horizontal="right"/>
    </xf>
    <xf numFmtId="4" fontId="20" fillId="6" borderId="11" xfId="1" applyNumberFormat="1" applyFill="1" applyBorder="1"/>
    <xf numFmtId="4" fontId="20" fillId="6" borderId="2" xfId="1" applyNumberFormat="1" applyFill="1" applyBorder="1"/>
    <xf numFmtId="16" fontId="20" fillId="0" borderId="11" xfId="1" applyNumberFormat="1" applyBorder="1"/>
    <xf numFmtId="0" fontId="20" fillId="5" borderId="11" xfId="1" applyFill="1" applyBorder="1" applyAlignment="1">
      <alignment horizontal="left"/>
    </xf>
    <xf numFmtId="0" fontId="20" fillId="10" borderId="11" xfId="1" applyFill="1" applyBorder="1"/>
    <xf numFmtId="0" fontId="20" fillId="10" borderId="12" xfId="1" applyFill="1" applyBorder="1"/>
    <xf numFmtId="2" fontId="20" fillId="10" borderId="12" xfId="1" applyNumberFormat="1" applyFill="1" applyBorder="1" applyAlignment="1">
      <alignment horizontal="right"/>
    </xf>
    <xf numFmtId="1" fontId="26" fillId="0" borderId="2" xfId="1" applyNumberFormat="1" applyFont="1" applyBorder="1"/>
    <xf numFmtId="164" fontId="20" fillId="5" borderId="11" xfId="1" applyNumberFormat="1" applyFill="1" applyBorder="1" applyAlignment="1">
      <alignment horizontal="left"/>
    </xf>
    <xf numFmtId="49" fontId="12" fillId="0" borderId="13" xfId="0" applyNumberFormat="1" applyFont="1" applyBorder="1"/>
    <xf numFmtId="0" fontId="12" fillId="0" borderId="13" xfId="0" applyFont="1" applyBorder="1"/>
    <xf numFmtId="49" fontId="11" fillId="0" borderId="13" xfId="0" applyNumberFormat="1" applyFont="1" applyBorder="1"/>
    <xf numFmtId="0" fontId="11" fillId="0" borderId="13" xfId="0" applyFont="1" applyBorder="1"/>
    <xf numFmtId="49" fontId="10" fillId="0" borderId="13" xfId="0" applyNumberFormat="1" applyFont="1" applyBorder="1"/>
    <xf numFmtId="2" fontId="20" fillId="5" borderId="13" xfId="1" applyNumberFormat="1" applyFill="1" applyBorder="1" applyAlignment="1">
      <alignment horizontal="right"/>
    </xf>
    <xf numFmtId="49" fontId="28" fillId="4" borderId="15" xfId="1" applyNumberFormat="1" applyFont="1" applyFill="1" applyBorder="1" applyAlignment="1">
      <alignment horizontal="center" vertical="center" wrapText="1"/>
    </xf>
    <xf numFmtId="0" fontId="20" fillId="0" borderId="14" xfId="1" applyBorder="1"/>
    <xf numFmtId="0" fontId="33" fillId="0" borderId="7" xfId="1" applyFont="1" applyBorder="1" applyAlignment="1">
      <alignment horizontal="right"/>
    </xf>
    <xf numFmtId="49" fontId="9" fillId="0" borderId="13" xfId="0" applyNumberFormat="1" applyFont="1" applyBorder="1"/>
    <xf numFmtId="0" fontId="26" fillId="0" borderId="7" xfId="1" applyFont="1" applyBorder="1" applyAlignment="1">
      <alignment horizontal="right"/>
    </xf>
    <xf numFmtId="49" fontId="9" fillId="0" borderId="13" xfId="0" applyNumberFormat="1" applyFont="1" applyBorder="1" applyAlignment="1">
      <alignment horizontal="right"/>
    </xf>
    <xf numFmtId="49" fontId="11" fillId="0" borderId="13" xfId="0" applyNumberFormat="1" applyFont="1" applyBorder="1" applyAlignment="1">
      <alignment horizontal="right"/>
    </xf>
    <xf numFmtId="0" fontId="9" fillId="0" borderId="13" xfId="0" applyFont="1" applyBorder="1"/>
    <xf numFmtId="1" fontId="20" fillId="0" borderId="0" xfId="1" applyNumberFormat="1" applyAlignment="1">
      <alignment horizontal="right"/>
    </xf>
    <xf numFmtId="49" fontId="8" fillId="0" borderId="13" xfId="0" applyNumberFormat="1" applyFont="1" applyBorder="1"/>
    <xf numFmtId="0" fontId="8" fillId="0" borderId="13" xfId="0" applyFont="1" applyBorder="1"/>
    <xf numFmtId="165" fontId="20" fillId="11" borderId="9" xfId="1" applyNumberFormat="1" applyFill="1" applyBorder="1"/>
    <xf numFmtId="2" fontId="37" fillId="0" borderId="11" xfId="1" applyNumberFormat="1" applyFont="1" applyBorder="1"/>
    <xf numFmtId="0" fontId="20" fillId="8" borderId="11" xfId="1" applyFill="1" applyBorder="1"/>
    <xf numFmtId="2" fontId="20" fillId="8" borderId="11" xfId="1" applyNumberFormat="1" applyFill="1" applyBorder="1" applyAlignment="1">
      <alignment horizontal="right"/>
    </xf>
    <xf numFmtId="0" fontId="20" fillId="3" borderId="11" xfId="1" applyFill="1" applyBorder="1"/>
    <xf numFmtId="0" fontId="34" fillId="11" borderId="16" xfId="1" applyFont="1" applyFill="1" applyBorder="1"/>
    <xf numFmtId="0" fontId="20" fillId="11" borderId="16" xfId="1" applyFill="1" applyBorder="1"/>
    <xf numFmtId="2" fontId="34" fillId="11" borderId="16" xfId="1" applyNumberFormat="1" applyFont="1" applyFill="1" applyBorder="1" applyAlignment="1">
      <alignment horizontal="right"/>
    </xf>
    <xf numFmtId="0" fontId="5" fillId="0" borderId="11" xfId="0" applyFont="1" applyBorder="1"/>
    <xf numFmtId="0" fontId="20" fillId="0" borderId="16" xfId="0" applyFont="1" applyBorder="1"/>
    <xf numFmtId="0" fontId="32" fillId="8" borderId="2" xfId="1" applyFont="1" applyFill="1" applyBorder="1"/>
    <xf numFmtId="0" fontId="32" fillId="8" borderId="6" xfId="1" applyFont="1" applyFill="1" applyBorder="1"/>
    <xf numFmtId="0" fontId="32" fillId="8" borderId="8" xfId="1" applyFont="1" applyFill="1" applyBorder="1"/>
    <xf numFmtId="0" fontId="29" fillId="8" borderId="2" xfId="1" applyFont="1" applyFill="1" applyBorder="1"/>
    <xf numFmtId="0" fontId="39" fillId="8" borderId="11" xfId="1" applyFont="1" applyFill="1" applyBorder="1"/>
    <xf numFmtId="164" fontId="39" fillId="8" borderId="11" xfId="1" applyNumberFormat="1" applyFont="1" applyFill="1" applyBorder="1"/>
    <xf numFmtId="0" fontId="39" fillId="8" borderId="11" xfId="1" applyFont="1" applyFill="1" applyBorder="1" applyAlignment="1">
      <alignment horizontal="right"/>
    </xf>
    <xf numFmtId="2" fontId="39" fillId="8" borderId="11" xfId="1" applyNumberFormat="1" applyFont="1" applyFill="1" applyBorder="1" applyAlignment="1">
      <alignment horizontal="right"/>
    </xf>
    <xf numFmtId="0" fontId="20" fillId="13" borderId="11" xfId="1" applyFill="1" applyBorder="1"/>
    <xf numFmtId="0" fontId="27" fillId="0" borderId="2" xfId="1" applyFont="1" applyBorder="1"/>
    <xf numFmtId="0" fontId="27" fillId="0" borderId="6" xfId="1" applyFont="1" applyBorder="1"/>
    <xf numFmtId="0" fontId="27" fillId="0" borderId="8" xfId="1" applyFont="1" applyBorder="1"/>
    <xf numFmtId="0" fontId="20" fillId="0" borderId="17" xfId="1" applyFill="1" applyBorder="1"/>
    <xf numFmtId="2" fontId="20" fillId="0" borderId="17" xfId="1" applyNumberFormat="1" applyFill="1" applyBorder="1"/>
    <xf numFmtId="164" fontId="20" fillId="0" borderId="17" xfId="1" applyNumberFormat="1" applyFill="1" applyBorder="1" applyAlignment="1">
      <alignment horizontal="right"/>
    </xf>
    <xf numFmtId="0" fontId="20" fillId="0" borderId="17" xfId="1" applyBorder="1"/>
    <xf numFmtId="164" fontId="20" fillId="0" borderId="17" xfId="1" applyNumberFormat="1" applyFill="1" applyBorder="1"/>
    <xf numFmtId="0" fontId="20" fillId="0" borderId="17" xfId="1" applyFill="1" applyBorder="1" applyAlignment="1">
      <alignment horizontal="right"/>
    </xf>
    <xf numFmtId="2" fontId="20" fillId="0" borderId="17" xfId="1" applyNumberFormat="1" applyBorder="1"/>
    <xf numFmtId="2" fontId="20" fillId="0" borderId="17" xfId="1" applyNumberFormat="1" applyBorder="1" applyAlignment="1">
      <alignment horizontal="right"/>
    </xf>
    <xf numFmtId="2" fontId="20" fillId="8" borderId="17" xfId="1" applyNumberFormat="1" applyFill="1" applyBorder="1" applyAlignment="1">
      <alignment horizontal="right"/>
    </xf>
    <xf numFmtId="164" fontId="20" fillId="0" borderId="17" xfId="1" applyNumberFormat="1" applyBorder="1" applyAlignment="1">
      <alignment horizontal="right"/>
    </xf>
    <xf numFmtId="164" fontId="20" fillId="0" borderId="17" xfId="1" applyNumberFormat="1" applyBorder="1"/>
    <xf numFmtId="0" fontId="20" fillId="0" borderId="17" xfId="1" applyBorder="1" applyAlignment="1">
      <alignment horizontal="right"/>
    </xf>
    <xf numFmtId="0" fontId="20" fillId="9" borderId="17" xfId="1" applyFill="1" applyBorder="1"/>
    <xf numFmtId="0" fontId="20" fillId="9" borderId="17" xfId="1" applyFill="1" applyBorder="1" applyAlignment="1">
      <alignment horizontal="right"/>
    </xf>
    <xf numFmtId="2" fontId="20" fillId="5" borderId="17" xfId="1" applyNumberFormat="1" applyFill="1" applyBorder="1"/>
    <xf numFmtId="2" fontId="20" fillId="9" borderId="17" xfId="1" applyNumberFormat="1" applyFill="1" applyBorder="1"/>
    <xf numFmtId="2" fontId="20" fillId="9" borderId="17" xfId="1" applyNumberFormat="1" applyFill="1" applyBorder="1" applyAlignment="1">
      <alignment horizontal="right"/>
    </xf>
    <xf numFmtId="165" fontId="20" fillId="9" borderId="17" xfId="1" applyNumberFormat="1" applyFill="1" applyBorder="1"/>
    <xf numFmtId="0" fontId="20" fillId="0" borderId="18" xfId="1" applyFill="1" applyBorder="1"/>
    <xf numFmtId="4" fontId="20" fillId="0" borderId="17" xfId="1" applyNumberFormat="1" applyBorder="1"/>
    <xf numFmtId="4" fontId="20" fillId="0" borderId="18" xfId="1" applyNumberFormat="1" applyBorder="1"/>
    <xf numFmtId="0" fontId="20" fillId="13" borderId="17" xfId="1" applyFill="1" applyBorder="1"/>
    <xf numFmtId="2" fontId="20" fillId="13" borderId="17" xfId="1" applyNumberFormat="1" applyFill="1" applyBorder="1"/>
    <xf numFmtId="0" fontId="20" fillId="9" borderId="18" xfId="1" applyFill="1" applyBorder="1"/>
    <xf numFmtId="2" fontId="20" fillId="13" borderId="17" xfId="1" applyNumberFormat="1" applyFill="1" applyBorder="1" applyAlignment="1">
      <alignment horizontal="right"/>
    </xf>
    <xf numFmtId="165" fontId="20" fillId="13" borderId="17" xfId="1" applyNumberFormat="1" applyFill="1" applyBorder="1"/>
    <xf numFmtId="2" fontId="20" fillId="13" borderId="11" xfId="1" applyNumberFormat="1" applyFill="1" applyBorder="1" applyAlignment="1">
      <alignment horizontal="right"/>
    </xf>
    <xf numFmtId="165" fontId="20" fillId="13" borderId="11" xfId="1" applyNumberFormat="1" applyFill="1" applyBorder="1"/>
    <xf numFmtId="2" fontId="20" fillId="13" borderId="11" xfId="1" applyNumberFormat="1" applyFill="1" applyBorder="1"/>
    <xf numFmtId="164" fontId="20" fillId="13" borderId="11" xfId="1" applyNumberFormat="1" applyFill="1" applyBorder="1" applyAlignment="1">
      <alignment horizontal="right"/>
    </xf>
    <xf numFmtId="4" fontId="20" fillId="13" borderId="11" xfId="1" applyNumberFormat="1" applyFill="1" applyBorder="1"/>
    <xf numFmtId="4" fontId="20" fillId="13" borderId="2" xfId="1" applyNumberFormat="1" applyFill="1" applyBorder="1"/>
    <xf numFmtId="164" fontId="20" fillId="9" borderId="17" xfId="1" applyNumberFormat="1" applyFill="1" applyBorder="1" applyAlignment="1">
      <alignment horizontal="center"/>
    </xf>
    <xf numFmtId="165" fontId="20" fillId="8" borderId="17" xfId="1" applyNumberFormat="1" applyFill="1" applyBorder="1"/>
    <xf numFmtId="0" fontId="20" fillId="0" borderId="2" xfId="1" applyFill="1" applyBorder="1"/>
    <xf numFmtId="0" fontId="20" fillId="5" borderId="19" xfId="1" applyFill="1" applyBorder="1"/>
    <xf numFmtId="0" fontId="20" fillId="5" borderId="9" xfId="1" applyFill="1" applyBorder="1"/>
    <xf numFmtId="164" fontId="20" fillId="5" borderId="9" xfId="1" applyNumberFormat="1" applyFill="1" applyBorder="1"/>
    <xf numFmtId="0" fontId="20" fillId="5" borderId="9" xfId="1" applyFill="1" applyBorder="1" applyAlignment="1">
      <alignment horizontal="right"/>
    </xf>
    <xf numFmtId="2" fontId="20" fillId="5" borderId="9" xfId="1" applyNumberFormat="1" applyFill="1" applyBorder="1" applyAlignment="1">
      <alignment horizontal="right"/>
    </xf>
    <xf numFmtId="165" fontId="20" fillId="5" borderId="9" xfId="1" applyNumberFormat="1" applyFill="1" applyBorder="1"/>
    <xf numFmtId="2" fontId="20" fillId="5" borderId="9" xfId="1" applyNumberFormat="1" applyFill="1" applyBorder="1"/>
    <xf numFmtId="164" fontId="20" fillId="5" borderId="9" xfId="1" applyNumberFormat="1" applyFill="1" applyBorder="1" applyAlignment="1">
      <alignment horizontal="right"/>
    </xf>
    <xf numFmtId="0" fontId="20" fillId="0" borderId="20" xfId="1" applyBorder="1"/>
    <xf numFmtId="167" fontId="26" fillId="0" borderId="7" xfId="1" applyNumberFormat="1" applyFont="1" applyBorder="1"/>
    <xf numFmtId="167" fontId="28" fillId="4" borderId="11" xfId="1" applyNumberFormat="1" applyFont="1" applyFill="1" applyBorder="1" applyAlignment="1">
      <alignment horizontal="center" vertical="center"/>
    </xf>
    <xf numFmtId="167" fontId="20" fillId="5" borderId="11" xfId="1" applyNumberFormat="1" applyFill="1" applyBorder="1" applyAlignment="1">
      <alignment horizontal="right"/>
    </xf>
    <xf numFmtId="167" fontId="20" fillId="5" borderId="11" xfId="1" applyNumberFormat="1" applyFill="1" applyBorder="1"/>
    <xf numFmtId="167" fontId="20" fillId="0" borderId="9" xfId="1" applyNumberFormat="1" applyBorder="1" applyAlignment="1">
      <alignment horizontal="right"/>
    </xf>
    <xf numFmtId="167" fontId="20" fillId="0" borderId="0" xfId="1" applyNumberFormat="1"/>
    <xf numFmtId="49" fontId="2" fillId="0" borderId="21" xfId="0" applyNumberFormat="1" applyFont="1" applyBorder="1" applyAlignment="1">
      <alignment horizontal="right"/>
    </xf>
    <xf numFmtId="4" fontId="20" fillId="0" borderId="22" xfId="1" applyNumberFormat="1" applyBorder="1"/>
    <xf numFmtId="0" fontId="20" fillId="0" borderId="22" xfId="1" applyBorder="1"/>
    <xf numFmtId="0" fontId="20" fillId="0" borderId="23" xfId="1" applyBorder="1"/>
    <xf numFmtId="0" fontId="20" fillId="0" borderId="23" xfId="1" applyBorder="1" applyAlignment="1">
      <alignment horizontal="right"/>
    </xf>
    <xf numFmtId="2" fontId="20" fillId="0" borderId="23" xfId="1" applyNumberFormat="1" applyBorder="1" applyAlignment="1">
      <alignment horizontal="right"/>
    </xf>
    <xf numFmtId="165" fontId="20" fillId="0" borderId="23" xfId="1" applyNumberFormat="1" applyBorder="1"/>
    <xf numFmtId="2" fontId="20" fillId="0" borderId="23" xfId="1" applyNumberFormat="1" applyBorder="1"/>
    <xf numFmtId="4" fontId="20" fillId="0" borderId="23" xfId="1" applyNumberFormat="1" applyBorder="1"/>
    <xf numFmtId="164" fontId="20" fillId="0" borderId="23" xfId="1" applyNumberFormat="1" applyBorder="1"/>
    <xf numFmtId="164" fontId="20" fillId="5" borderId="23" xfId="1" applyNumberFormat="1" applyFill="1" applyBorder="1"/>
    <xf numFmtId="0" fontId="20" fillId="5" borderId="23" xfId="1" applyFill="1" applyBorder="1"/>
    <xf numFmtId="0" fontId="20" fillId="5" borderId="23" xfId="1" applyFill="1" applyBorder="1" applyAlignment="1">
      <alignment horizontal="right"/>
    </xf>
    <xf numFmtId="2" fontId="20" fillId="5" borderId="23" xfId="1" applyNumberFormat="1" applyFill="1" applyBorder="1"/>
    <xf numFmtId="2" fontId="20" fillId="5" borderId="23" xfId="1" applyNumberFormat="1" applyFill="1" applyBorder="1" applyAlignment="1">
      <alignment horizontal="right"/>
    </xf>
    <xf numFmtId="165" fontId="20" fillId="5" borderId="23" xfId="1" applyNumberFormat="1" applyFill="1" applyBorder="1"/>
    <xf numFmtId="164" fontId="20" fillId="0" borderId="23" xfId="1" applyNumberFormat="1" applyBorder="1" applyAlignment="1">
      <alignment horizontal="right"/>
    </xf>
    <xf numFmtId="0" fontId="20" fillId="6" borderId="23" xfId="1" applyFill="1" applyBorder="1"/>
    <xf numFmtId="2" fontId="20" fillId="6" borderId="23" xfId="1" applyNumberFormat="1" applyFill="1" applyBorder="1"/>
    <xf numFmtId="2" fontId="20" fillId="6" borderId="23" xfId="1" applyNumberFormat="1" applyFill="1" applyBorder="1" applyAlignment="1">
      <alignment horizontal="right"/>
    </xf>
    <xf numFmtId="165" fontId="20" fillId="6" borderId="23" xfId="1" applyNumberFormat="1" applyFill="1" applyBorder="1"/>
    <xf numFmtId="164" fontId="20" fillId="6" borderId="23" xfId="1" applyNumberFormat="1" applyFill="1" applyBorder="1" applyAlignment="1">
      <alignment horizontal="right"/>
    </xf>
    <xf numFmtId="0" fontId="20" fillId="12" borderId="23" xfId="1" applyFill="1" applyBorder="1"/>
    <xf numFmtId="164" fontId="20" fillId="5" borderId="23" xfId="1" applyNumberFormat="1" applyFill="1" applyBorder="1" applyAlignment="1">
      <alignment horizontal="right"/>
    </xf>
    <xf numFmtId="0" fontId="20" fillId="5" borderId="22" xfId="1" applyFill="1" applyBorder="1"/>
    <xf numFmtId="0" fontId="20" fillId="8" borderId="23" xfId="1" applyFill="1" applyBorder="1"/>
    <xf numFmtId="2" fontId="20" fillId="8" borderId="23" xfId="1" applyNumberFormat="1" applyFill="1" applyBorder="1"/>
    <xf numFmtId="0" fontId="34" fillId="15" borderId="11" xfId="1" applyFont="1" applyFill="1" applyBorder="1"/>
    <xf numFmtId="2" fontId="34" fillId="15" borderId="11" xfId="1" applyNumberFormat="1" applyFont="1" applyFill="1" applyBorder="1"/>
    <xf numFmtId="2" fontId="34" fillId="15" borderId="11" xfId="1" applyNumberFormat="1" applyFont="1" applyFill="1" applyBorder="1" applyAlignment="1">
      <alignment horizontal="right"/>
    </xf>
    <xf numFmtId="165" fontId="34" fillId="15" borderId="11" xfId="1" applyNumberFormat="1" applyFont="1" applyFill="1" applyBorder="1"/>
    <xf numFmtId="44" fontId="20" fillId="5" borderId="11" xfId="748" applyFont="1" applyFill="1" applyBorder="1"/>
    <xf numFmtId="49" fontId="0" fillId="0" borderId="24" xfId="0" applyNumberFormat="1" applyBorder="1" applyAlignment="1">
      <alignment horizontal="right"/>
    </xf>
    <xf numFmtId="49" fontId="1" fillId="0" borderId="24" xfId="0" applyNumberFormat="1" applyFont="1" applyBorder="1" applyAlignment="1">
      <alignment horizontal="right"/>
    </xf>
    <xf numFmtId="49" fontId="28" fillId="4" borderId="11" xfId="1" applyNumberFormat="1" applyFont="1" applyFill="1" applyBorder="1" applyAlignment="1">
      <alignment horizontal="left" vertical="center" wrapText="1"/>
    </xf>
    <xf numFmtId="2" fontId="20" fillId="5" borderId="11" xfId="1" applyNumberFormat="1" applyFill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20" fillId="0" borderId="9" xfId="1" applyBorder="1" applyAlignment="1">
      <alignment horizontal="left"/>
    </xf>
    <xf numFmtId="164" fontId="20" fillId="5" borderId="11" xfId="1" applyNumberFormat="1" applyFont="1" applyFill="1" applyBorder="1" applyAlignment="1">
      <alignment horizontal="right"/>
    </xf>
    <xf numFmtId="0" fontId="0" fillId="0" borderId="24" xfId="0" applyBorder="1" applyAlignment="1">
      <alignment horizontal="left"/>
    </xf>
    <xf numFmtId="0" fontId="20" fillId="5" borderId="11" xfId="1" applyFont="1" applyFill="1" applyBorder="1" applyAlignment="1">
      <alignment horizontal="left"/>
    </xf>
    <xf numFmtId="0" fontId="20" fillId="0" borderId="7" xfId="1" applyFont="1" applyBorder="1"/>
    <xf numFmtId="164" fontId="20" fillId="0" borderId="11" xfId="1" applyNumberFormat="1" applyFont="1" applyBorder="1" applyAlignment="1">
      <alignment horizontal="right"/>
    </xf>
    <xf numFmtId="2" fontId="20" fillId="5" borderId="11" xfId="1" applyNumberFormat="1" applyFont="1" applyFill="1" applyBorder="1"/>
    <xf numFmtId="164" fontId="20" fillId="0" borderId="9" xfId="1" applyNumberFormat="1" applyFont="1" applyBorder="1" applyAlignment="1">
      <alignment horizontal="right"/>
    </xf>
    <xf numFmtId="0" fontId="20" fillId="0" borderId="0" xfId="1" applyFont="1"/>
    <xf numFmtId="0" fontId="20" fillId="7" borderId="9" xfId="1" applyFill="1" applyBorder="1" applyAlignment="1">
      <alignment horizontal="left"/>
    </xf>
    <xf numFmtId="164" fontId="20" fillId="12" borderId="23" xfId="1" applyNumberFormat="1" applyFill="1" applyBorder="1"/>
    <xf numFmtId="0" fontId="41" fillId="0" borderId="2" xfId="1" applyFont="1" applyBorder="1"/>
    <xf numFmtId="14" fontId="20" fillId="0" borderId="23" xfId="1" applyNumberFormat="1" applyBorder="1"/>
    <xf numFmtId="0" fontId="31" fillId="0" borderId="23" xfId="1" applyFont="1" applyBorder="1"/>
    <xf numFmtId="0" fontId="39" fillId="6" borderId="23" xfId="1" applyFont="1" applyFill="1" applyBorder="1"/>
    <xf numFmtId="2" fontId="39" fillId="6" borderId="23" xfId="1" applyNumberFormat="1" applyFont="1" applyFill="1" applyBorder="1"/>
    <xf numFmtId="2" fontId="39" fillId="6" borderId="23" xfId="1" applyNumberFormat="1" applyFont="1" applyFill="1" applyBorder="1" applyAlignment="1">
      <alignment horizontal="right"/>
    </xf>
    <xf numFmtId="4" fontId="20" fillId="6" borderId="23" xfId="1" applyNumberFormat="1" applyFill="1" applyBorder="1"/>
    <xf numFmtId="4" fontId="20" fillId="6" borderId="22" xfId="1" applyNumberFormat="1" applyFill="1" applyBorder="1"/>
    <xf numFmtId="49" fontId="27" fillId="0" borderId="4" xfId="1" applyNumberFormat="1" applyFont="1" applyBorder="1" applyAlignment="1">
      <alignment horizontal="center" vertical="center" wrapText="1"/>
    </xf>
    <xf numFmtId="14" fontId="20" fillId="0" borderId="23" xfId="1" applyNumberFormat="1" applyFill="1" applyBorder="1" applyAlignment="1">
      <alignment horizontal="left"/>
    </xf>
    <xf numFmtId="0" fontId="34" fillId="6" borderId="2" xfId="1" applyFont="1" applyFill="1" applyBorder="1"/>
    <xf numFmtId="0" fontId="20" fillId="12" borderId="23" xfId="1" applyFill="1" applyBorder="1" applyAlignment="1">
      <alignment horizontal="right"/>
    </xf>
    <xf numFmtId="0" fontId="34" fillId="8" borderId="2" xfId="1" applyFont="1" applyFill="1" applyBorder="1"/>
    <xf numFmtId="0" fontId="34" fillId="11" borderId="11" xfId="1" applyFont="1" applyFill="1" applyBorder="1"/>
    <xf numFmtId="164" fontId="34" fillId="11" borderId="11" xfId="1" applyNumberFormat="1" applyFont="1" applyFill="1" applyBorder="1"/>
    <xf numFmtId="0" fontId="34" fillId="11" borderId="11" xfId="1" applyFont="1" applyFill="1" applyBorder="1" applyAlignment="1">
      <alignment horizontal="right"/>
    </xf>
    <xf numFmtId="2" fontId="34" fillId="11" borderId="11" xfId="1" applyNumberFormat="1" applyFont="1" applyFill="1" applyBorder="1"/>
    <xf numFmtId="2" fontId="34" fillId="11" borderId="11" xfId="1" applyNumberFormat="1" applyFont="1" applyFill="1" applyBorder="1" applyAlignment="1">
      <alignment horizontal="right"/>
    </xf>
    <xf numFmtId="165" fontId="34" fillId="11" borderId="11" xfId="1" applyNumberFormat="1" applyFont="1" applyFill="1" applyBorder="1"/>
    <xf numFmtId="164" fontId="34" fillId="11" borderId="11" xfId="1" applyNumberFormat="1" applyFont="1" applyFill="1" applyBorder="1" applyAlignment="1">
      <alignment horizontal="right"/>
    </xf>
    <xf numFmtId="4" fontId="34" fillId="11" borderId="11" xfId="1" applyNumberFormat="1" applyFont="1" applyFill="1" applyBorder="1"/>
    <xf numFmtId="4" fontId="34" fillId="11" borderId="2" xfId="1" applyNumberFormat="1" applyFont="1" applyFill="1" applyBorder="1"/>
    <xf numFmtId="0" fontId="34" fillId="11" borderId="0" xfId="1" applyFont="1" applyFill="1"/>
    <xf numFmtId="0" fontId="34" fillId="0" borderId="25" xfId="1" applyFont="1" applyFill="1" applyBorder="1"/>
    <xf numFmtId="2" fontId="20" fillId="0" borderId="25" xfId="1" applyNumberFormat="1" applyFont="1" applyFill="1" applyBorder="1" applyAlignment="1">
      <alignment horizontal="right"/>
    </xf>
    <xf numFmtId="0" fontId="33" fillId="0" borderId="2" xfId="1" applyFont="1" applyFill="1" applyBorder="1"/>
    <xf numFmtId="0" fontId="33" fillId="0" borderId="6" xfId="1" applyFont="1" applyFill="1" applyBorder="1"/>
    <xf numFmtId="0" fontId="33" fillId="0" borderId="8" xfId="1" applyFont="1" applyFill="1" applyBorder="1"/>
    <xf numFmtId="0" fontId="20" fillId="0" borderId="2" xfId="1" applyFill="1" applyBorder="1" applyAlignment="1">
      <alignment horizontal="right"/>
    </xf>
    <xf numFmtId="2" fontId="20" fillId="16" borderId="11" xfId="1" applyNumberFormat="1" applyFill="1" applyBorder="1"/>
    <xf numFmtId="2" fontId="20" fillId="16" borderId="11" xfId="1" applyNumberFormat="1" applyFill="1" applyBorder="1" applyAlignment="1">
      <alignment horizontal="right"/>
    </xf>
    <xf numFmtId="0" fontId="34" fillId="0" borderId="26" xfId="1" applyFont="1" applyFill="1" applyBorder="1"/>
    <xf numFmtId="2" fontId="20" fillId="0" borderId="26" xfId="1" applyNumberFormat="1" applyFont="1" applyFill="1" applyBorder="1" applyAlignment="1">
      <alignment horizontal="right"/>
    </xf>
    <xf numFmtId="0" fontId="33" fillId="6" borderId="2" xfId="1" applyFont="1" applyFill="1" applyBorder="1"/>
    <xf numFmtId="0" fontId="26" fillId="6" borderId="2" xfId="1" applyFont="1" applyFill="1" applyBorder="1"/>
    <xf numFmtId="0" fontId="26" fillId="0" borderId="0" xfId="1" applyFont="1"/>
    <xf numFmtId="49" fontId="27" fillId="0" borderId="3" xfId="1" applyNumberFormat="1" applyFont="1" applyBorder="1" applyAlignment="1">
      <alignment horizontal="center" vertical="center"/>
    </xf>
    <xf numFmtId="49" fontId="27" fillId="0" borderId="5" xfId="1" applyNumberFormat="1" applyFont="1" applyBorder="1" applyAlignment="1">
      <alignment horizontal="center" vertical="center"/>
    </xf>
    <xf numFmtId="49" fontId="27" fillId="0" borderId="3" xfId="1" applyNumberFormat="1" applyFont="1" applyBorder="1" applyAlignment="1">
      <alignment horizontal="center" vertical="center" wrapText="1"/>
    </xf>
    <xf numFmtId="49" fontId="27" fillId="0" borderId="4" xfId="1" applyNumberFormat="1" applyFont="1" applyBorder="1" applyAlignment="1">
      <alignment horizontal="center" vertical="center" wrapText="1"/>
    </xf>
    <xf numFmtId="49" fontId="27" fillId="0" borderId="5" xfId="1" applyNumberFormat="1" applyFont="1" applyBorder="1" applyAlignment="1">
      <alignment horizontal="center" vertical="center" wrapText="1"/>
    </xf>
    <xf numFmtId="49" fontId="27" fillId="0" borderId="4" xfId="1" applyNumberFormat="1" applyFont="1" applyBorder="1" applyAlignment="1">
      <alignment horizontal="center" vertical="center"/>
    </xf>
    <xf numFmtId="2" fontId="20" fillId="0" borderId="26" xfId="1" applyNumberFormat="1" applyBorder="1"/>
  </cellXfs>
  <cellStyles count="749">
    <cellStyle name="Excel_BuiltIn_Nota" xfId="2"/>
    <cellStyle name="Hipervínculo" xfId="107" builtinId="8" hidden="1"/>
    <cellStyle name="Hipervínculo" xfId="109" builtinId="8" hidden="1"/>
    <cellStyle name="Hipervínculo" xfId="111" builtinId="8" hidden="1"/>
    <cellStyle name="Hipervínculo" xfId="113" builtinId="8" hidden="1"/>
    <cellStyle name="Hipervínculo" xfId="115" builtinId="8" hidden="1"/>
    <cellStyle name="Hipervínculo" xfId="117" builtinId="8" hidden="1"/>
    <cellStyle name="Hipervínculo" xfId="119" builtinId="8" hidden="1"/>
    <cellStyle name="Hipervínculo" xfId="121" builtinId="8" hidden="1"/>
    <cellStyle name="Hipervínculo" xfId="123" builtinId="8" hidden="1"/>
    <cellStyle name="Hipervínculo" xfId="125" builtinId="8" hidden="1"/>
    <cellStyle name="Hipervínculo" xfId="127" builtinId="8" hidden="1"/>
    <cellStyle name="Hipervínculo" xfId="129" builtinId="8" hidden="1"/>
    <cellStyle name="Hipervínculo" xfId="131" builtinId="8" hidden="1"/>
    <cellStyle name="Hipervínculo" xfId="133" builtinId="8" hidden="1"/>
    <cellStyle name="Hipervínculo" xfId="135" builtinId="8" hidden="1"/>
    <cellStyle name="Hipervínculo" xfId="137" builtinId="8" hidden="1"/>
    <cellStyle name="Hipervínculo" xfId="139" builtinId="8" hidden="1"/>
    <cellStyle name="Hipervínculo" xfId="141" builtinId="8" hidden="1"/>
    <cellStyle name="Hipervínculo" xfId="143" builtinId="8" hidden="1"/>
    <cellStyle name="Hipervínculo" xfId="145" builtinId="8" hidden="1"/>
    <cellStyle name="Hipervínculo" xfId="147" builtinId="8" hidden="1"/>
    <cellStyle name="Hipervínculo" xfId="149" builtinId="8" hidden="1"/>
    <cellStyle name="Hipervínculo" xfId="151" builtinId="8" hidden="1"/>
    <cellStyle name="Hipervínculo" xfId="153" builtinId="8" hidden="1"/>
    <cellStyle name="Hipervínculo" xfId="155" builtinId="8" hidden="1"/>
    <cellStyle name="Hipervínculo" xfId="157" builtinId="8" hidden="1"/>
    <cellStyle name="Hipervínculo" xfId="159" builtinId="8" hidden="1"/>
    <cellStyle name="Hipervínculo" xfId="161" builtinId="8" hidden="1"/>
    <cellStyle name="Hipervínculo" xfId="163" builtinId="8" hidden="1"/>
    <cellStyle name="Hipervínculo" xfId="165" builtinId="8" hidden="1"/>
    <cellStyle name="Hipervínculo" xfId="167" builtinId="8" hidden="1"/>
    <cellStyle name="Hipervínculo" xfId="169" builtinId="8" hidden="1"/>
    <cellStyle name="Hipervínculo" xfId="171" builtinId="8" hidden="1"/>
    <cellStyle name="Hipervínculo" xfId="173" builtinId="8" hidden="1"/>
    <cellStyle name="Hipervínculo" xfId="175" builtinId="8" hidden="1"/>
    <cellStyle name="Hipervínculo" xfId="177" builtinId="8" hidden="1"/>
    <cellStyle name="Hipervínculo" xfId="179" builtinId="8" hidden="1"/>
    <cellStyle name="Hipervínculo" xfId="181" builtinId="8" hidden="1"/>
    <cellStyle name="Hipervínculo" xfId="183" builtinId="8" hidden="1"/>
    <cellStyle name="Hipervínculo" xfId="185" builtinId="8" hidden="1"/>
    <cellStyle name="Hipervínculo" xfId="187" builtinId="8" hidden="1"/>
    <cellStyle name="Hipervínculo" xfId="189" builtinId="8" hidden="1"/>
    <cellStyle name="Hipervínculo" xfId="191" builtinId="8" hidden="1"/>
    <cellStyle name="Hipervínculo" xfId="193" builtinId="8" hidden="1"/>
    <cellStyle name="Hipervínculo" xfId="195" builtinId="8" hidden="1"/>
    <cellStyle name="Hipervínculo" xfId="197" builtinId="8" hidden="1"/>
    <cellStyle name="Hipervínculo" xfId="199" builtinId="8" hidden="1"/>
    <cellStyle name="Hipervínculo" xfId="201" builtinId="8" hidden="1"/>
    <cellStyle name="Hipervínculo" xfId="203" builtinId="8" hidden="1"/>
    <cellStyle name="Hipervínculo" xfId="205" builtinId="8" hidden="1"/>
    <cellStyle name="Hipervínculo" xfId="207" builtinId="8" hidden="1"/>
    <cellStyle name="Hipervínculo" xfId="209" builtinId="8" hidden="1"/>
    <cellStyle name="Hipervínculo" xfId="211" builtinId="8" hidden="1"/>
    <cellStyle name="Hipervínculo" xfId="213" builtinId="8" hidden="1"/>
    <cellStyle name="Hipervínculo" xfId="215" builtinId="8" hidden="1"/>
    <cellStyle name="Hipervínculo" xfId="217" builtinId="8" hidden="1"/>
    <cellStyle name="Hipervínculo" xfId="219" builtinId="8" hidden="1"/>
    <cellStyle name="Hipervínculo" xfId="221" builtinId="8" hidden="1"/>
    <cellStyle name="Hipervínculo" xfId="223" builtinId="8" hidden="1"/>
    <cellStyle name="Hipervínculo" xfId="225" builtinId="8" hidden="1"/>
    <cellStyle name="Hipervínculo" xfId="227" builtinId="8" hidden="1"/>
    <cellStyle name="Hipervínculo" xfId="229" builtinId="8" hidden="1"/>
    <cellStyle name="Hipervínculo" xfId="231" builtinId="8" hidden="1"/>
    <cellStyle name="Hipervínculo" xfId="233" builtinId="8" hidden="1"/>
    <cellStyle name="Hipervínculo" xfId="235" builtinId="8" hidden="1"/>
    <cellStyle name="Hipervínculo" xfId="237" builtinId="8" hidden="1"/>
    <cellStyle name="Hipervínculo" xfId="239" builtinId="8" hidden="1"/>
    <cellStyle name="Hipervínculo" xfId="241" builtinId="8" hidden="1"/>
    <cellStyle name="Hipervínculo" xfId="243" builtinId="8" hidden="1"/>
    <cellStyle name="Hipervínculo" xfId="245" builtinId="8" hidden="1"/>
    <cellStyle name="Hipervínculo" xfId="247" builtinId="8" hidden="1"/>
    <cellStyle name="Hipervínculo" xfId="249" builtinId="8" hidden="1"/>
    <cellStyle name="Hipervínculo" xfId="251" builtinId="8" hidden="1"/>
    <cellStyle name="Hipervínculo" xfId="253" builtinId="8" hidden="1"/>
    <cellStyle name="Hipervínculo" xfId="255" builtinId="8" hidden="1"/>
    <cellStyle name="Hipervínculo" xfId="257" builtinId="8" hidden="1"/>
    <cellStyle name="Hipervínculo" xfId="259" builtinId="8" hidden="1"/>
    <cellStyle name="Hipervínculo" xfId="261" builtinId="8" hidden="1"/>
    <cellStyle name="Hipervínculo" xfId="263" builtinId="8" hidden="1"/>
    <cellStyle name="Hipervínculo" xfId="265" builtinId="8" hidden="1"/>
    <cellStyle name="Hipervínculo" xfId="267" builtinId="8" hidden="1"/>
    <cellStyle name="Hipervínculo" xfId="269" builtinId="8" hidden="1"/>
    <cellStyle name="Hipervínculo" xfId="271" builtinId="8" hidden="1"/>
    <cellStyle name="Hipervínculo" xfId="273" builtinId="8" hidden="1"/>
    <cellStyle name="Hipervínculo" xfId="275" builtinId="8" hidden="1"/>
    <cellStyle name="Hipervínculo" xfId="277" builtinId="8" hidden="1"/>
    <cellStyle name="Hipervínculo" xfId="279" builtinId="8" hidden="1"/>
    <cellStyle name="Hipervínculo" xfId="281" builtinId="8" hidden="1"/>
    <cellStyle name="Hipervínculo" xfId="283" builtinId="8" hidden="1"/>
    <cellStyle name="Hipervínculo" xfId="285" builtinId="8" hidden="1"/>
    <cellStyle name="Hipervínculo" xfId="287" builtinId="8" hidden="1"/>
    <cellStyle name="Hipervínculo" xfId="289" builtinId="8" hidden="1"/>
    <cellStyle name="Hipervínculo" xfId="291" builtinId="8" hidden="1"/>
    <cellStyle name="Hipervínculo" xfId="293" builtinId="8" hidden="1"/>
    <cellStyle name="Hipervínculo" xfId="295" builtinId="8" hidden="1"/>
    <cellStyle name="Hipervínculo" xfId="297" builtinId="8" hidden="1"/>
    <cellStyle name="Hipervínculo" xfId="299" builtinId="8" hidden="1"/>
    <cellStyle name="Hipervínculo" xfId="301" builtinId="8" hidden="1"/>
    <cellStyle name="Hipervínculo" xfId="303" builtinId="8" hidden="1"/>
    <cellStyle name="Hipervínculo" xfId="305" builtinId="8" hidden="1"/>
    <cellStyle name="Hipervínculo" xfId="307" builtinId="8" hidden="1"/>
    <cellStyle name="Hipervínculo" xfId="309" builtinId="8" hidden="1"/>
    <cellStyle name="Hipervínculo" xfId="311" builtinId="8" hidden="1"/>
    <cellStyle name="Hipervínculo" xfId="313" builtinId="8" hidden="1"/>
    <cellStyle name="Hipervínculo" xfId="315" builtinId="8" hidden="1"/>
    <cellStyle name="Hipervínculo" xfId="317" builtinId="8" hidden="1"/>
    <cellStyle name="Hipervínculo" xfId="319" builtinId="8" hidden="1"/>
    <cellStyle name="Hipervínculo" xfId="321" builtinId="8" hidden="1"/>
    <cellStyle name="Hipervínculo" xfId="323" builtinId="8" hidden="1"/>
    <cellStyle name="Hipervínculo" xfId="325" builtinId="8" hidden="1"/>
    <cellStyle name="Hipervínculo" xfId="327" builtinId="8" hidden="1"/>
    <cellStyle name="Hipervínculo" xfId="329" builtinId="8" hidden="1"/>
    <cellStyle name="Hipervínculo" xfId="331" builtinId="8" hidden="1"/>
    <cellStyle name="Hipervínculo" xfId="333" builtinId="8" hidden="1"/>
    <cellStyle name="Hipervínculo" xfId="335" builtinId="8" hidden="1"/>
    <cellStyle name="Hipervínculo" xfId="337" builtinId="8" hidden="1"/>
    <cellStyle name="Hipervínculo" xfId="339" builtinId="8" hidden="1"/>
    <cellStyle name="Hipervínculo" xfId="341" builtinId="8" hidden="1"/>
    <cellStyle name="Hipervínculo" xfId="343" builtinId="8" hidden="1"/>
    <cellStyle name="Hipervínculo" xfId="345" builtinId="8" hidden="1"/>
    <cellStyle name="Hipervínculo" xfId="347" builtinId="8" hidden="1"/>
    <cellStyle name="Hipervínculo" xfId="349" builtinId="8" hidden="1"/>
    <cellStyle name="Hipervínculo" xfId="351" builtinId="8" hidden="1"/>
    <cellStyle name="Hipervínculo" xfId="353" builtinId="8" hidden="1"/>
    <cellStyle name="Hipervínculo" xfId="355" builtinId="8" hidden="1"/>
    <cellStyle name="Hipervínculo" xfId="357" builtinId="8" hidden="1"/>
    <cellStyle name="Hipervínculo" xfId="359" builtinId="8" hidden="1"/>
    <cellStyle name="Hipervínculo" xfId="361" builtinId="8" hidden="1"/>
    <cellStyle name="Hipervínculo" xfId="363" builtinId="8" hidden="1"/>
    <cellStyle name="Hipervínculo" xfId="365" builtinId="8" hidden="1"/>
    <cellStyle name="Hipervínculo" xfId="367" builtinId="8" hidden="1"/>
    <cellStyle name="Hipervínculo" xfId="369" builtinId="8" hidden="1"/>
    <cellStyle name="Hipervínculo" xfId="371" builtinId="8" hidden="1"/>
    <cellStyle name="Hipervínculo" xfId="373" builtinId="8" hidden="1"/>
    <cellStyle name="Hipervínculo" xfId="375" builtinId="8" hidden="1"/>
    <cellStyle name="Hipervínculo" xfId="377" builtinId="8" hidden="1"/>
    <cellStyle name="Hipervínculo" xfId="379" builtinId="8" hidden="1"/>
    <cellStyle name="Hipervínculo" xfId="381" builtinId="8" hidden="1"/>
    <cellStyle name="Hipervínculo" xfId="383" builtinId="8" hidden="1"/>
    <cellStyle name="Hipervínculo" xfId="385" builtinId="8" hidden="1"/>
    <cellStyle name="Hipervínculo" xfId="387" builtinId="8" hidden="1"/>
    <cellStyle name="Hipervínculo" xfId="389" builtinId="8" hidden="1"/>
    <cellStyle name="Hipervínculo" xfId="391" builtinId="8" hidden="1"/>
    <cellStyle name="Hipervínculo" xfId="393" builtinId="8" hidden="1"/>
    <cellStyle name="Hipervínculo" xfId="395" builtinId="8" hidden="1"/>
    <cellStyle name="Hipervínculo" xfId="397" builtinId="8" hidden="1"/>
    <cellStyle name="Hipervínculo" xfId="399" builtinId="8" hidden="1"/>
    <cellStyle name="Hipervínculo" xfId="401" builtinId="8" hidden="1"/>
    <cellStyle name="Hipervínculo" xfId="403" builtinId="8" hidden="1"/>
    <cellStyle name="Hipervínculo" xfId="405" builtinId="8" hidden="1"/>
    <cellStyle name="Hipervínculo" xfId="407" builtinId="8" hidden="1"/>
    <cellStyle name="Hipervínculo" xfId="409" builtinId="8" hidden="1"/>
    <cellStyle name="Hipervínculo" xfId="411" builtinId="8" hidden="1"/>
    <cellStyle name="Hipervínculo" xfId="413" builtinId="8" hidden="1"/>
    <cellStyle name="Hipervínculo" xfId="415" builtinId="8" hidden="1"/>
    <cellStyle name="Hipervínculo" xfId="417" builtinId="8" hidden="1"/>
    <cellStyle name="Hipervínculo" xfId="419" builtinId="8" hidden="1"/>
    <cellStyle name="Hipervínculo" xfId="421" builtinId="8" hidden="1"/>
    <cellStyle name="Hipervínculo" xfId="423" builtinId="8" hidden="1"/>
    <cellStyle name="Hipervínculo" xfId="425" builtinId="8" hidden="1"/>
    <cellStyle name="Hipervínculo" xfId="427" builtinId="8" hidden="1"/>
    <cellStyle name="Hipervínculo" xfId="429" builtinId="8" hidden="1"/>
    <cellStyle name="Hipervínculo" xfId="431" builtinId="8" hidden="1"/>
    <cellStyle name="Hipervínculo" xfId="433" builtinId="8" hidden="1"/>
    <cellStyle name="Hipervínculo" xfId="435" builtinId="8" hidden="1"/>
    <cellStyle name="Hipervínculo" xfId="437" builtinId="8" hidden="1"/>
    <cellStyle name="Hipervínculo" xfId="439" builtinId="8" hidden="1"/>
    <cellStyle name="Hipervínculo" xfId="441" builtinId="8" hidden="1"/>
    <cellStyle name="Hipervínculo" xfId="443" builtinId="8" hidden="1"/>
    <cellStyle name="Hipervínculo" xfId="445" builtinId="8" hidden="1"/>
    <cellStyle name="Hipervínculo" xfId="447" builtinId="8" hidden="1"/>
    <cellStyle name="Hipervínculo" xfId="449" builtinId="8" hidden="1"/>
    <cellStyle name="Hipervínculo" xfId="451" builtinId="8" hidden="1"/>
    <cellStyle name="Hipervínculo" xfId="453" builtinId="8" hidden="1"/>
    <cellStyle name="Hipervínculo" xfId="455" builtinId="8" hidden="1"/>
    <cellStyle name="Hipervínculo" xfId="457" builtinId="8" hidden="1"/>
    <cellStyle name="Hipervínculo" xfId="459" builtinId="8" hidden="1"/>
    <cellStyle name="Hipervínculo" xfId="461" builtinId="8" hidden="1"/>
    <cellStyle name="Hipervínculo" xfId="463" builtinId="8" hidden="1"/>
    <cellStyle name="Hipervínculo" xfId="465" builtinId="8" hidden="1"/>
    <cellStyle name="Hipervínculo" xfId="467" builtinId="8" hidden="1"/>
    <cellStyle name="Hipervínculo" xfId="469" builtinId="8" hidden="1"/>
    <cellStyle name="Hipervínculo" xfId="471" builtinId="8" hidden="1"/>
    <cellStyle name="Hipervínculo" xfId="473" builtinId="8" hidden="1"/>
    <cellStyle name="Hipervínculo" xfId="475" builtinId="8" hidden="1"/>
    <cellStyle name="Hipervínculo" xfId="477" builtinId="8" hidden="1"/>
    <cellStyle name="Hipervínculo" xfId="479" builtinId="8" hidden="1"/>
    <cellStyle name="Hipervínculo" xfId="481" builtinId="8" hidden="1"/>
    <cellStyle name="Hipervínculo" xfId="483" builtinId="8" hidden="1"/>
    <cellStyle name="Hipervínculo" xfId="485" builtinId="8" hidden="1"/>
    <cellStyle name="Hipervínculo" xfId="487" builtinId="8" hidden="1"/>
    <cellStyle name="Hipervínculo" xfId="489" builtinId="8" hidden="1"/>
    <cellStyle name="Hipervínculo" xfId="491" builtinId="8" hidden="1"/>
    <cellStyle name="Hipervínculo" xfId="493" builtinId="8" hidden="1"/>
    <cellStyle name="Hipervínculo" xfId="495" builtinId="8" hidden="1"/>
    <cellStyle name="Hipervínculo" xfId="497" builtinId="8" hidden="1"/>
    <cellStyle name="Hipervínculo" xfId="499" builtinId="8" hidden="1"/>
    <cellStyle name="Hipervínculo" xfId="501" builtinId="8" hidden="1"/>
    <cellStyle name="Hipervínculo" xfId="503" builtinId="8" hidden="1"/>
    <cellStyle name="Hipervínculo" xfId="505" builtinId="8" hidden="1"/>
    <cellStyle name="Hipervínculo" xfId="507" builtinId="8" hidden="1"/>
    <cellStyle name="Hipervínculo" xfId="509" builtinId="8" hidden="1"/>
    <cellStyle name="Hipervínculo" xfId="511" builtinId="8" hidden="1"/>
    <cellStyle name="Hipervínculo" xfId="513" builtinId="8" hidden="1"/>
    <cellStyle name="Hipervínculo" xfId="515" builtinId="8" hidden="1"/>
    <cellStyle name="Hipervínculo" xfId="517" builtinId="8" hidden="1"/>
    <cellStyle name="Hipervínculo" xfId="519" builtinId="8" hidden="1"/>
    <cellStyle name="Hipervínculo" xfId="521" builtinId="8" hidden="1"/>
    <cellStyle name="Hipervínculo" xfId="523" builtinId="8" hidden="1"/>
    <cellStyle name="Hipervínculo" xfId="525" builtinId="8" hidden="1"/>
    <cellStyle name="Hipervínculo" xfId="527" builtinId="8" hidden="1"/>
    <cellStyle name="Hipervínculo" xfId="529" builtinId="8" hidden="1"/>
    <cellStyle name="Hipervínculo" xfId="531" builtinId="8" hidden="1"/>
    <cellStyle name="Hipervínculo" xfId="533" builtinId="8" hidden="1"/>
    <cellStyle name="Hipervínculo" xfId="535" builtinId="8" hidden="1"/>
    <cellStyle name="Hipervínculo" xfId="537" builtinId="8" hidden="1"/>
    <cellStyle name="Hipervínculo" xfId="539" builtinId="8" hidden="1"/>
    <cellStyle name="Hipervínculo" xfId="541" builtinId="8" hidden="1"/>
    <cellStyle name="Hipervínculo" xfId="543" builtinId="8" hidden="1"/>
    <cellStyle name="Hipervínculo" xfId="545" builtinId="8" hidden="1"/>
    <cellStyle name="Hipervínculo" xfId="547" builtinId="8" hidden="1"/>
    <cellStyle name="Hipervínculo" xfId="549" builtinId="8" hidden="1"/>
    <cellStyle name="Hipervínculo" xfId="551" builtinId="8" hidden="1"/>
    <cellStyle name="Hipervínculo" xfId="553" builtinId="8" hidden="1"/>
    <cellStyle name="Hipervínculo" xfId="555" builtinId="8" hidden="1"/>
    <cellStyle name="Hipervínculo" xfId="557" builtinId="8" hidden="1"/>
    <cellStyle name="Hipervínculo" xfId="559" builtinId="8" hidden="1"/>
    <cellStyle name="Hipervínculo" xfId="561" builtinId="8" hidden="1"/>
    <cellStyle name="Hipervínculo" xfId="563" builtinId="8" hidden="1"/>
    <cellStyle name="Hipervínculo" xfId="565" builtinId="8" hidden="1"/>
    <cellStyle name="Hipervínculo" xfId="567" builtinId="8" hidden="1"/>
    <cellStyle name="Hipervínculo" xfId="569" builtinId="8" hidden="1"/>
    <cellStyle name="Hipervínculo" xfId="571" builtinId="8" hidden="1"/>
    <cellStyle name="Hipervínculo" xfId="573" builtinId="8" hidden="1"/>
    <cellStyle name="Hipervínculo" xfId="575" builtinId="8" hidden="1"/>
    <cellStyle name="Hipervínculo" xfId="577" builtinId="8" hidden="1"/>
    <cellStyle name="Hipervínculo" xfId="579" builtinId="8" hidden="1"/>
    <cellStyle name="Hipervínculo" xfId="581" builtinId="8" hidden="1"/>
    <cellStyle name="Hipervínculo" xfId="583" builtinId="8" hidden="1"/>
    <cellStyle name="Hipervínculo" xfId="585" builtinId="8" hidden="1"/>
    <cellStyle name="Hipervínculo" xfId="587" builtinId="8" hidden="1"/>
    <cellStyle name="Hipervínculo" xfId="589" builtinId="8" hidden="1"/>
    <cellStyle name="Hipervínculo" xfId="591" builtinId="8" hidden="1"/>
    <cellStyle name="Hipervínculo" xfId="593" builtinId="8" hidden="1"/>
    <cellStyle name="Hipervínculo" xfId="595" builtinId="8" hidden="1"/>
    <cellStyle name="Hipervínculo" xfId="597" builtinId="8" hidden="1"/>
    <cellStyle name="Hipervínculo" xfId="599" builtinId="8" hidden="1"/>
    <cellStyle name="Hipervínculo" xfId="601" builtinId="8" hidden="1"/>
    <cellStyle name="Hipervínculo" xfId="603" builtinId="8" hidden="1"/>
    <cellStyle name="Hipervínculo" xfId="605" builtinId="8" hidden="1"/>
    <cellStyle name="Hipervínculo" xfId="607" builtinId="8" hidden="1"/>
    <cellStyle name="Hipervínculo" xfId="609" builtinId="8" hidden="1"/>
    <cellStyle name="Hipervínculo" xfId="611" builtinId="8" hidden="1"/>
    <cellStyle name="Hipervínculo" xfId="613" builtinId="8" hidden="1"/>
    <cellStyle name="Hipervínculo" xfId="615" builtinId="8" hidden="1"/>
    <cellStyle name="Hipervínculo" xfId="617" builtinId="8" hidden="1"/>
    <cellStyle name="Hipervínculo" xfId="619" builtinId="8" hidden="1"/>
    <cellStyle name="Hipervínculo" xfId="621" builtinId="8" hidden="1"/>
    <cellStyle name="Hipervínculo" xfId="623" builtinId="8" hidden="1"/>
    <cellStyle name="Hipervínculo" xfId="625" builtinId="8" hidden="1"/>
    <cellStyle name="Hipervínculo" xfId="627" builtinId="8" hidden="1"/>
    <cellStyle name="Hipervínculo" xfId="629" builtinId="8" hidden="1"/>
    <cellStyle name="Hipervínculo" xfId="631" builtinId="8" hidden="1"/>
    <cellStyle name="Hipervínculo" xfId="633" builtinId="8" hidden="1"/>
    <cellStyle name="Hipervínculo" xfId="635" builtinId="8" hidden="1"/>
    <cellStyle name="Hipervínculo" xfId="637" builtinId="8" hidden="1"/>
    <cellStyle name="Hipervínculo" xfId="639" builtinId="8" hidden="1"/>
    <cellStyle name="Hipervínculo" xfId="641" builtinId="8" hidden="1"/>
    <cellStyle name="Hipervínculo" xfId="643" builtinId="8" hidden="1"/>
    <cellStyle name="Hipervínculo" xfId="645" builtinId="8" hidden="1"/>
    <cellStyle name="Hipervínculo" xfId="647" builtinId="8" hidden="1"/>
    <cellStyle name="Hipervínculo" xfId="649" builtinId="8" hidden="1"/>
    <cellStyle name="Hipervínculo" xfId="651" builtinId="8" hidden="1"/>
    <cellStyle name="Hipervínculo" xfId="653" builtinId="8" hidden="1"/>
    <cellStyle name="Hipervínculo" xfId="655" builtinId="8" hidden="1"/>
    <cellStyle name="Hipervínculo" xfId="657" builtinId="8" hidden="1"/>
    <cellStyle name="Hipervínculo" xfId="659" builtinId="8" hidden="1"/>
    <cellStyle name="Hipervínculo" xfId="661" builtinId="8" hidden="1"/>
    <cellStyle name="Hipervínculo" xfId="663" builtinId="8" hidden="1"/>
    <cellStyle name="Hipervínculo" xfId="665" builtinId="8" hidden="1"/>
    <cellStyle name="Hipervínculo" xfId="667" builtinId="8" hidden="1"/>
    <cellStyle name="Hipervínculo" xfId="669" builtinId="8" hidden="1"/>
    <cellStyle name="Hipervínculo" xfId="671" builtinId="8" hidden="1"/>
    <cellStyle name="Hipervínculo" xfId="673" builtinId="8" hidden="1"/>
    <cellStyle name="Hipervínculo" xfId="675" builtinId="8" hidden="1"/>
    <cellStyle name="Hipervínculo" xfId="677" builtinId="8" hidden="1"/>
    <cellStyle name="Hipervínculo" xfId="679" builtinId="8" hidden="1"/>
    <cellStyle name="Hipervínculo" xfId="681" builtinId="8" hidden="1"/>
    <cellStyle name="Hipervínculo" xfId="683" builtinId="8" hidden="1"/>
    <cellStyle name="Hipervínculo" xfId="685" builtinId="8" hidden="1"/>
    <cellStyle name="Hipervínculo" xfId="687" builtinId="8" hidden="1"/>
    <cellStyle name="Hipervínculo" xfId="689" builtinId="8" hidden="1"/>
    <cellStyle name="Hipervínculo" xfId="691" builtinId="8" hidden="1"/>
    <cellStyle name="Hipervínculo" xfId="693" builtinId="8" hidden="1"/>
    <cellStyle name="Hipervínculo" xfId="695" builtinId="8" hidden="1"/>
    <cellStyle name="Hipervínculo" xfId="697" builtinId="8" hidden="1"/>
    <cellStyle name="Hipervínculo" xfId="699" builtinId="8" hidden="1"/>
    <cellStyle name="Hipervínculo" xfId="701" builtinId="8" hidden="1"/>
    <cellStyle name="Hipervínculo" xfId="703" builtinId="8" hidden="1"/>
    <cellStyle name="Hipervínculo" xfId="705" builtinId="8" hidden="1"/>
    <cellStyle name="Hipervínculo" xfId="707" builtinId="8" hidden="1"/>
    <cellStyle name="Hipervínculo" xfId="709" builtinId="8" hidden="1"/>
    <cellStyle name="Hipervínculo" xfId="711" builtinId="8" hidden="1"/>
    <cellStyle name="Hipervínculo" xfId="713" builtinId="8" hidden="1"/>
    <cellStyle name="Hipervínculo" xfId="715" builtinId="8" hidden="1"/>
    <cellStyle name="Hipervínculo" xfId="717" builtinId="8" hidden="1"/>
    <cellStyle name="Hipervínculo" xfId="721" builtinId="8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38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6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4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2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0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78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6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4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2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4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2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0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58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6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4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2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0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298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6" builtinId="9" hidden="1"/>
    <cellStyle name="Hipervínculo visitado" xfId="308" builtinId="9" hidden="1"/>
    <cellStyle name="Hipervínculo visitado" xfId="310" builtinId="9" hidden="1"/>
    <cellStyle name="Hipervínculo visitado" xfId="312" builtinId="9" hidden="1"/>
    <cellStyle name="Hipervínculo visitado" xfId="314" builtinId="9" hidden="1"/>
    <cellStyle name="Hipervínculo visitado" xfId="316" builtinId="9" hidden="1"/>
    <cellStyle name="Hipervínculo visitado" xfId="318" builtinId="9" hidden="1"/>
    <cellStyle name="Hipervínculo visitado" xfId="320" builtinId="9" hidden="1"/>
    <cellStyle name="Hipervínculo visitado" xfId="322" builtinId="9" hidden="1"/>
    <cellStyle name="Hipervínculo visitado" xfId="324" builtinId="9" hidden="1"/>
    <cellStyle name="Hipervínculo visitado" xfId="326" builtinId="9" hidden="1"/>
    <cellStyle name="Hipervínculo visitado" xfId="328" builtinId="9" hidden="1"/>
    <cellStyle name="Hipervínculo visitado" xfId="330" builtinId="9" hidden="1"/>
    <cellStyle name="Hipervínculo visitado" xfId="332" builtinId="9" hidden="1"/>
    <cellStyle name="Hipervínculo visitado" xfId="334" builtinId="9" hidden="1"/>
    <cellStyle name="Hipervínculo visitado" xfId="336" builtinId="9" hidden="1"/>
    <cellStyle name="Hipervínculo visitado" xfId="338" builtinId="9" hidden="1"/>
    <cellStyle name="Hipervínculo visitado" xfId="340" builtinId="9" hidden="1"/>
    <cellStyle name="Hipervínculo visitado" xfId="342" builtinId="9" hidden="1"/>
    <cellStyle name="Hipervínculo visitado" xfId="344" builtinId="9" hidden="1"/>
    <cellStyle name="Hipervínculo visitado" xfId="346" builtinId="9" hidden="1"/>
    <cellStyle name="Hipervínculo visitado" xfId="348" builtinId="9" hidden="1"/>
    <cellStyle name="Hipervínculo visitado" xfId="350" builtinId="9" hidden="1"/>
    <cellStyle name="Hipervínculo visitado" xfId="352" builtinId="9" hidden="1"/>
    <cellStyle name="Hipervínculo visitado" xfId="354" builtinId="9" hidden="1"/>
    <cellStyle name="Hipervínculo visitado" xfId="356" builtinId="9" hidden="1"/>
    <cellStyle name="Hipervínculo visitado" xfId="358" builtinId="9" hidden="1"/>
    <cellStyle name="Hipervínculo visitado" xfId="360" builtinId="9" hidden="1"/>
    <cellStyle name="Hipervínculo visitado" xfId="362" builtinId="9" hidden="1"/>
    <cellStyle name="Hipervínculo visitado" xfId="364" builtinId="9" hidden="1"/>
    <cellStyle name="Hipervínculo visitado" xfId="366" builtinId="9" hidden="1"/>
    <cellStyle name="Hipervínculo visitado" xfId="368" builtinId="9" hidden="1"/>
    <cellStyle name="Hipervínculo visitado" xfId="370" builtinId="9" hidden="1"/>
    <cellStyle name="Hipervínculo visitado" xfId="372" builtinId="9" hidden="1"/>
    <cellStyle name="Hipervínculo visitado" xfId="374" builtinId="9" hidden="1"/>
    <cellStyle name="Hipervínculo visitado" xfId="376" builtinId="9" hidden="1"/>
    <cellStyle name="Hipervínculo visitado" xfId="378" builtinId="9" hidden="1"/>
    <cellStyle name="Hipervínculo visitado" xfId="380" builtinId="9" hidden="1"/>
    <cellStyle name="Hipervínculo visitado" xfId="382" builtinId="9" hidden="1"/>
    <cellStyle name="Hipervínculo visitado" xfId="384" builtinId="9" hidden="1"/>
    <cellStyle name="Hipervínculo visitado" xfId="386" builtinId="9" hidden="1"/>
    <cellStyle name="Hipervínculo visitado" xfId="388" builtinId="9" hidden="1"/>
    <cellStyle name="Hipervínculo visitado" xfId="390" builtinId="9" hidden="1"/>
    <cellStyle name="Hipervínculo visitado" xfId="392" builtinId="9" hidden="1"/>
    <cellStyle name="Hipervínculo visitado" xfId="394" builtinId="9" hidden="1"/>
    <cellStyle name="Hipervínculo visitado" xfId="396" builtinId="9" hidden="1"/>
    <cellStyle name="Hipervínculo visitado" xfId="398" builtinId="9" hidden="1"/>
    <cellStyle name="Hipervínculo visitado" xfId="400" builtinId="9" hidden="1"/>
    <cellStyle name="Hipervínculo visitado" xfId="402" builtinId="9" hidden="1"/>
    <cellStyle name="Hipervínculo visitado" xfId="404" builtinId="9" hidden="1"/>
    <cellStyle name="Hipervínculo visitado" xfId="406" builtinId="9" hidden="1"/>
    <cellStyle name="Hipervínculo visitado" xfId="408" builtinId="9" hidden="1"/>
    <cellStyle name="Hipervínculo visitado" xfId="410" builtinId="9" hidden="1"/>
    <cellStyle name="Hipervínculo visitado" xfId="412" builtinId="9" hidden="1"/>
    <cellStyle name="Hipervínculo visitado" xfId="414" builtinId="9" hidden="1"/>
    <cellStyle name="Hipervínculo visitado" xfId="416" builtinId="9" hidden="1"/>
    <cellStyle name="Hipervínculo visitado" xfId="418" builtinId="9" hidden="1"/>
    <cellStyle name="Hipervínculo visitado" xfId="420" builtinId="9" hidden="1"/>
    <cellStyle name="Hipervínculo visitado" xfId="422" builtinId="9" hidden="1"/>
    <cellStyle name="Hipervínculo visitado" xfId="424" builtinId="9" hidden="1"/>
    <cellStyle name="Hipervínculo visitado" xfId="426" builtinId="9" hidden="1"/>
    <cellStyle name="Hipervínculo visitado" xfId="428" builtinId="9" hidden="1"/>
    <cellStyle name="Hipervínculo visitado" xfId="430" builtinId="9" hidden="1"/>
    <cellStyle name="Hipervínculo visitado" xfId="432" builtinId="9" hidden="1"/>
    <cellStyle name="Hipervínculo visitado" xfId="434" builtinId="9" hidden="1"/>
    <cellStyle name="Hipervínculo visitado" xfId="436" builtinId="9" hidden="1"/>
    <cellStyle name="Hipervínculo visitado" xfId="438" builtinId="9" hidden="1"/>
    <cellStyle name="Hipervínculo visitado" xfId="440" builtinId="9" hidden="1"/>
    <cellStyle name="Hipervínculo visitado" xfId="442" builtinId="9" hidden="1"/>
    <cellStyle name="Hipervínculo visitado" xfId="444" builtinId="9" hidden="1"/>
    <cellStyle name="Hipervínculo visitado" xfId="446" builtinId="9" hidden="1"/>
    <cellStyle name="Hipervínculo visitado" xfId="448" builtinId="9" hidden="1"/>
    <cellStyle name="Hipervínculo visitado" xfId="450" builtinId="9" hidden="1"/>
    <cellStyle name="Hipervínculo visitado" xfId="452" builtinId="9" hidden="1"/>
    <cellStyle name="Hipervínculo visitado" xfId="454" builtinId="9" hidden="1"/>
    <cellStyle name="Hipervínculo visitado" xfId="456" builtinId="9" hidden="1"/>
    <cellStyle name="Hipervínculo visitado" xfId="458" builtinId="9" hidden="1"/>
    <cellStyle name="Hipervínculo visitado" xfId="460" builtinId="9" hidden="1"/>
    <cellStyle name="Hipervínculo visitado" xfId="462" builtinId="9" hidden="1"/>
    <cellStyle name="Hipervínculo visitado" xfId="464" builtinId="9" hidden="1"/>
    <cellStyle name="Hipervínculo visitado" xfId="466" builtinId="9" hidden="1"/>
    <cellStyle name="Hipervínculo visitado" xfId="468" builtinId="9" hidden="1"/>
    <cellStyle name="Hipervínculo visitado" xfId="470" builtinId="9" hidden="1"/>
    <cellStyle name="Hipervínculo visitado" xfId="472" builtinId="9" hidden="1"/>
    <cellStyle name="Hipervínculo visitado" xfId="474" builtinId="9" hidden="1"/>
    <cellStyle name="Hipervínculo visitado" xfId="476" builtinId="9" hidden="1"/>
    <cellStyle name="Hipervínculo visitado" xfId="478" builtinId="9" hidden="1"/>
    <cellStyle name="Hipervínculo visitado" xfId="480" builtinId="9" hidden="1"/>
    <cellStyle name="Hipervínculo visitado" xfId="482" builtinId="9" hidden="1"/>
    <cellStyle name="Hipervínculo visitado" xfId="484" builtinId="9" hidden="1"/>
    <cellStyle name="Hipervínculo visitado" xfId="486" builtinId="9" hidden="1"/>
    <cellStyle name="Hipervínculo visitado" xfId="488" builtinId="9" hidden="1"/>
    <cellStyle name="Hipervínculo visitado" xfId="490" builtinId="9" hidden="1"/>
    <cellStyle name="Hipervínculo visitado" xfId="492" builtinId="9" hidden="1"/>
    <cellStyle name="Hipervínculo visitado" xfId="494" builtinId="9" hidden="1"/>
    <cellStyle name="Hipervínculo visitado" xfId="496" builtinId="9" hidden="1"/>
    <cellStyle name="Hipervínculo visitado" xfId="498" builtinId="9" hidden="1"/>
    <cellStyle name="Hipervínculo visitado" xfId="500" builtinId="9" hidden="1"/>
    <cellStyle name="Hipervínculo visitado" xfId="502" builtinId="9" hidden="1"/>
    <cellStyle name="Hipervínculo visitado" xfId="504" builtinId="9" hidden="1"/>
    <cellStyle name="Hipervínculo visitado" xfId="506" builtinId="9" hidden="1"/>
    <cellStyle name="Hipervínculo visitado" xfId="508" builtinId="9" hidden="1"/>
    <cellStyle name="Hipervínculo visitado" xfId="510" builtinId="9" hidden="1"/>
    <cellStyle name="Hipervínculo visitado" xfId="512" builtinId="9" hidden="1"/>
    <cellStyle name="Hipervínculo visitado" xfId="514" builtinId="9" hidden="1"/>
    <cellStyle name="Hipervínculo visitado" xfId="516" builtinId="9" hidden="1"/>
    <cellStyle name="Hipervínculo visitado" xfId="518" builtinId="9" hidden="1"/>
    <cellStyle name="Hipervínculo visitado" xfId="520" builtinId="9" hidden="1"/>
    <cellStyle name="Hipervínculo visitado" xfId="522" builtinId="9" hidden="1"/>
    <cellStyle name="Hipervínculo visitado" xfId="524" builtinId="9" hidden="1"/>
    <cellStyle name="Hipervínculo visitado" xfId="526" builtinId="9" hidden="1"/>
    <cellStyle name="Hipervínculo visitado" xfId="528" builtinId="9" hidden="1"/>
    <cellStyle name="Hipervínculo visitado" xfId="530" builtinId="9" hidden="1"/>
    <cellStyle name="Hipervínculo visitado" xfId="532" builtinId="9" hidden="1"/>
    <cellStyle name="Hipervínculo visitado" xfId="534" builtinId="9" hidden="1"/>
    <cellStyle name="Hipervínculo visitado" xfId="536" builtinId="9" hidden="1"/>
    <cellStyle name="Hipervínculo visitado" xfId="538" builtinId="9" hidden="1"/>
    <cellStyle name="Hipervínculo visitado" xfId="540" builtinId="9" hidden="1"/>
    <cellStyle name="Hipervínculo visitado" xfId="542" builtinId="9" hidden="1"/>
    <cellStyle name="Hipervínculo visitado" xfId="544" builtinId="9" hidden="1"/>
    <cellStyle name="Hipervínculo visitado" xfId="546" builtinId="9" hidden="1"/>
    <cellStyle name="Hipervínculo visitado" xfId="548" builtinId="9" hidden="1"/>
    <cellStyle name="Hipervínculo visitado" xfId="550" builtinId="9" hidden="1"/>
    <cellStyle name="Hipervínculo visitado" xfId="552" builtinId="9" hidden="1"/>
    <cellStyle name="Hipervínculo visitado" xfId="554" builtinId="9" hidden="1"/>
    <cellStyle name="Hipervínculo visitado" xfId="556" builtinId="9" hidden="1"/>
    <cellStyle name="Hipervínculo visitado" xfId="558" builtinId="9" hidden="1"/>
    <cellStyle name="Hipervínculo visitado" xfId="560" builtinId="9" hidden="1"/>
    <cellStyle name="Hipervínculo visitado" xfId="562" builtinId="9" hidden="1"/>
    <cellStyle name="Hipervínculo visitado" xfId="564" builtinId="9" hidden="1"/>
    <cellStyle name="Hipervínculo visitado" xfId="566" builtinId="9" hidden="1"/>
    <cellStyle name="Hipervínculo visitado" xfId="568" builtinId="9" hidden="1"/>
    <cellStyle name="Hipervínculo visitado" xfId="570" builtinId="9" hidden="1"/>
    <cellStyle name="Hipervínculo visitado" xfId="572" builtinId="9" hidden="1"/>
    <cellStyle name="Hipervínculo visitado" xfId="574" builtinId="9" hidden="1"/>
    <cellStyle name="Hipervínculo visitado" xfId="576" builtinId="9" hidden="1"/>
    <cellStyle name="Hipervínculo visitado" xfId="578" builtinId="9" hidden="1"/>
    <cellStyle name="Hipervínculo visitado" xfId="580" builtinId="9" hidden="1"/>
    <cellStyle name="Hipervínculo visitado" xfId="582" builtinId="9" hidden="1"/>
    <cellStyle name="Hipervínculo visitado" xfId="584" builtinId="9" hidden="1"/>
    <cellStyle name="Hipervínculo visitado" xfId="586" builtinId="9" hidden="1"/>
    <cellStyle name="Hipervínculo visitado" xfId="588" builtinId="9" hidden="1"/>
    <cellStyle name="Hipervínculo visitado" xfId="590" builtinId="9" hidden="1"/>
    <cellStyle name="Hipervínculo visitado" xfId="592" builtinId="9" hidden="1"/>
    <cellStyle name="Hipervínculo visitado" xfId="594" builtinId="9" hidden="1"/>
    <cellStyle name="Hipervínculo visitado" xfId="596" builtinId="9" hidden="1"/>
    <cellStyle name="Hipervínculo visitado" xfId="598" builtinId="9" hidden="1"/>
    <cellStyle name="Hipervínculo visitado" xfId="600" builtinId="9" hidden="1"/>
    <cellStyle name="Hipervínculo visitado" xfId="602" builtinId="9" hidden="1"/>
    <cellStyle name="Hipervínculo visitado" xfId="604" builtinId="9" hidden="1"/>
    <cellStyle name="Hipervínculo visitado" xfId="606" builtinId="9" hidden="1"/>
    <cellStyle name="Hipervínculo visitado" xfId="608" builtinId="9" hidden="1"/>
    <cellStyle name="Hipervínculo visitado" xfId="610" builtinId="9" hidden="1"/>
    <cellStyle name="Hipervínculo visitado" xfId="612" builtinId="9" hidden="1"/>
    <cellStyle name="Hipervínculo visitado" xfId="614" builtinId="9" hidden="1"/>
    <cellStyle name="Hipervínculo visitado" xfId="616" builtinId="9" hidden="1"/>
    <cellStyle name="Hipervínculo visitado" xfId="618" builtinId="9" hidden="1"/>
    <cellStyle name="Hipervínculo visitado" xfId="620" builtinId="9" hidden="1"/>
    <cellStyle name="Hipervínculo visitado" xfId="622" builtinId="9" hidden="1"/>
    <cellStyle name="Hipervínculo visitado" xfId="624" builtinId="9" hidden="1"/>
    <cellStyle name="Hipervínculo visitado" xfId="626" builtinId="9" hidden="1"/>
    <cellStyle name="Hipervínculo visitado" xfId="628" builtinId="9" hidden="1"/>
    <cellStyle name="Hipervínculo visitado" xfId="630" builtinId="9" hidden="1"/>
    <cellStyle name="Hipervínculo visitado" xfId="632" builtinId="9" hidden="1"/>
    <cellStyle name="Hipervínculo visitado" xfId="634" builtinId="9" hidden="1"/>
    <cellStyle name="Hipervínculo visitado" xfId="636" builtinId="9" hidden="1"/>
    <cellStyle name="Hipervínculo visitado" xfId="638" builtinId="9" hidden="1"/>
    <cellStyle name="Hipervínculo visitado" xfId="640" builtinId="9" hidden="1"/>
    <cellStyle name="Hipervínculo visitado" xfId="642" builtinId="9" hidden="1"/>
    <cellStyle name="Hipervínculo visitado" xfId="644" builtinId="9" hidden="1"/>
    <cellStyle name="Hipervínculo visitado" xfId="646" builtinId="9" hidden="1"/>
    <cellStyle name="Hipervínculo visitado" xfId="648" builtinId="9" hidden="1"/>
    <cellStyle name="Hipervínculo visitado" xfId="650" builtinId="9" hidden="1"/>
    <cellStyle name="Hipervínculo visitado" xfId="652" builtinId="9" hidden="1"/>
    <cellStyle name="Hipervínculo visitado" xfId="654" builtinId="9" hidden="1"/>
    <cellStyle name="Hipervínculo visitado" xfId="656" builtinId="9" hidden="1"/>
    <cellStyle name="Hipervínculo visitado" xfId="658" builtinId="9" hidden="1"/>
    <cellStyle name="Hipervínculo visitado" xfId="660" builtinId="9" hidden="1"/>
    <cellStyle name="Hipervínculo visitado" xfId="662" builtinId="9" hidden="1"/>
    <cellStyle name="Hipervínculo visitado" xfId="664" builtinId="9" hidden="1"/>
    <cellStyle name="Hipervínculo visitado" xfId="666" builtinId="9" hidden="1"/>
    <cellStyle name="Hipervínculo visitado" xfId="668" builtinId="9" hidden="1"/>
    <cellStyle name="Hipervínculo visitado" xfId="670" builtinId="9" hidden="1"/>
    <cellStyle name="Hipervínculo visitado" xfId="672" builtinId="9" hidden="1"/>
    <cellStyle name="Hipervínculo visitado" xfId="674" builtinId="9" hidden="1"/>
    <cellStyle name="Hipervínculo visitado" xfId="676" builtinId="9" hidden="1"/>
    <cellStyle name="Hipervínculo visitado" xfId="678" builtinId="9" hidden="1"/>
    <cellStyle name="Hipervínculo visitado" xfId="680" builtinId="9" hidden="1"/>
    <cellStyle name="Hipervínculo visitado" xfId="682" builtinId="9" hidden="1"/>
    <cellStyle name="Hipervínculo visitado" xfId="684" builtinId="9" hidden="1"/>
    <cellStyle name="Hipervínculo visitado" xfId="686" builtinId="9" hidden="1"/>
    <cellStyle name="Hipervínculo visitado" xfId="688" builtinId="9" hidden="1"/>
    <cellStyle name="Hipervínculo visitado" xfId="690" builtinId="9" hidden="1"/>
    <cellStyle name="Hipervínculo visitado" xfId="692" builtinId="9" hidden="1"/>
    <cellStyle name="Hipervínculo visitado" xfId="694" builtinId="9" hidden="1"/>
    <cellStyle name="Hipervínculo visitado" xfId="696" builtinId="9" hidden="1"/>
    <cellStyle name="Hipervínculo visitado" xfId="698" builtinId="9" hidden="1"/>
    <cellStyle name="Hipervínculo visitado" xfId="700" builtinId="9" hidden="1"/>
    <cellStyle name="Hipervínculo visitado" xfId="702" builtinId="9" hidden="1"/>
    <cellStyle name="Hipervínculo visitado" xfId="704" builtinId="9" hidden="1"/>
    <cellStyle name="Hipervínculo visitado" xfId="706" builtinId="9" hidden="1"/>
    <cellStyle name="Hipervínculo visitado" xfId="708" builtinId="9" hidden="1"/>
    <cellStyle name="Hipervínculo visitado" xfId="710" builtinId="9" hidden="1"/>
    <cellStyle name="Hipervínculo visitado" xfId="712" builtinId="9" hidden="1"/>
    <cellStyle name="Hipervínculo visitado" xfId="714" builtinId="9" hidden="1"/>
    <cellStyle name="Hipervínculo visitado" xfId="716" builtinId="9" hidden="1"/>
    <cellStyle name="Hipervínculo visitado" xfId="718" builtinId="9" hidden="1"/>
    <cellStyle name="Hipervínculo visitado" xfId="722" builtinId="9" hidden="1"/>
    <cellStyle name="Moneda" xfId="748" builtinId="4"/>
    <cellStyle name="Neutral 2" xfId="747"/>
    <cellStyle name="Normal" xfId="0" builtinId="0"/>
    <cellStyle name="Normal 10" xfId="3"/>
    <cellStyle name="Normal 101" xfId="4"/>
    <cellStyle name="Normal 11" xfId="5"/>
    <cellStyle name="Normal 12" xfId="6"/>
    <cellStyle name="Normal 12 2" xfId="7"/>
    <cellStyle name="Normal 12 3" xfId="8"/>
    <cellStyle name="Normal 12 4" xfId="9"/>
    <cellStyle name="Normal 12 5" xfId="10"/>
    <cellStyle name="Normal 13" xfId="11"/>
    <cellStyle name="Normal 13 2" xfId="12"/>
    <cellStyle name="Normal 13 3" xfId="13"/>
    <cellStyle name="Normal 13 4" xfId="14"/>
    <cellStyle name="Normal 13 5" xfId="15"/>
    <cellStyle name="Normal 130" xfId="16"/>
    <cellStyle name="Normal 14" xfId="17"/>
    <cellStyle name="Normal 15" xfId="18"/>
    <cellStyle name="Normal 16" xfId="19"/>
    <cellStyle name="Normal 161" xfId="720"/>
    <cellStyle name="Normal 161 2" xfId="724"/>
    <cellStyle name="Normal 161 3" xfId="726"/>
    <cellStyle name="Normal 161 3 2" xfId="727"/>
    <cellStyle name="Normal 161 4" xfId="728"/>
    <cellStyle name="Normal 161 5" xfId="738"/>
    <cellStyle name="Normal 161 6" xfId="740"/>
    <cellStyle name="Normal 161 7" xfId="742"/>
    <cellStyle name="Normal 161 8" xfId="744"/>
    <cellStyle name="Normal 161 9" xfId="746"/>
    <cellStyle name="Normal 17" xfId="20"/>
    <cellStyle name="Normal 18" xfId="21"/>
    <cellStyle name="Normal 19" xfId="22"/>
    <cellStyle name="Normal 2" xfId="1"/>
    <cellStyle name="Normal 2 2" xfId="23"/>
    <cellStyle name="Normal 2 3" xfId="24"/>
    <cellStyle name="Normal 2 4" xfId="25"/>
    <cellStyle name="Normal 2 5" xfId="26"/>
    <cellStyle name="Normal 2 6" xfId="27"/>
    <cellStyle name="Normal 2 7" xfId="729"/>
    <cellStyle name="Normal 20" xfId="28"/>
    <cellStyle name="Normal 21" xfId="29"/>
    <cellStyle name="Normal 22" xfId="30"/>
    <cellStyle name="Normal 23" xfId="31"/>
    <cellStyle name="Normal 24" xfId="32"/>
    <cellStyle name="Normal 25" xfId="33"/>
    <cellStyle name="Normal 26" xfId="34"/>
    <cellStyle name="Normal 27" xfId="35"/>
    <cellStyle name="Normal 28" xfId="36"/>
    <cellStyle name="Normal 29" xfId="37"/>
    <cellStyle name="Normal 3" xfId="38"/>
    <cellStyle name="Normal 3 10" xfId="730"/>
    <cellStyle name="Normal 3 8" xfId="731"/>
    <cellStyle name="Normal 30" xfId="39"/>
    <cellStyle name="Normal 31" xfId="40"/>
    <cellStyle name="Normal 32" xfId="41"/>
    <cellStyle name="Normal 33" xfId="42"/>
    <cellStyle name="Normal 34" xfId="43"/>
    <cellStyle name="Normal 35" xfId="44"/>
    <cellStyle name="Normal 36" xfId="45"/>
    <cellStyle name="Normal 37" xfId="46"/>
    <cellStyle name="Normal 38" xfId="47"/>
    <cellStyle name="Normal 39" xfId="48"/>
    <cellStyle name="Normal 4" xfId="49"/>
    <cellStyle name="Normal 4 2" xfId="50"/>
    <cellStyle name="Normal 4 3" xfId="51"/>
    <cellStyle name="Normal 4 4" xfId="52"/>
    <cellStyle name="Normal 4 5" xfId="53"/>
    <cellStyle name="Normal 40" xfId="54"/>
    <cellStyle name="Normal 40 2" xfId="55"/>
    <cellStyle name="Normal 40 3" xfId="56"/>
    <cellStyle name="Normal 41" xfId="57"/>
    <cellStyle name="Normal 41 2" xfId="58"/>
    <cellStyle name="Normal 41 3" xfId="59"/>
    <cellStyle name="Normal 42" xfId="60"/>
    <cellStyle name="Normal 43" xfId="61"/>
    <cellStyle name="Normal 44" xfId="62"/>
    <cellStyle name="Normal 44 2" xfId="63"/>
    <cellStyle name="Normal 45" xfId="64"/>
    <cellStyle name="Normal 45 2" xfId="65"/>
    <cellStyle name="Normal 46" xfId="66"/>
    <cellStyle name="Normal 46 2" xfId="67"/>
    <cellStyle name="Normal 47" xfId="68"/>
    <cellStyle name="Normal 48" xfId="69"/>
    <cellStyle name="Normal 49" xfId="70"/>
    <cellStyle name="Normal 5" xfId="71"/>
    <cellStyle name="Normal 5 2" xfId="72"/>
    <cellStyle name="Normal 5 3" xfId="73"/>
    <cellStyle name="Normal 5 4" xfId="74"/>
    <cellStyle name="Normal 5 5" xfId="75"/>
    <cellStyle name="Normal 50" xfId="76"/>
    <cellStyle name="Normal 51" xfId="77"/>
    <cellStyle name="Normal 52" xfId="78"/>
    <cellStyle name="Normal 53" xfId="79"/>
    <cellStyle name="Normal 54" xfId="80"/>
    <cellStyle name="Normal 55" xfId="81"/>
    <cellStyle name="Normal 56" xfId="82"/>
    <cellStyle name="Normal 57" xfId="83"/>
    <cellStyle name="Normal 58" xfId="84"/>
    <cellStyle name="Normal 59" xfId="85"/>
    <cellStyle name="Normal 6" xfId="86"/>
    <cellStyle name="Normal 60" xfId="87"/>
    <cellStyle name="Normal 61" xfId="88"/>
    <cellStyle name="Normal 62" xfId="89"/>
    <cellStyle name="Normal 63" xfId="90"/>
    <cellStyle name="Normal 64" xfId="91"/>
    <cellStyle name="Normal 65" xfId="92"/>
    <cellStyle name="Normal 66" xfId="93"/>
    <cellStyle name="Normal 67" xfId="94"/>
    <cellStyle name="Normal 68" xfId="95"/>
    <cellStyle name="Normal 69" xfId="96"/>
    <cellStyle name="Normal 7" xfId="97"/>
    <cellStyle name="Normal 70" xfId="98"/>
    <cellStyle name="Normal 71" xfId="99"/>
    <cellStyle name="Normal 72" xfId="719"/>
    <cellStyle name="Normal 73" xfId="723"/>
    <cellStyle name="Normal 74" xfId="725"/>
    <cellStyle name="Normal 75" xfId="732"/>
    <cellStyle name="Normal 76" xfId="733"/>
    <cellStyle name="Normal 77" xfId="734"/>
    <cellStyle name="Normal 78" xfId="735"/>
    <cellStyle name="Normal 79" xfId="736"/>
    <cellStyle name="Normal 8" xfId="100"/>
    <cellStyle name="Normal 80" xfId="737"/>
    <cellStyle name="Normal 81" xfId="739"/>
    <cellStyle name="Normal 82" xfId="741"/>
    <cellStyle name="Normal 83" xfId="743"/>
    <cellStyle name="Normal 84" xfId="745"/>
    <cellStyle name="Normal 9" xfId="101"/>
    <cellStyle name="Normal 9 2" xfId="102"/>
    <cellStyle name="Normal 9 3" xfId="103"/>
    <cellStyle name="Normal 9 4" xfId="104"/>
    <cellStyle name="Normal 9 5" xfId="105"/>
    <cellStyle name="Porcentual 2" xfId="106"/>
  </cellStyles>
  <dxfs count="3966"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 patternType="solid">
          <fgColor indexed="64"/>
          <bgColor theme="0" tint="-0.14999847407452621"/>
        </patternFill>
      </fill>
    </dxf>
    <dxf>
      <font>
        <color theme="0"/>
      </font>
      <fill>
        <patternFill patternType="solid">
          <fgColor indexed="64"/>
          <bgColor theme="1"/>
        </patternFill>
      </fill>
    </dxf>
    <dxf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 style="thin">
          <color indexed="8"/>
        </vertical>
        <horizontal style="thin">
          <color indexed="8"/>
        </horizontal>
      </border>
    </dxf>
    <dxf>
      <fill>
        <patternFill patternType="solid">
          <fgColor indexed="64"/>
          <bgColor rgb="FFF9FFB5"/>
        </patternFill>
      </fill>
    </dxf>
    <dxf>
      <font>
        <color theme="0"/>
      </font>
      <fill>
        <patternFill patternType="solid">
          <fgColor indexed="64"/>
          <bgColor theme="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PLANTILLA CONTROL" defaultPivotStyle="PivotStyleMedium4">
    <tableStyle name="PLANTILLA CONTROL" pivot="0" count="3">
      <tableStyleElement type="wholeTable" dxfId="3965"/>
      <tableStyleElement type="headerRow" dxfId="3964"/>
      <tableStyleElement type="firstRowStripe" dxfId="3963"/>
    </tableStyle>
    <tableStyle name="CONTROL MES" pivot="0" count="3">
      <tableStyleElement type="wholeTable" dxfId="3962"/>
      <tableStyleElement type="headerRow" dxfId="3961"/>
      <tableStyleElement type="firstRowStripe" dxfId="3960"/>
    </tableStyle>
  </tableStyles>
  <colors>
    <mruColors>
      <color rgb="FF00CC66"/>
      <color rgb="FFCCFF33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54" Type="http://schemas.openxmlformats.org/officeDocument/2006/relationships/worksheet" Target="worksheets/sheet154.xml"/><Relationship Id="rId159" Type="http://schemas.openxmlformats.org/officeDocument/2006/relationships/worksheet" Target="worksheets/sheet159.xml"/><Relationship Id="rId175" Type="http://schemas.openxmlformats.org/officeDocument/2006/relationships/sharedStrings" Target="sharedStrings.xml"/><Relationship Id="rId170" Type="http://schemas.openxmlformats.org/officeDocument/2006/relationships/worksheet" Target="worksheets/sheet170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65" Type="http://schemas.openxmlformats.org/officeDocument/2006/relationships/worksheet" Target="worksheets/sheet16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worksheet" Target="worksheets/sheet155.xml"/><Relationship Id="rId171" Type="http://schemas.openxmlformats.org/officeDocument/2006/relationships/worksheet" Target="worksheets/sheet171.xml"/><Relationship Id="rId176" Type="http://schemas.openxmlformats.org/officeDocument/2006/relationships/calcChain" Target="calcChain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5"/>
  <dimension ref="A1:Y45"/>
  <sheetViews>
    <sheetView zoomScale="125" zoomScaleNormal="125" zoomScalePageLayoutView="125" workbookViewId="0">
      <pane ySplit="4" topLeftCell="A21" activePane="bottomLeft" state="frozen"/>
      <selection activeCell="D26" sqref="D26"/>
      <selection pane="bottomLeft" activeCell="A4" sqref="A4:XFD43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/>
      <c r="B1" s="18"/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>F5-G5-H5</f>
        <v>0</v>
      </c>
      <c r="J5" s="44">
        <f t="shared" ref="J5:J45" si="0">S5+T5</f>
        <v>0</v>
      </c>
      <c r="K5" s="44">
        <f t="shared" ref="K5:K45" si="1">I5-J5</f>
        <v>0</v>
      </c>
      <c r="L5" s="45"/>
      <c r="M5" s="40"/>
      <c r="N5" s="43">
        <f t="shared" ref="N5:N45" si="2">I5-J5-M5-R5</f>
        <v>0</v>
      </c>
      <c r="O5" s="43">
        <f t="shared" ref="O5:O45" si="3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ref="I7:I45" si="4">F7-G7-H7</f>
        <v>0</v>
      </c>
      <c r="J7" s="44">
        <f t="shared" si="0"/>
        <v>0</v>
      </c>
      <c r="K7" s="44">
        <f t="shared" si="1"/>
        <v>0</v>
      </c>
      <c r="L7" s="45"/>
      <c r="M7" s="40"/>
      <c r="N7" s="43">
        <f t="shared" si="2"/>
        <v>0</v>
      </c>
      <c r="O7" s="43">
        <f t="shared" si="3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4"/>
        <v>0</v>
      </c>
      <c r="J9" s="44">
        <f t="shared" si="0"/>
        <v>0</v>
      </c>
      <c r="K9" s="44">
        <f t="shared" si="1"/>
        <v>0</v>
      </c>
      <c r="L9" s="45"/>
      <c r="M9" s="40"/>
      <c r="N9" s="43">
        <f t="shared" si="2"/>
        <v>0</v>
      </c>
      <c r="O9" s="43">
        <f t="shared" si="3"/>
        <v>0</v>
      </c>
      <c r="P9" s="46"/>
      <c r="Q9" s="40"/>
      <c r="R9" s="43"/>
      <c r="S9" s="43"/>
      <c r="T9" s="49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4"/>
        <v>0</v>
      </c>
      <c r="J11" s="44">
        <f>S11+T11</f>
        <v>0</v>
      </c>
      <c r="K11" s="44">
        <f>I11-J11</f>
        <v>0</v>
      </c>
      <c r="L11" s="45"/>
      <c r="M11" s="40"/>
      <c r="N11" s="43">
        <f t="shared" si="2"/>
        <v>0</v>
      </c>
      <c r="O11" s="43">
        <f t="shared" si="3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4"/>
        <v>0</v>
      </c>
      <c r="J13" s="44">
        <f t="shared" si="0"/>
        <v>0</v>
      </c>
      <c r="K13" s="44">
        <f t="shared" si="1"/>
        <v>0</v>
      </c>
      <c r="L13" s="45"/>
      <c r="M13" s="40"/>
      <c r="N13" s="43">
        <f t="shared" si="2"/>
        <v>0</v>
      </c>
      <c r="O13" s="43">
        <f t="shared" si="3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4"/>
        <v>0</v>
      </c>
      <c r="J15" s="44">
        <f t="shared" si="0"/>
        <v>0</v>
      </c>
      <c r="K15" s="44">
        <f t="shared" si="1"/>
        <v>0</v>
      </c>
      <c r="L15" s="45"/>
      <c r="M15" s="40"/>
      <c r="N15" s="43">
        <f t="shared" si="2"/>
        <v>0</v>
      </c>
      <c r="O15" s="43">
        <f t="shared" si="3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4"/>
        <v>0</v>
      </c>
      <c r="J17" s="44">
        <f t="shared" si="0"/>
        <v>0</v>
      </c>
      <c r="K17" s="44">
        <f t="shared" si="1"/>
        <v>0</v>
      </c>
      <c r="L17" s="45"/>
      <c r="M17" s="40"/>
      <c r="N17" s="43">
        <f t="shared" si="2"/>
        <v>0</v>
      </c>
      <c r="O17" s="43">
        <f t="shared" si="3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4"/>
        <v>0</v>
      </c>
      <c r="J19" s="44">
        <f>S19+T19</f>
        <v>0</v>
      </c>
      <c r="K19" s="44">
        <f t="shared" si="1"/>
        <v>0</v>
      </c>
      <c r="L19" s="45"/>
      <c r="M19" s="40"/>
      <c r="N19" s="43">
        <f>I19-J19-M19-R19</f>
        <v>0</v>
      </c>
      <c r="O19" s="43">
        <f>R19+S19+T19</f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4"/>
        <v>0</v>
      </c>
      <c r="J21" s="44">
        <f t="shared" si="0"/>
        <v>0</v>
      </c>
      <c r="K21" s="44">
        <f t="shared" si="1"/>
        <v>0</v>
      </c>
      <c r="L21" s="45"/>
      <c r="M21" s="40"/>
      <c r="N21" s="43">
        <f t="shared" si="2"/>
        <v>0</v>
      </c>
      <c r="O21" s="43">
        <f t="shared" si="3"/>
        <v>0</v>
      </c>
      <c r="P21" s="46"/>
      <c r="Q21" s="40"/>
      <c r="R21" s="47"/>
      <c r="S21" s="47"/>
      <c r="T21" s="48"/>
    </row>
    <row r="22" spans="1:22" ht="15">
      <c r="A22" s="32"/>
      <c r="B22" s="33"/>
      <c r="C22" s="34"/>
      <c r="D22" s="32"/>
      <c r="E22" s="32"/>
      <c r="F22" s="32"/>
      <c r="G22" s="37"/>
      <c r="H22" s="37"/>
      <c r="I22" s="37"/>
      <c r="J22" s="35"/>
      <c r="K22" s="35"/>
      <c r="L22" s="36"/>
      <c r="M22" s="32"/>
      <c r="N22" s="37"/>
      <c r="O22" s="37"/>
      <c r="P22" s="38"/>
      <c r="Q22" s="32"/>
      <c r="R22" s="32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4"/>
        <v>0</v>
      </c>
      <c r="J23" s="44">
        <f t="shared" si="0"/>
        <v>0</v>
      </c>
      <c r="K23" s="44">
        <f t="shared" si="1"/>
        <v>0</v>
      </c>
      <c r="L23" s="45"/>
      <c r="M23" s="40"/>
      <c r="N23" s="43">
        <f t="shared" si="2"/>
        <v>0</v>
      </c>
      <c r="O23" s="43">
        <f t="shared" si="3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4"/>
        <v>0</v>
      </c>
      <c r="J25" s="44">
        <f t="shared" si="0"/>
        <v>0</v>
      </c>
      <c r="K25" s="44">
        <f t="shared" si="1"/>
        <v>0</v>
      </c>
      <c r="L25" s="45"/>
      <c r="M25" s="40"/>
      <c r="N25" s="43">
        <f t="shared" si="2"/>
        <v>0</v>
      </c>
      <c r="O25" s="43">
        <f t="shared" si="3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4"/>
        <v>0</v>
      </c>
      <c r="J27" s="44">
        <f t="shared" si="0"/>
        <v>0</v>
      </c>
      <c r="K27" s="44">
        <f t="shared" si="1"/>
        <v>0</v>
      </c>
      <c r="L27" s="45"/>
      <c r="M27" s="40"/>
      <c r="N27" s="43">
        <f t="shared" si="2"/>
        <v>0</v>
      </c>
      <c r="O27" s="43">
        <f t="shared" si="3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4"/>
        <v>0</v>
      </c>
      <c r="J29" s="44">
        <f t="shared" si="0"/>
        <v>0</v>
      </c>
      <c r="K29" s="44">
        <f t="shared" si="1"/>
        <v>0</v>
      </c>
      <c r="L29" s="45"/>
      <c r="M29" s="40"/>
      <c r="N29" s="43">
        <f t="shared" si="2"/>
        <v>0</v>
      </c>
      <c r="O29" s="43">
        <f t="shared" si="3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4"/>
        <v>0</v>
      </c>
      <c r="J31" s="44">
        <f t="shared" si="0"/>
        <v>0</v>
      </c>
      <c r="K31" s="44">
        <f t="shared" si="1"/>
        <v>0</v>
      </c>
      <c r="L31" s="45"/>
      <c r="M31" s="40"/>
      <c r="N31" s="43">
        <f t="shared" si="2"/>
        <v>0</v>
      </c>
      <c r="O31" s="43">
        <f t="shared" si="3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4"/>
        <v>0</v>
      </c>
      <c r="J33" s="44">
        <f t="shared" si="0"/>
        <v>0</v>
      </c>
      <c r="K33" s="44">
        <f t="shared" si="1"/>
        <v>0</v>
      </c>
      <c r="L33" s="45"/>
      <c r="M33" s="40"/>
      <c r="N33" s="43">
        <f t="shared" si="2"/>
        <v>0</v>
      </c>
      <c r="O33" s="43">
        <f t="shared" si="3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4"/>
        <v>0</v>
      </c>
      <c r="J35" s="44">
        <f t="shared" si="0"/>
        <v>0</v>
      </c>
      <c r="K35" s="44">
        <f t="shared" si="1"/>
        <v>0</v>
      </c>
      <c r="L35" s="45"/>
      <c r="M35" s="40"/>
      <c r="N35" s="43">
        <f t="shared" si="2"/>
        <v>0</v>
      </c>
      <c r="O35" s="43">
        <f t="shared" si="3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4"/>
        <v>0</v>
      </c>
      <c r="J37" s="44">
        <f t="shared" si="0"/>
        <v>0</v>
      </c>
      <c r="K37" s="44">
        <f t="shared" si="1"/>
        <v>0</v>
      </c>
      <c r="L37" s="45"/>
      <c r="M37" s="40"/>
      <c r="N37" s="43">
        <f t="shared" si="2"/>
        <v>0</v>
      </c>
      <c r="O37" s="43">
        <f t="shared" si="3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4"/>
        <v>0</v>
      </c>
      <c r="J39" s="44">
        <f t="shared" si="0"/>
        <v>0</v>
      </c>
      <c r="K39" s="44">
        <f t="shared" si="1"/>
        <v>0</v>
      </c>
      <c r="L39" s="45"/>
      <c r="M39" s="40"/>
      <c r="N39" s="43">
        <f t="shared" si="2"/>
        <v>0</v>
      </c>
      <c r="O39" s="43">
        <f t="shared" si="3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4"/>
        <v>0</v>
      </c>
      <c r="J41" s="44">
        <f t="shared" si="0"/>
        <v>0</v>
      </c>
      <c r="K41" s="44">
        <f t="shared" si="1"/>
        <v>0</v>
      </c>
      <c r="L41" s="45"/>
      <c r="M41" s="40"/>
      <c r="N41" s="43">
        <f t="shared" si="2"/>
        <v>0</v>
      </c>
      <c r="O41" s="43">
        <f t="shared" si="3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40"/>
      <c r="B43" s="41"/>
      <c r="C43" s="42"/>
      <c r="D43" s="40"/>
      <c r="E43" s="40"/>
      <c r="F43" s="40"/>
      <c r="G43" s="43">
        <f>F43*6%</f>
        <v>0</v>
      </c>
      <c r="H43" s="43"/>
      <c r="I43" s="44">
        <f t="shared" si="4"/>
        <v>0</v>
      </c>
      <c r="J43" s="44">
        <f t="shared" si="0"/>
        <v>0</v>
      </c>
      <c r="K43" s="44">
        <f t="shared" si="1"/>
        <v>0</v>
      </c>
      <c r="L43" s="45"/>
      <c r="M43" s="40"/>
      <c r="N43" s="43">
        <f t="shared" si="2"/>
        <v>0</v>
      </c>
      <c r="O43" s="43">
        <f t="shared" si="3"/>
        <v>0</v>
      </c>
      <c r="P43" s="46"/>
      <c r="Q43" s="40"/>
      <c r="R43" s="40"/>
      <c r="S43" s="40"/>
      <c r="T43" s="5"/>
    </row>
    <row r="44" spans="1:22" ht="15">
      <c r="A44" s="32"/>
      <c r="B44" s="33"/>
      <c r="C44" s="32"/>
      <c r="D44" s="33"/>
      <c r="E44" s="34"/>
      <c r="F44" s="32"/>
      <c r="G44" s="32"/>
      <c r="H44" s="32"/>
      <c r="I44" s="37"/>
      <c r="J44" s="37"/>
      <c r="K44" s="35"/>
      <c r="L44" s="35"/>
      <c r="M44" s="35"/>
      <c r="N44" s="36"/>
      <c r="O44" s="32"/>
      <c r="P44" s="37"/>
      <c r="Q44" s="37"/>
      <c r="R44" s="38"/>
      <c r="S44" s="32"/>
      <c r="T44" s="39"/>
      <c r="U44" s="6"/>
      <c r="V44" s="6"/>
    </row>
    <row r="45" spans="1:22" ht="15">
      <c r="A45" s="50"/>
      <c r="B45" s="51"/>
      <c r="C45" s="52"/>
      <c r="D45" s="50"/>
      <c r="E45" s="50"/>
      <c r="F45" s="50"/>
      <c r="G45" s="43">
        <f>F45*6%</f>
        <v>0</v>
      </c>
      <c r="H45" s="53"/>
      <c r="I45" s="78">
        <f t="shared" si="4"/>
        <v>0</v>
      </c>
      <c r="J45" s="54">
        <f t="shared" si="0"/>
        <v>0</v>
      </c>
      <c r="K45" s="54">
        <f t="shared" si="1"/>
        <v>0</v>
      </c>
      <c r="L45" s="55"/>
      <c r="M45" s="50"/>
      <c r="N45" s="53">
        <f t="shared" si="2"/>
        <v>0</v>
      </c>
      <c r="O45" s="53">
        <f t="shared" si="3"/>
        <v>0</v>
      </c>
      <c r="P45" s="56"/>
      <c r="Q45" s="50"/>
      <c r="R45" s="50"/>
      <c r="S45" s="50"/>
      <c r="T45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959" priority="26" operator="containsText" text="SIN FACTURA ">
      <formula>NOT(ISERROR(SEARCH("SIN FACTURA ",A2)))</formula>
    </cfRule>
  </conditionalFormatting>
  <conditionalFormatting sqref="A4:T5 J45:T45 J43:T43 J41:T41 J39:T39 J37:T37 J35:T35 J33:T33 J31:T31 J29:T29 J27:T27 J25:T25 J15:T23 J6:T13 I6:I45 A6:H13 A15:H23 A25:H25 A27:H27 A29:H29 A31:H31 A33:H33 A35:H35 A37:H37 A39:H39 A41:H41 A43:H43 A45:H45">
    <cfRule type="containsText" dxfId="3958" priority="25" operator="containsText" text="SIN FACTURA">
      <formula>NOT(ISERROR(SEARCH("SIN FACTURA",A4)))</formula>
    </cfRule>
  </conditionalFormatting>
  <conditionalFormatting sqref="C14:H14 J14:V14">
    <cfRule type="containsText" dxfId="3957" priority="24" operator="containsText" text="SIN FACTURA">
      <formula>NOT(ISERROR(SEARCH("SIN FACTURA",C14)))</formula>
    </cfRule>
  </conditionalFormatting>
  <conditionalFormatting sqref="C24:H24 J24:V24">
    <cfRule type="containsText" dxfId="3956" priority="23" operator="containsText" text="SIN FACTURA">
      <formula>NOT(ISERROR(SEARCH("SIN FACTURA",C24)))</formula>
    </cfRule>
  </conditionalFormatting>
  <conditionalFormatting sqref="C26:H26 J26:V26">
    <cfRule type="containsText" dxfId="3955" priority="22" operator="containsText" text="SIN FACTURA">
      <formula>NOT(ISERROR(SEARCH("SIN FACTURA",C26)))</formula>
    </cfRule>
  </conditionalFormatting>
  <conditionalFormatting sqref="C28:H28 J28:V28">
    <cfRule type="containsText" dxfId="3954" priority="21" operator="containsText" text="SIN FACTURA">
      <formula>NOT(ISERROR(SEARCH("SIN FACTURA",C28)))</formula>
    </cfRule>
  </conditionalFormatting>
  <conditionalFormatting sqref="C30:H30 J30:V30">
    <cfRule type="containsText" dxfId="3953" priority="20" operator="containsText" text="SIN FACTURA">
      <formula>NOT(ISERROR(SEARCH("SIN FACTURA",C30)))</formula>
    </cfRule>
  </conditionalFormatting>
  <conditionalFormatting sqref="C32:H32 J32:V32">
    <cfRule type="containsText" dxfId="3952" priority="19" operator="containsText" text="SIN FACTURA">
      <formula>NOT(ISERROR(SEARCH("SIN FACTURA",C32)))</formula>
    </cfRule>
  </conditionalFormatting>
  <conditionalFormatting sqref="C34:H34 J34:V34">
    <cfRule type="containsText" dxfId="3951" priority="18" operator="containsText" text="SIN FACTURA">
      <formula>NOT(ISERROR(SEARCH("SIN FACTURA",C34)))</formula>
    </cfRule>
  </conditionalFormatting>
  <conditionalFormatting sqref="C36:H36 J36:V36">
    <cfRule type="containsText" dxfId="3950" priority="17" operator="containsText" text="SIN FACTURA">
      <formula>NOT(ISERROR(SEARCH("SIN FACTURA",C36)))</formula>
    </cfRule>
  </conditionalFormatting>
  <conditionalFormatting sqref="C38:H38 J38:V38">
    <cfRule type="containsText" dxfId="3949" priority="16" operator="containsText" text="SIN FACTURA">
      <formula>NOT(ISERROR(SEARCH("SIN FACTURA",C38)))</formula>
    </cfRule>
  </conditionalFormatting>
  <conditionalFormatting sqref="C40:H40 J40:V40">
    <cfRule type="containsText" dxfId="3948" priority="15" operator="containsText" text="SIN FACTURA">
      <formula>NOT(ISERROR(SEARCH("SIN FACTURA",C40)))</formula>
    </cfRule>
  </conditionalFormatting>
  <conditionalFormatting sqref="C42:H42 J42:V42">
    <cfRule type="containsText" dxfId="3947" priority="14" operator="containsText" text="SIN FACTURA">
      <formula>NOT(ISERROR(SEARCH("SIN FACTURA",C42)))</formula>
    </cfRule>
  </conditionalFormatting>
  <conditionalFormatting sqref="C44:H44 J44:V44">
    <cfRule type="containsText" dxfId="3946" priority="13" operator="containsText" text="SIN FACTURA">
      <formula>NOT(ISERROR(SEARCH("SIN FACTURA",C44)))</formula>
    </cfRule>
  </conditionalFormatting>
  <conditionalFormatting sqref="A14:B14">
    <cfRule type="containsText" dxfId="3945" priority="12" operator="containsText" text="SIN FACTURA">
      <formula>NOT(ISERROR(SEARCH("SIN FACTURA",A14)))</formula>
    </cfRule>
  </conditionalFormatting>
  <conditionalFormatting sqref="A24:B24">
    <cfRule type="containsText" dxfId="3944" priority="11" operator="containsText" text="SIN FACTURA">
      <formula>NOT(ISERROR(SEARCH("SIN FACTURA",A24)))</formula>
    </cfRule>
  </conditionalFormatting>
  <conditionalFormatting sqref="A26:B26">
    <cfRule type="containsText" dxfId="3943" priority="10" operator="containsText" text="SIN FACTURA">
      <formula>NOT(ISERROR(SEARCH("SIN FACTURA",A26)))</formula>
    </cfRule>
  </conditionalFormatting>
  <conditionalFormatting sqref="A28:B28">
    <cfRule type="containsText" dxfId="3942" priority="9" operator="containsText" text="SIN FACTURA">
      <formula>NOT(ISERROR(SEARCH("SIN FACTURA",A28)))</formula>
    </cfRule>
  </conditionalFormatting>
  <conditionalFormatting sqref="A30:B30">
    <cfRule type="containsText" dxfId="3941" priority="8" operator="containsText" text="SIN FACTURA">
      <formula>NOT(ISERROR(SEARCH("SIN FACTURA",A30)))</formula>
    </cfRule>
  </conditionalFormatting>
  <conditionalFormatting sqref="A32:B32">
    <cfRule type="containsText" dxfId="3940" priority="7" operator="containsText" text="SIN FACTURA">
      <formula>NOT(ISERROR(SEARCH("SIN FACTURA",A32)))</formula>
    </cfRule>
  </conditionalFormatting>
  <conditionalFormatting sqref="A44:B44">
    <cfRule type="containsText" dxfId="3939" priority="1" operator="containsText" text="SIN FACTURA">
      <formula>NOT(ISERROR(SEARCH("SIN FACTURA",A44)))</formula>
    </cfRule>
  </conditionalFormatting>
  <conditionalFormatting sqref="A34:B34">
    <cfRule type="containsText" dxfId="3938" priority="6" operator="containsText" text="SIN FACTURA">
      <formula>NOT(ISERROR(SEARCH("SIN FACTURA",A34)))</formula>
    </cfRule>
  </conditionalFormatting>
  <conditionalFormatting sqref="A36:B36">
    <cfRule type="containsText" dxfId="3937" priority="5" operator="containsText" text="SIN FACTURA">
      <formula>NOT(ISERROR(SEARCH("SIN FACTURA",A36)))</formula>
    </cfRule>
  </conditionalFormatting>
  <conditionalFormatting sqref="A38:B38">
    <cfRule type="containsText" dxfId="3936" priority="4" operator="containsText" text="SIN FACTURA">
      <formula>NOT(ISERROR(SEARCH("SIN FACTURA",A38)))</formula>
    </cfRule>
  </conditionalFormatting>
  <conditionalFormatting sqref="A40:B40">
    <cfRule type="containsText" dxfId="3935" priority="3" operator="containsText" text="SIN FACTURA">
      <formula>NOT(ISERROR(SEARCH("SIN FACTURA",A40)))</formula>
    </cfRule>
  </conditionalFormatting>
  <conditionalFormatting sqref="A42:B42">
    <cfRule type="containsText" dxfId="3934" priority="2" operator="containsText" text="SIN FACTURA">
      <formula>NOT(ISERROR(SEARCH("SIN FACTURA",A42)))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11"/>
  <dimension ref="A1:Y33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5"/>
    </sheetView>
  </sheetViews>
  <sheetFormatPr baseColWidth="10" defaultColWidth="10.875" defaultRowHeight="15.75"/>
  <cols>
    <col min="1" max="1" width="22.5" style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162</v>
      </c>
      <c r="B1" s="18"/>
      <c r="C1" s="20"/>
      <c r="D1" s="5">
        <v>459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3" si="0">F5-G5-H5</f>
        <v>0</v>
      </c>
      <c r="J5" s="44">
        <f t="shared" ref="J5:J33" si="1">S5+T5</f>
        <v>0</v>
      </c>
      <c r="K5" s="44">
        <f t="shared" ref="K5:K33" si="2">I5-J5</f>
        <v>0</v>
      </c>
      <c r="L5" s="45"/>
      <c r="M5" s="40"/>
      <c r="N5" s="43">
        <f t="shared" ref="N5:N33" si="3">I5-J5-M5-R5</f>
        <v>0</v>
      </c>
      <c r="O5" s="43">
        <f t="shared" ref="O5:O33" si="4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 t="shared" si="2"/>
        <v>0</v>
      </c>
      <c r="L7" s="45"/>
      <c r="M7" s="40"/>
      <c r="N7" s="43">
        <f>I7-J7-M7-R7</f>
        <v>0</v>
      </c>
      <c r="O7" s="43">
        <f>R7+S7+T7</f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0" ht="15">
      <c r="A33" s="50"/>
      <c r="B33" s="51"/>
      <c r="C33" s="52"/>
      <c r="D33" s="50"/>
      <c r="E33" s="50"/>
      <c r="F33" s="50"/>
      <c r="G33" s="43">
        <f>F33*6%</f>
        <v>0</v>
      </c>
      <c r="H33" s="53"/>
      <c r="I33" s="78">
        <f t="shared" si="0"/>
        <v>0</v>
      </c>
      <c r="J33" s="54">
        <f t="shared" si="1"/>
        <v>0</v>
      </c>
      <c r="K33" s="54">
        <f t="shared" si="2"/>
        <v>0</v>
      </c>
      <c r="L33" s="55"/>
      <c r="M33" s="50"/>
      <c r="N33" s="53">
        <f t="shared" si="3"/>
        <v>0</v>
      </c>
      <c r="O33" s="53">
        <f t="shared" si="4"/>
        <v>0</v>
      </c>
      <c r="P33" s="56"/>
      <c r="Q33" s="50"/>
      <c r="R33" s="50"/>
      <c r="S33" s="50"/>
      <c r="T3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933" priority="26" operator="containsText" text="SIN FACTURA ">
      <formula>NOT(ISERROR(SEARCH("SIN FACTURA ",A2)))</formula>
    </cfRule>
  </conditionalFormatting>
  <conditionalFormatting sqref="J33:T33 J31:T31 J29:T29 J27:T27 J25:T25 J23:T23 J21:T21 J19:T19 J17:T17 J15:T15 J13:T13 A13:H13 A15:H15 A17:H17 A19:H19 A21:H21 A23:H23 A25:H25 A27:H27 A29:H29 A31:H31 A33:H33 A4:T4 J5:T11 I5:I33 A5:H11">
    <cfRule type="containsText" dxfId="3932" priority="25" operator="containsText" text="SIN FACTURA">
      <formula>NOT(ISERROR(SEARCH("SIN FACTURA",A4)))</formula>
    </cfRule>
  </conditionalFormatting>
  <conditionalFormatting sqref="C12:H12 J12:V12">
    <cfRule type="containsText" dxfId="3931" priority="23" operator="containsText" text="SIN FACTURA">
      <formula>NOT(ISERROR(SEARCH("SIN FACTURA",C12)))</formula>
    </cfRule>
  </conditionalFormatting>
  <conditionalFormatting sqref="C14:H14 J14:V14">
    <cfRule type="containsText" dxfId="3930" priority="22" operator="containsText" text="SIN FACTURA">
      <formula>NOT(ISERROR(SEARCH("SIN FACTURA",C14)))</formula>
    </cfRule>
  </conditionalFormatting>
  <conditionalFormatting sqref="C16:H16 J16:V16">
    <cfRule type="containsText" dxfId="3929" priority="21" operator="containsText" text="SIN FACTURA">
      <formula>NOT(ISERROR(SEARCH("SIN FACTURA",C16)))</formula>
    </cfRule>
  </conditionalFormatting>
  <conditionalFormatting sqref="C18:H18 J18:V18">
    <cfRule type="containsText" dxfId="3928" priority="20" operator="containsText" text="SIN FACTURA">
      <formula>NOT(ISERROR(SEARCH("SIN FACTURA",C18)))</formula>
    </cfRule>
  </conditionalFormatting>
  <conditionalFormatting sqref="C20:H20 J20:V20">
    <cfRule type="containsText" dxfId="3927" priority="19" operator="containsText" text="SIN FACTURA">
      <formula>NOT(ISERROR(SEARCH("SIN FACTURA",C20)))</formula>
    </cfRule>
  </conditionalFormatting>
  <conditionalFormatting sqref="C22:H22 J22:V22">
    <cfRule type="containsText" dxfId="3926" priority="18" operator="containsText" text="SIN FACTURA">
      <formula>NOT(ISERROR(SEARCH("SIN FACTURA",C22)))</formula>
    </cfRule>
  </conditionalFormatting>
  <conditionalFormatting sqref="C24:H24 J24:V24">
    <cfRule type="containsText" dxfId="3925" priority="17" operator="containsText" text="SIN FACTURA">
      <formula>NOT(ISERROR(SEARCH("SIN FACTURA",C24)))</formula>
    </cfRule>
  </conditionalFormatting>
  <conditionalFormatting sqref="C26:H26 J26:V26">
    <cfRule type="containsText" dxfId="3924" priority="16" operator="containsText" text="SIN FACTURA">
      <formula>NOT(ISERROR(SEARCH("SIN FACTURA",C26)))</formula>
    </cfRule>
  </conditionalFormatting>
  <conditionalFormatting sqref="C28:H28 J28:V28">
    <cfRule type="containsText" dxfId="3923" priority="15" operator="containsText" text="SIN FACTURA">
      <formula>NOT(ISERROR(SEARCH("SIN FACTURA",C28)))</formula>
    </cfRule>
  </conditionalFormatting>
  <conditionalFormatting sqref="C30:H30 J30:V30">
    <cfRule type="containsText" dxfId="3922" priority="14" operator="containsText" text="SIN FACTURA">
      <formula>NOT(ISERROR(SEARCH("SIN FACTURA",C30)))</formula>
    </cfRule>
  </conditionalFormatting>
  <conditionalFormatting sqref="C32:H32 J32:V32">
    <cfRule type="containsText" dxfId="3921" priority="13" operator="containsText" text="SIN FACTURA">
      <formula>NOT(ISERROR(SEARCH("SIN FACTURA",C32)))</formula>
    </cfRule>
  </conditionalFormatting>
  <conditionalFormatting sqref="A12:B12">
    <cfRule type="containsText" dxfId="3920" priority="11" operator="containsText" text="SIN FACTURA">
      <formula>NOT(ISERROR(SEARCH("SIN FACTURA",A12)))</formula>
    </cfRule>
  </conditionalFormatting>
  <conditionalFormatting sqref="A14:B14">
    <cfRule type="containsText" dxfId="3919" priority="10" operator="containsText" text="SIN FACTURA">
      <formula>NOT(ISERROR(SEARCH("SIN FACTURA",A14)))</formula>
    </cfRule>
  </conditionalFormatting>
  <conditionalFormatting sqref="A16:B16">
    <cfRule type="containsText" dxfId="3918" priority="9" operator="containsText" text="SIN FACTURA">
      <formula>NOT(ISERROR(SEARCH("SIN FACTURA",A16)))</formula>
    </cfRule>
  </conditionalFormatting>
  <conditionalFormatting sqref="A18:B18">
    <cfRule type="containsText" dxfId="3917" priority="8" operator="containsText" text="SIN FACTURA">
      <formula>NOT(ISERROR(SEARCH("SIN FACTURA",A18)))</formula>
    </cfRule>
  </conditionalFormatting>
  <conditionalFormatting sqref="A20:B20">
    <cfRule type="containsText" dxfId="3916" priority="7" operator="containsText" text="SIN FACTURA">
      <formula>NOT(ISERROR(SEARCH("SIN FACTURA",A20)))</formula>
    </cfRule>
  </conditionalFormatting>
  <conditionalFormatting sqref="A32:B32">
    <cfRule type="containsText" dxfId="3915" priority="6" operator="containsText" text="SIN FACTURA">
      <formula>NOT(ISERROR(SEARCH("SIN FACTURA",A32)))</formula>
    </cfRule>
  </conditionalFormatting>
  <conditionalFormatting sqref="A22:B22">
    <cfRule type="containsText" dxfId="3914" priority="5" operator="containsText" text="SIN FACTURA">
      <formula>NOT(ISERROR(SEARCH("SIN FACTURA",A22)))</formula>
    </cfRule>
  </conditionalFormatting>
  <conditionalFormatting sqref="A24:B24">
    <cfRule type="containsText" dxfId="3913" priority="4" operator="containsText" text="SIN FACTURA">
      <formula>NOT(ISERROR(SEARCH("SIN FACTURA",A24)))</formula>
    </cfRule>
  </conditionalFormatting>
  <conditionalFormatting sqref="A26:B26">
    <cfRule type="containsText" dxfId="3912" priority="3" operator="containsText" text="SIN FACTURA">
      <formula>NOT(ISERROR(SEARCH("SIN FACTURA",A26)))</formula>
    </cfRule>
  </conditionalFormatting>
  <conditionalFormatting sqref="A28:B28">
    <cfRule type="containsText" dxfId="3911" priority="2" operator="containsText" text="SIN FACTURA">
      <formula>NOT(ISERROR(SEARCH("SIN FACTURA",A28)))</formula>
    </cfRule>
  </conditionalFormatting>
  <conditionalFormatting sqref="A30:B30">
    <cfRule type="containsText" dxfId="3910" priority="1" operator="containsText" text="SIN FACTURA">
      <formula>NOT(ISERROR(SEARCH("SIN FACTURA",A30)))</formula>
    </cfRule>
  </conditionalFormatting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Hoja3"/>
  <dimension ref="A1:Y37"/>
  <sheetViews>
    <sheetView zoomScale="125" zoomScaleNormal="125" zoomScalePageLayoutView="125" workbookViewId="0">
      <pane ySplit="3" topLeftCell="A4" activePane="bottomLeft" state="frozen"/>
      <selection activeCell="C52" sqref="C52"/>
      <selection pane="bottomLeft" activeCell="A5" sqref="A5:XFD8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70</v>
      </c>
      <c r="B1" s="18" t="s">
        <v>30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7"/>
      <c r="H4" s="37"/>
      <c r="I4" s="37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27" si="0">F5-G5-H5</f>
        <v>0</v>
      </c>
      <c r="J5" s="44">
        <f t="shared" ref="J5:J27" si="1">S5+T5</f>
        <v>0</v>
      </c>
      <c r="K5" s="44">
        <f t="shared" ref="K5:K27" si="2">I5-J5</f>
        <v>0</v>
      </c>
      <c r="L5" s="45"/>
      <c r="M5" s="40"/>
      <c r="N5" s="43">
        <f t="shared" ref="N5:N27" si="3">I5-J5-M5-R5</f>
        <v>0</v>
      </c>
      <c r="O5" s="43">
        <f t="shared" ref="O5:O27" si="4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2"/>
      <c r="D6" s="33"/>
      <c r="E6" s="34"/>
      <c r="F6" s="32"/>
      <c r="G6" s="32"/>
      <c r="H6" s="32"/>
      <c r="I6" s="37"/>
      <c r="J6" s="37"/>
      <c r="K6" s="35"/>
      <c r="L6" s="35"/>
      <c r="M6" s="35"/>
      <c r="N6" s="36"/>
      <c r="O6" s="32"/>
      <c r="P6" s="37"/>
      <c r="Q6" s="37"/>
      <c r="R6" s="38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  <c r="U8" s="6"/>
      <c r="V8" s="6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  <c r="U10" s="6"/>
      <c r="V10" s="6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58"/>
      <c r="B28" s="59"/>
      <c r="C28" s="60"/>
      <c r="D28" s="58"/>
      <c r="E28" s="58"/>
      <c r="F28" s="58"/>
      <c r="G28" s="58"/>
      <c r="H28" s="58"/>
      <c r="I28" s="61"/>
      <c r="J28" s="61"/>
      <c r="K28" s="61"/>
      <c r="L28" s="62"/>
      <c r="M28" s="58"/>
      <c r="N28" s="63"/>
      <c r="O28" s="63"/>
      <c r="P28" s="64"/>
      <c r="Q28" s="58"/>
      <c r="R28" s="58"/>
      <c r="S28" s="58"/>
      <c r="T28" s="68"/>
    </row>
    <row r="29" spans="1:22" ht="15">
      <c r="A29" s="40"/>
      <c r="B29" s="41"/>
      <c r="C29" s="42"/>
      <c r="D29" s="40"/>
      <c r="E29" s="40"/>
      <c r="F29" s="40"/>
      <c r="G29" s="40"/>
      <c r="H29" s="40"/>
      <c r="I29" s="44"/>
      <c r="J29" s="44"/>
      <c r="K29" s="44"/>
      <c r="L29" s="45"/>
      <c r="M29" s="40"/>
      <c r="N29" s="43"/>
      <c r="O29" s="43"/>
      <c r="P29" s="46"/>
      <c r="Q29" s="40"/>
      <c r="R29" s="40"/>
      <c r="S29" s="40"/>
      <c r="T29" s="5"/>
    </row>
    <row r="30" spans="1:22" ht="15">
      <c r="A30" s="58"/>
      <c r="B30" s="59"/>
      <c r="C30" s="60"/>
      <c r="D30" s="58"/>
      <c r="E30" s="58"/>
      <c r="F30" s="58"/>
      <c r="G30" s="58"/>
      <c r="H30" s="58"/>
      <c r="I30" s="61"/>
      <c r="J30" s="61"/>
      <c r="K30" s="61"/>
      <c r="L30" s="62"/>
      <c r="M30" s="58"/>
      <c r="N30" s="63"/>
      <c r="O30" s="63"/>
      <c r="P30" s="64"/>
      <c r="Q30" s="58"/>
      <c r="R30" s="58"/>
      <c r="S30" s="58"/>
      <c r="T30" s="68"/>
    </row>
    <row r="31" spans="1:22" ht="15">
      <c r="A31" s="40"/>
      <c r="B31" s="41"/>
      <c r="C31" s="42"/>
      <c r="D31" s="40"/>
      <c r="E31" s="40"/>
      <c r="F31" s="40"/>
      <c r="G31" s="40"/>
      <c r="H31" s="40"/>
      <c r="I31" s="44"/>
      <c r="J31" s="44"/>
      <c r="K31" s="44"/>
      <c r="L31" s="45"/>
      <c r="M31" s="40"/>
      <c r="N31" s="43"/>
      <c r="O31" s="43"/>
      <c r="P31" s="46"/>
      <c r="Q31" s="40"/>
      <c r="R31" s="40"/>
      <c r="S31" s="40"/>
      <c r="T31" s="5"/>
    </row>
    <row r="32" spans="1:22" ht="15">
      <c r="A32" s="58"/>
      <c r="B32" s="59"/>
      <c r="C32" s="60"/>
      <c r="D32" s="58"/>
      <c r="E32" s="58"/>
      <c r="F32" s="58"/>
      <c r="G32" s="58"/>
      <c r="H32" s="58"/>
      <c r="I32" s="61"/>
      <c r="J32" s="61"/>
      <c r="K32" s="61"/>
      <c r="L32" s="62"/>
      <c r="M32" s="58"/>
      <c r="N32" s="63"/>
      <c r="O32" s="63"/>
      <c r="P32" s="64"/>
      <c r="Q32" s="58"/>
      <c r="R32" s="58"/>
      <c r="S32" s="58"/>
      <c r="T32" s="68"/>
    </row>
    <row r="33" spans="1:20" ht="15">
      <c r="A33" s="40"/>
      <c r="B33" s="41"/>
      <c r="C33" s="42"/>
      <c r="D33" s="40"/>
      <c r="E33" s="40"/>
      <c r="F33" s="40"/>
      <c r="G33" s="40"/>
      <c r="H33" s="40"/>
      <c r="I33" s="44"/>
      <c r="J33" s="44"/>
      <c r="K33" s="44"/>
      <c r="L33" s="45"/>
      <c r="M33" s="40"/>
      <c r="N33" s="43"/>
      <c r="O33" s="43"/>
      <c r="P33" s="46"/>
      <c r="Q33" s="40"/>
      <c r="R33" s="40"/>
      <c r="S33" s="40"/>
      <c r="T33" s="5"/>
    </row>
    <row r="34" spans="1:20" ht="15">
      <c r="A34" s="58"/>
      <c r="B34" s="59"/>
      <c r="C34" s="60"/>
      <c r="D34" s="58"/>
      <c r="E34" s="58"/>
      <c r="F34" s="58"/>
      <c r="G34" s="58"/>
      <c r="H34" s="58"/>
      <c r="I34" s="61"/>
      <c r="J34" s="61"/>
      <c r="K34" s="61"/>
      <c r="L34" s="62"/>
      <c r="M34" s="58"/>
      <c r="N34" s="63"/>
      <c r="O34" s="63"/>
      <c r="P34" s="64"/>
      <c r="Q34" s="58"/>
      <c r="R34" s="58"/>
      <c r="S34" s="58"/>
      <c r="T34" s="68"/>
    </row>
    <row r="35" spans="1:20" ht="15">
      <c r="A35" s="40"/>
      <c r="B35" s="41"/>
      <c r="C35" s="42"/>
      <c r="D35" s="40"/>
      <c r="E35" s="40"/>
      <c r="F35" s="40"/>
      <c r="G35" s="40"/>
      <c r="H35" s="40"/>
      <c r="I35" s="44"/>
      <c r="J35" s="44"/>
      <c r="K35" s="44"/>
      <c r="L35" s="45"/>
      <c r="M35" s="40"/>
      <c r="N35" s="43"/>
      <c r="O35" s="43"/>
      <c r="P35" s="46"/>
      <c r="Q35" s="40"/>
      <c r="R35" s="40"/>
      <c r="S35" s="40"/>
      <c r="T35" s="5"/>
    </row>
    <row r="36" spans="1:20" ht="15">
      <c r="A36" s="58"/>
      <c r="B36" s="59"/>
      <c r="C36" s="60"/>
      <c r="D36" s="58"/>
      <c r="E36" s="58"/>
      <c r="F36" s="58"/>
      <c r="G36" s="58"/>
      <c r="H36" s="58"/>
      <c r="I36" s="61"/>
      <c r="J36" s="61"/>
      <c r="K36" s="61"/>
      <c r="L36" s="62"/>
      <c r="M36" s="58"/>
      <c r="N36" s="63"/>
      <c r="O36" s="63"/>
      <c r="P36" s="64"/>
      <c r="Q36" s="58"/>
      <c r="R36" s="58"/>
      <c r="S36" s="58"/>
      <c r="T36" s="68"/>
    </row>
    <row r="37" spans="1:20" ht="15">
      <c r="A37" s="50"/>
      <c r="B37" s="51"/>
      <c r="C37" s="52"/>
      <c r="D37" s="50"/>
      <c r="E37" s="50"/>
      <c r="F37" s="50"/>
      <c r="G37" s="50"/>
      <c r="H37" s="50"/>
      <c r="I37" s="54"/>
      <c r="J37" s="54"/>
      <c r="K37" s="54"/>
      <c r="L37" s="55"/>
      <c r="M37" s="50"/>
      <c r="N37" s="53"/>
      <c r="O37" s="53"/>
      <c r="P37" s="56"/>
      <c r="Q37" s="50"/>
      <c r="R37" s="50"/>
      <c r="S37" s="50"/>
      <c r="T37" s="5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3909" priority="33" operator="containsText" text="SIN FACTURA ">
      <formula>NOT(ISERROR(SEARCH("SIN FACTURA ",A2)))</formula>
    </cfRule>
  </conditionalFormatting>
  <conditionalFormatting sqref="A28:T37 I4:I27 J4:T5 A4:H5">
    <cfRule type="containsText" dxfId="3908" priority="32" operator="containsText" text="SIN FACTURA">
      <formula>NOT(ISERROR(SEARCH("SIN FACTURA",A4)))</formula>
    </cfRule>
  </conditionalFormatting>
  <conditionalFormatting sqref="J27:T27 J25:T25 J23:T23 J21:T21 J19:T19 J17:T17 J15:T15 J13:T13 J11:T11 J9:T9 J7:T7 A7:H7 A9:H9 A11:H11 A13:H13 A15:H15 A17:H17 A19:H19 A21:H21 A23:H23 A25:H25 A27:H27">
    <cfRule type="containsText" dxfId="3907" priority="27" operator="containsText" text="SIN FACTURA">
      <formula>NOT(ISERROR(SEARCH("SIN FACTURA",A7)))</formula>
    </cfRule>
  </conditionalFormatting>
  <conditionalFormatting sqref="C6:H6 J6:V6">
    <cfRule type="containsText" dxfId="3906" priority="25" operator="containsText" text="SIN FACTURA">
      <formula>NOT(ISERROR(SEARCH("SIN FACTURA",C6)))</formula>
    </cfRule>
  </conditionalFormatting>
  <conditionalFormatting sqref="C8:H8 J8:V8">
    <cfRule type="containsText" dxfId="3905" priority="24" operator="containsText" text="SIN FACTURA">
      <formula>NOT(ISERROR(SEARCH("SIN FACTURA",C8)))</formula>
    </cfRule>
  </conditionalFormatting>
  <conditionalFormatting sqref="C10:H10 J10:V10">
    <cfRule type="containsText" dxfId="3904" priority="23" operator="containsText" text="SIN FACTURA">
      <formula>NOT(ISERROR(SEARCH("SIN FACTURA",C10)))</formula>
    </cfRule>
  </conditionalFormatting>
  <conditionalFormatting sqref="C12:H12 J12:V12">
    <cfRule type="containsText" dxfId="3903" priority="22" operator="containsText" text="SIN FACTURA">
      <formula>NOT(ISERROR(SEARCH("SIN FACTURA",C12)))</formula>
    </cfRule>
  </conditionalFormatting>
  <conditionalFormatting sqref="C14:H14 J14:V14">
    <cfRule type="containsText" dxfId="3902" priority="21" operator="containsText" text="SIN FACTURA">
      <formula>NOT(ISERROR(SEARCH("SIN FACTURA",C14)))</formula>
    </cfRule>
  </conditionalFormatting>
  <conditionalFormatting sqref="C16:H16 J16:V16">
    <cfRule type="containsText" dxfId="3901" priority="20" operator="containsText" text="SIN FACTURA">
      <formula>NOT(ISERROR(SEARCH("SIN FACTURA",C16)))</formula>
    </cfRule>
  </conditionalFormatting>
  <conditionalFormatting sqref="C18:H18 J18:V18">
    <cfRule type="containsText" dxfId="3900" priority="19" operator="containsText" text="SIN FACTURA">
      <formula>NOT(ISERROR(SEARCH("SIN FACTURA",C18)))</formula>
    </cfRule>
  </conditionalFormatting>
  <conditionalFormatting sqref="C20:H20 J20:V20">
    <cfRule type="containsText" dxfId="3899" priority="18" operator="containsText" text="SIN FACTURA">
      <formula>NOT(ISERROR(SEARCH("SIN FACTURA",C20)))</formula>
    </cfRule>
  </conditionalFormatting>
  <conditionalFormatting sqref="C22:H22 J22:V22">
    <cfRule type="containsText" dxfId="3898" priority="17" operator="containsText" text="SIN FACTURA">
      <formula>NOT(ISERROR(SEARCH("SIN FACTURA",C22)))</formula>
    </cfRule>
  </conditionalFormatting>
  <conditionalFormatting sqref="C24:H24 J24:V24">
    <cfRule type="containsText" dxfId="3897" priority="16" operator="containsText" text="SIN FACTURA">
      <formula>NOT(ISERROR(SEARCH("SIN FACTURA",C24)))</formula>
    </cfRule>
  </conditionalFormatting>
  <conditionalFormatting sqref="C26:H26 J26:V26">
    <cfRule type="containsText" dxfId="3896" priority="15" operator="containsText" text="SIN FACTURA">
      <formula>NOT(ISERROR(SEARCH("SIN FACTURA",C26)))</formula>
    </cfRule>
  </conditionalFormatting>
  <conditionalFormatting sqref="A6:B6">
    <cfRule type="containsText" dxfId="3895" priority="13" operator="containsText" text="SIN FACTURA">
      <formula>NOT(ISERROR(SEARCH("SIN FACTURA",A6)))</formula>
    </cfRule>
  </conditionalFormatting>
  <conditionalFormatting sqref="A8:B8">
    <cfRule type="containsText" dxfId="3894" priority="12" operator="containsText" text="SIN FACTURA">
      <formula>NOT(ISERROR(SEARCH("SIN FACTURA",A8)))</formula>
    </cfRule>
  </conditionalFormatting>
  <conditionalFormatting sqref="A10:B10">
    <cfRule type="containsText" dxfId="3893" priority="11" operator="containsText" text="SIN FACTURA">
      <formula>NOT(ISERROR(SEARCH("SIN FACTURA",A10)))</formula>
    </cfRule>
  </conditionalFormatting>
  <conditionalFormatting sqref="A12:B12">
    <cfRule type="containsText" dxfId="3892" priority="10" operator="containsText" text="SIN FACTURA">
      <formula>NOT(ISERROR(SEARCH("SIN FACTURA",A12)))</formula>
    </cfRule>
  </conditionalFormatting>
  <conditionalFormatting sqref="A14:B14">
    <cfRule type="containsText" dxfId="3891" priority="9" operator="containsText" text="SIN FACTURA">
      <formula>NOT(ISERROR(SEARCH("SIN FACTURA",A14)))</formula>
    </cfRule>
  </conditionalFormatting>
  <conditionalFormatting sqref="A16:B16">
    <cfRule type="containsText" dxfId="3890" priority="8" operator="containsText" text="SIN FACTURA">
      <formula>NOT(ISERROR(SEARCH("SIN FACTURA",A16)))</formula>
    </cfRule>
  </conditionalFormatting>
  <conditionalFormatting sqref="A18:B18">
    <cfRule type="containsText" dxfId="3889" priority="7" operator="containsText" text="SIN FACTURA">
      <formula>NOT(ISERROR(SEARCH("SIN FACTURA",A18)))</formula>
    </cfRule>
  </conditionalFormatting>
  <conditionalFormatting sqref="A20:B20">
    <cfRule type="containsText" dxfId="3888" priority="6" operator="containsText" text="SIN FACTURA">
      <formula>NOT(ISERROR(SEARCH("SIN FACTURA",A20)))</formula>
    </cfRule>
  </conditionalFormatting>
  <conditionalFormatting sqref="A22:B22">
    <cfRule type="containsText" dxfId="3887" priority="5" operator="containsText" text="SIN FACTURA">
      <formula>NOT(ISERROR(SEARCH("SIN FACTURA",A22)))</formula>
    </cfRule>
  </conditionalFormatting>
  <conditionalFormatting sqref="A24:B24">
    <cfRule type="containsText" dxfId="3886" priority="4" operator="containsText" text="SIN FACTURA">
      <formula>NOT(ISERROR(SEARCH("SIN FACTURA",A24)))</formula>
    </cfRule>
  </conditionalFormatting>
  <conditionalFormatting sqref="A26:B26">
    <cfRule type="containsText" dxfId="3885" priority="3" operator="containsText" text="SIN FACTURA">
      <formula>NOT(ISERROR(SEARCH("SIN FACTURA",A26)))</formula>
    </cfRule>
  </conditionalFormatting>
  <pageMargins left="0.75" right="0.75" top="1" bottom="1" header="0.5" footer="0.5"/>
  <pageSetup paperSize="9"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>
  <sheetPr codeName="Hoja81"/>
  <dimension ref="A1:Y26"/>
  <sheetViews>
    <sheetView zoomScale="125" zoomScaleNormal="125" zoomScalePageLayoutView="125" workbookViewId="0">
      <pane ySplit="1" topLeftCell="A2" activePane="bottomLeft" state="frozen"/>
      <selection activeCell="D26" sqref="D26"/>
      <selection pane="bottomLeft" activeCell="A5" sqref="A5:XFD25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5" width="10.875" style="1"/>
    <col min="16" max="16" width="10.875" style="212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78</v>
      </c>
      <c r="B1" s="18" t="s">
        <v>120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207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208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209"/>
      <c r="Q4" s="32"/>
      <c r="R4" s="32"/>
      <c r="S4" s="32"/>
      <c r="T4" s="39"/>
    </row>
    <row r="5" spans="1:25" ht="15">
      <c r="A5" s="32"/>
      <c r="B5" s="33"/>
      <c r="C5" s="32"/>
      <c r="D5" s="33"/>
      <c r="E5" s="34"/>
      <c r="F5" s="32"/>
      <c r="G5" s="32"/>
      <c r="H5" s="32"/>
      <c r="I5" s="37"/>
      <c r="J5" s="37"/>
      <c r="K5" s="35"/>
      <c r="L5" s="35"/>
      <c r="M5" s="35"/>
      <c r="N5" s="36"/>
      <c r="O5" s="32"/>
      <c r="P5" s="210"/>
      <c r="Q5" s="37"/>
      <c r="R5" s="38"/>
      <c r="S5" s="32"/>
      <c r="T5" s="39"/>
    </row>
    <row r="6" spans="1:25" ht="15">
      <c r="A6" s="40"/>
      <c r="B6" s="41"/>
      <c r="C6" s="42"/>
      <c r="D6" s="40"/>
      <c r="E6" s="40"/>
      <c r="F6" s="40"/>
      <c r="G6" s="43">
        <f>F6*6%</f>
        <v>0</v>
      </c>
      <c r="H6" s="43"/>
      <c r="I6" s="44">
        <f t="shared" ref="I6:I26" si="0">F6-G6-H6</f>
        <v>0</v>
      </c>
      <c r="J6" s="44">
        <f t="shared" ref="J6:J26" si="1">S6+T6</f>
        <v>0</v>
      </c>
      <c r="K6" s="44">
        <f t="shared" ref="K6:K26" si="2">I6-J6</f>
        <v>0</v>
      </c>
      <c r="L6" s="45"/>
      <c r="M6" s="40"/>
      <c r="N6" s="43">
        <f t="shared" ref="N6:N26" si="3">I6-J6-M6-R6</f>
        <v>0</v>
      </c>
      <c r="O6" s="43">
        <f t="shared" ref="O6:O26" si="4">R6+S6+T6</f>
        <v>0</v>
      </c>
      <c r="P6" s="105"/>
      <c r="Q6" s="40"/>
      <c r="R6" s="40"/>
      <c r="S6" s="40"/>
      <c r="T6" s="5"/>
    </row>
    <row r="7" spans="1:25" ht="15">
      <c r="A7" s="32"/>
      <c r="B7" s="33"/>
      <c r="C7" s="32"/>
      <c r="D7" s="33"/>
      <c r="E7" s="34"/>
      <c r="F7" s="32"/>
      <c r="G7" s="37"/>
      <c r="H7" s="32"/>
      <c r="I7" s="37"/>
      <c r="J7" s="37"/>
      <c r="K7" s="35"/>
      <c r="L7" s="35"/>
      <c r="M7" s="35"/>
      <c r="N7" s="36"/>
      <c r="O7" s="32"/>
      <c r="P7" s="210"/>
      <c r="Q7" s="37"/>
      <c r="R7" s="38"/>
      <c r="S7" s="32"/>
      <c r="T7" s="39"/>
      <c r="U7" s="6"/>
      <c r="V7" s="6"/>
    </row>
    <row r="8" spans="1:25" ht="15">
      <c r="A8" s="40"/>
      <c r="B8" s="41"/>
      <c r="C8" s="42"/>
      <c r="D8" s="40"/>
      <c r="E8" s="40"/>
      <c r="F8" s="40"/>
      <c r="G8" s="43">
        <f>F8*6%</f>
        <v>0</v>
      </c>
      <c r="H8" s="43"/>
      <c r="I8" s="44">
        <f t="shared" si="0"/>
        <v>0</v>
      </c>
      <c r="J8" s="44">
        <f t="shared" si="1"/>
        <v>0</v>
      </c>
      <c r="K8" s="44">
        <f t="shared" si="2"/>
        <v>0</v>
      </c>
      <c r="L8" s="45"/>
      <c r="M8" s="40"/>
      <c r="N8" s="43">
        <f t="shared" si="3"/>
        <v>0</v>
      </c>
      <c r="O8" s="43">
        <f t="shared" si="4"/>
        <v>0</v>
      </c>
      <c r="P8" s="105"/>
      <c r="Q8" s="40"/>
      <c r="R8" s="40"/>
      <c r="S8" s="40"/>
      <c r="T8" s="5"/>
    </row>
    <row r="9" spans="1:25" ht="15">
      <c r="A9" s="32"/>
      <c r="B9" s="33"/>
      <c r="C9" s="32"/>
      <c r="D9" s="33"/>
      <c r="E9" s="34"/>
      <c r="F9" s="32"/>
      <c r="G9" s="32"/>
      <c r="H9" s="32"/>
      <c r="I9" s="37"/>
      <c r="J9" s="37"/>
      <c r="K9" s="35"/>
      <c r="L9" s="35"/>
      <c r="M9" s="35"/>
      <c r="N9" s="36"/>
      <c r="O9" s="32"/>
      <c r="P9" s="210"/>
      <c r="Q9" s="37"/>
      <c r="R9" s="38"/>
      <c r="S9" s="32"/>
      <c r="T9" s="39"/>
      <c r="U9" s="6"/>
      <c r="V9" s="6"/>
    </row>
    <row r="10" spans="1:25" ht="15">
      <c r="A10" s="40"/>
      <c r="B10" s="41"/>
      <c r="C10" s="42"/>
      <c r="D10" s="40"/>
      <c r="E10" s="40"/>
      <c r="F10" s="40"/>
      <c r="G10" s="43">
        <f>F10*6%</f>
        <v>0</v>
      </c>
      <c r="H10" s="43"/>
      <c r="I10" s="44">
        <f t="shared" si="0"/>
        <v>0</v>
      </c>
      <c r="J10" s="44">
        <f t="shared" si="1"/>
        <v>0</v>
      </c>
      <c r="K10" s="44">
        <f t="shared" si="2"/>
        <v>0</v>
      </c>
      <c r="L10" s="45"/>
      <c r="M10" s="40"/>
      <c r="N10" s="43">
        <f t="shared" si="3"/>
        <v>0</v>
      </c>
      <c r="O10" s="43">
        <f t="shared" si="4"/>
        <v>0</v>
      </c>
      <c r="P10" s="105"/>
      <c r="Q10" s="40"/>
      <c r="R10" s="40"/>
      <c r="S10" s="40"/>
      <c r="T10" s="5"/>
    </row>
    <row r="11" spans="1:25" ht="15">
      <c r="A11" s="32"/>
      <c r="B11" s="33"/>
      <c r="C11" s="32"/>
      <c r="D11" s="33"/>
      <c r="E11" s="34"/>
      <c r="F11" s="32"/>
      <c r="G11" s="32"/>
      <c r="H11" s="32"/>
      <c r="I11" s="37"/>
      <c r="J11" s="37"/>
      <c r="K11" s="35"/>
      <c r="L11" s="35"/>
      <c r="M11" s="35"/>
      <c r="N11" s="36"/>
      <c r="O11" s="32"/>
      <c r="P11" s="210"/>
      <c r="Q11" s="37"/>
      <c r="R11" s="38"/>
      <c r="S11" s="32"/>
      <c r="T11" s="39"/>
      <c r="U11" s="6"/>
      <c r="V11" s="6"/>
    </row>
    <row r="12" spans="1:25" ht="15">
      <c r="A12" s="40"/>
      <c r="B12" s="41"/>
      <c r="C12" s="42"/>
      <c r="D12" s="40"/>
      <c r="E12" s="40"/>
      <c r="F12" s="40"/>
      <c r="G12" s="43">
        <f>F12*6%</f>
        <v>0</v>
      </c>
      <c r="H12" s="43"/>
      <c r="I12" s="44">
        <f t="shared" si="0"/>
        <v>0</v>
      </c>
      <c r="J12" s="44">
        <f t="shared" si="1"/>
        <v>0</v>
      </c>
      <c r="K12" s="44">
        <f t="shared" si="2"/>
        <v>0</v>
      </c>
      <c r="L12" s="45"/>
      <c r="M12" s="40"/>
      <c r="N12" s="43">
        <f t="shared" si="3"/>
        <v>0</v>
      </c>
      <c r="O12" s="43">
        <f t="shared" si="4"/>
        <v>0</v>
      </c>
      <c r="P12" s="105"/>
      <c r="Q12" s="40"/>
      <c r="R12" s="40"/>
      <c r="S12" s="40"/>
      <c r="T12" s="5"/>
    </row>
    <row r="13" spans="1:25" ht="15">
      <c r="A13" s="32"/>
      <c r="B13" s="33"/>
      <c r="C13" s="32"/>
      <c r="D13" s="33"/>
      <c r="E13" s="34"/>
      <c r="F13" s="32"/>
      <c r="G13" s="32"/>
      <c r="H13" s="32"/>
      <c r="I13" s="37"/>
      <c r="J13" s="37"/>
      <c r="K13" s="35"/>
      <c r="L13" s="35"/>
      <c r="M13" s="35"/>
      <c r="N13" s="36"/>
      <c r="O13" s="32"/>
      <c r="P13" s="210"/>
      <c r="Q13" s="37"/>
      <c r="R13" s="38"/>
      <c r="S13" s="32"/>
      <c r="T13" s="39"/>
      <c r="U13" s="6"/>
      <c r="V13" s="6"/>
    </row>
    <row r="14" spans="1:25" ht="15">
      <c r="A14" s="40"/>
      <c r="B14" s="41"/>
      <c r="C14" s="42"/>
      <c r="D14" s="40"/>
      <c r="E14" s="40"/>
      <c r="F14" s="40"/>
      <c r="G14" s="43">
        <f>F14*6%</f>
        <v>0</v>
      </c>
      <c r="H14" s="43"/>
      <c r="I14" s="44">
        <f t="shared" si="0"/>
        <v>0</v>
      </c>
      <c r="J14" s="44">
        <f t="shared" si="1"/>
        <v>0</v>
      </c>
      <c r="K14" s="44">
        <f t="shared" si="2"/>
        <v>0</v>
      </c>
      <c r="L14" s="45"/>
      <c r="M14" s="40"/>
      <c r="N14" s="43">
        <f t="shared" si="3"/>
        <v>0</v>
      </c>
      <c r="O14" s="43">
        <f t="shared" si="4"/>
        <v>0</v>
      </c>
      <c r="P14" s="105"/>
      <c r="Q14" s="40"/>
      <c r="R14" s="40"/>
      <c r="S14" s="40"/>
      <c r="T14" s="5"/>
    </row>
    <row r="15" spans="1:25" ht="15">
      <c r="A15" s="32"/>
      <c r="B15" s="33"/>
      <c r="C15" s="32"/>
      <c r="D15" s="33"/>
      <c r="E15" s="34"/>
      <c r="F15" s="32"/>
      <c r="G15" s="32"/>
      <c r="H15" s="32"/>
      <c r="I15" s="37"/>
      <c r="J15" s="37"/>
      <c r="K15" s="35"/>
      <c r="L15" s="35"/>
      <c r="M15" s="35"/>
      <c r="N15" s="36"/>
      <c r="O15" s="32"/>
      <c r="P15" s="210"/>
      <c r="Q15" s="37"/>
      <c r="R15" s="38"/>
      <c r="S15" s="32"/>
      <c r="T15" s="39"/>
      <c r="U15" s="6"/>
      <c r="V15" s="6"/>
    </row>
    <row r="16" spans="1:25" ht="15">
      <c r="A16" s="40"/>
      <c r="B16" s="41"/>
      <c r="C16" s="42"/>
      <c r="D16" s="40"/>
      <c r="E16" s="40"/>
      <c r="F16" s="40"/>
      <c r="G16" s="43">
        <f>F16*6%</f>
        <v>0</v>
      </c>
      <c r="H16" s="43"/>
      <c r="I16" s="44">
        <f t="shared" si="0"/>
        <v>0</v>
      </c>
      <c r="J16" s="44">
        <f t="shared" si="1"/>
        <v>0</v>
      </c>
      <c r="K16" s="44">
        <f t="shared" si="2"/>
        <v>0</v>
      </c>
      <c r="L16" s="45"/>
      <c r="M16" s="40"/>
      <c r="N16" s="43">
        <f t="shared" si="3"/>
        <v>0</v>
      </c>
      <c r="O16" s="43">
        <f t="shared" si="4"/>
        <v>0</v>
      </c>
      <c r="P16" s="105"/>
      <c r="Q16" s="40"/>
      <c r="R16" s="40"/>
      <c r="S16" s="40"/>
      <c r="T16" s="5"/>
    </row>
    <row r="17" spans="1:22" ht="15">
      <c r="A17" s="32"/>
      <c r="B17" s="33"/>
      <c r="C17" s="32"/>
      <c r="D17" s="33"/>
      <c r="E17" s="34"/>
      <c r="F17" s="32"/>
      <c r="G17" s="32"/>
      <c r="H17" s="32"/>
      <c r="I17" s="37"/>
      <c r="J17" s="37"/>
      <c r="K17" s="35"/>
      <c r="L17" s="35"/>
      <c r="M17" s="35"/>
      <c r="N17" s="36"/>
      <c r="O17" s="32"/>
      <c r="P17" s="210"/>
      <c r="Q17" s="37"/>
      <c r="R17" s="38"/>
      <c r="S17" s="32"/>
      <c r="T17" s="39"/>
      <c r="U17" s="6"/>
      <c r="V17" s="6"/>
    </row>
    <row r="18" spans="1:22" ht="15">
      <c r="A18" s="40"/>
      <c r="B18" s="41"/>
      <c r="C18" s="42"/>
      <c r="D18" s="40"/>
      <c r="E18" s="40"/>
      <c r="F18" s="40"/>
      <c r="G18" s="43">
        <f>F18*6%</f>
        <v>0</v>
      </c>
      <c r="H18" s="43"/>
      <c r="I18" s="44">
        <f t="shared" si="0"/>
        <v>0</v>
      </c>
      <c r="J18" s="44">
        <f t="shared" si="1"/>
        <v>0</v>
      </c>
      <c r="K18" s="44">
        <f t="shared" si="2"/>
        <v>0</v>
      </c>
      <c r="L18" s="45"/>
      <c r="M18" s="40"/>
      <c r="N18" s="43">
        <f t="shared" si="3"/>
        <v>0</v>
      </c>
      <c r="O18" s="43">
        <f t="shared" si="4"/>
        <v>0</v>
      </c>
      <c r="P18" s="105"/>
      <c r="Q18" s="40"/>
      <c r="R18" s="40"/>
      <c r="S18" s="40"/>
      <c r="T18" s="5"/>
    </row>
    <row r="19" spans="1:22" ht="15">
      <c r="A19" s="32"/>
      <c r="B19" s="33"/>
      <c r="C19" s="32"/>
      <c r="D19" s="33"/>
      <c r="E19" s="34"/>
      <c r="F19" s="32"/>
      <c r="G19" s="32"/>
      <c r="H19" s="32"/>
      <c r="I19" s="37"/>
      <c r="J19" s="37"/>
      <c r="K19" s="35"/>
      <c r="L19" s="35"/>
      <c r="M19" s="35"/>
      <c r="N19" s="36"/>
      <c r="O19" s="32"/>
      <c r="P19" s="210"/>
      <c r="Q19" s="37"/>
      <c r="R19" s="38"/>
      <c r="S19" s="32"/>
      <c r="T19" s="39"/>
      <c r="U19" s="6"/>
      <c r="V19" s="6"/>
    </row>
    <row r="20" spans="1:22" ht="15">
      <c r="A20" s="40"/>
      <c r="B20" s="41"/>
      <c r="C20" s="42"/>
      <c r="D20" s="40"/>
      <c r="E20" s="40"/>
      <c r="F20" s="40"/>
      <c r="G20" s="43">
        <f>F20*6%</f>
        <v>0</v>
      </c>
      <c r="H20" s="43"/>
      <c r="I20" s="44">
        <f t="shared" si="0"/>
        <v>0</v>
      </c>
      <c r="J20" s="44">
        <f t="shared" si="1"/>
        <v>0</v>
      </c>
      <c r="K20" s="44">
        <f t="shared" si="2"/>
        <v>0</v>
      </c>
      <c r="L20" s="45"/>
      <c r="M20" s="40"/>
      <c r="N20" s="43">
        <f t="shared" si="3"/>
        <v>0</v>
      </c>
      <c r="O20" s="43">
        <f t="shared" si="4"/>
        <v>0</v>
      </c>
      <c r="P20" s="105"/>
      <c r="Q20" s="40"/>
      <c r="R20" s="40"/>
      <c r="S20" s="40"/>
      <c r="T20" s="5"/>
    </row>
    <row r="21" spans="1:22" ht="15">
      <c r="A21" s="32"/>
      <c r="B21" s="33"/>
      <c r="C21" s="32"/>
      <c r="D21" s="33"/>
      <c r="E21" s="34"/>
      <c r="F21" s="32"/>
      <c r="G21" s="32"/>
      <c r="H21" s="32"/>
      <c r="I21" s="37"/>
      <c r="J21" s="37"/>
      <c r="K21" s="35"/>
      <c r="L21" s="35"/>
      <c r="M21" s="35"/>
      <c r="N21" s="36"/>
      <c r="O21" s="32"/>
      <c r="P21" s="210"/>
      <c r="Q21" s="37"/>
      <c r="R21" s="38"/>
      <c r="S21" s="32"/>
      <c r="T21" s="39"/>
      <c r="U21" s="6"/>
      <c r="V21" s="6"/>
    </row>
    <row r="22" spans="1:22" ht="15">
      <c r="A22" s="40"/>
      <c r="B22" s="41"/>
      <c r="C22" s="42"/>
      <c r="D22" s="40"/>
      <c r="E22" s="40"/>
      <c r="F22" s="40"/>
      <c r="G22" s="43">
        <f>F22*6%</f>
        <v>0</v>
      </c>
      <c r="H22" s="43"/>
      <c r="I22" s="44">
        <f t="shared" si="0"/>
        <v>0</v>
      </c>
      <c r="J22" s="44">
        <f t="shared" si="1"/>
        <v>0</v>
      </c>
      <c r="K22" s="44">
        <f t="shared" si="2"/>
        <v>0</v>
      </c>
      <c r="L22" s="45"/>
      <c r="M22" s="40"/>
      <c r="N22" s="43">
        <f t="shared" si="3"/>
        <v>0</v>
      </c>
      <c r="O22" s="43">
        <f t="shared" si="4"/>
        <v>0</v>
      </c>
      <c r="P22" s="105"/>
      <c r="Q22" s="40"/>
      <c r="R22" s="40"/>
      <c r="S22" s="40"/>
      <c r="T22" s="5"/>
    </row>
    <row r="23" spans="1:22" ht="15">
      <c r="A23" s="32"/>
      <c r="B23" s="33"/>
      <c r="C23" s="32"/>
      <c r="D23" s="33"/>
      <c r="E23" s="34"/>
      <c r="F23" s="32"/>
      <c r="G23" s="32"/>
      <c r="H23" s="32"/>
      <c r="I23" s="37"/>
      <c r="J23" s="37"/>
      <c r="K23" s="35"/>
      <c r="L23" s="35"/>
      <c r="M23" s="35"/>
      <c r="N23" s="36"/>
      <c r="O23" s="32"/>
      <c r="P23" s="210"/>
      <c r="Q23" s="37"/>
      <c r="R23" s="38"/>
      <c r="S23" s="32"/>
      <c r="T23" s="39"/>
      <c r="U23" s="6"/>
      <c r="V23" s="6"/>
    </row>
    <row r="24" spans="1:22" ht="15">
      <c r="A24" s="40"/>
      <c r="B24" s="41"/>
      <c r="C24" s="42"/>
      <c r="D24" s="40"/>
      <c r="E24" s="40"/>
      <c r="F24" s="40"/>
      <c r="G24" s="43">
        <f>F24*6%</f>
        <v>0</v>
      </c>
      <c r="H24" s="43"/>
      <c r="I24" s="44">
        <f t="shared" si="0"/>
        <v>0</v>
      </c>
      <c r="J24" s="44">
        <f t="shared" si="1"/>
        <v>0</v>
      </c>
      <c r="K24" s="44">
        <f t="shared" si="2"/>
        <v>0</v>
      </c>
      <c r="L24" s="45"/>
      <c r="M24" s="40"/>
      <c r="N24" s="43">
        <f t="shared" si="3"/>
        <v>0</v>
      </c>
      <c r="O24" s="43">
        <f t="shared" si="4"/>
        <v>0</v>
      </c>
      <c r="P24" s="105"/>
      <c r="Q24" s="40"/>
      <c r="R24" s="40"/>
      <c r="S24" s="40"/>
      <c r="T24" s="5"/>
    </row>
    <row r="25" spans="1:22" ht="15">
      <c r="A25" s="32"/>
      <c r="B25" s="33"/>
      <c r="C25" s="32"/>
      <c r="D25" s="33"/>
      <c r="E25" s="34"/>
      <c r="F25" s="32"/>
      <c r="G25" s="32"/>
      <c r="H25" s="32"/>
      <c r="I25" s="37"/>
      <c r="J25" s="37"/>
      <c r="K25" s="35"/>
      <c r="L25" s="35"/>
      <c r="M25" s="35"/>
      <c r="N25" s="36"/>
      <c r="O25" s="32"/>
      <c r="P25" s="210"/>
      <c r="Q25" s="37"/>
      <c r="R25" s="38"/>
      <c r="S25" s="32"/>
      <c r="T25" s="39"/>
      <c r="U25" s="6"/>
      <c r="V25" s="6"/>
    </row>
    <row r="26" spans="1:22" ht="15">
      <c r="A26" s="50"/>
      <c r="B26" s="51"/>
      <c r="C26" s="52"/>
      <c r="D26" s="50"/>
      <c r="E26" s="50"/>
      <c r="F26" s="50"/>
      <c r="G26" s="43">
        <f>F26*6%</f>
        <v>0</v>
      </c>
      <c r="H26" s="53"/>
      <c r="I26" s="78">
        <f t="shared" si="0"/>
        <v>0</v>
      </c>
      <c r="J26" s="54">
        <f t="shared" si="1"/>
        <v>0</v>
      </c>
      <c r="K26" s="54">
        <f t="shared" si="2"/>
        <v>0</v>
      </c>
      <c r="L26" s="55"/>
      <c r="M26" s="50"/>
      <c r="N26" s="53">
        <f t="shared" si="3"/>
        <v>0</v>
      </c>
      <c r="O26" s="53">
        <f t="shared" si="4"/>
        <v>0</v>
      </c>
      <c r="P26" s="211"/>
      <c r="Q26" s="50"/>
      <c r="R26" s="50"/>
      <c r="S26" s="50"/>
      <c r="T26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884" priority="28" operator="containsText" text="SIN FACTURA ">
      <formula>NOT(ISERROR(SEARCH("SIN FACTURA ",A2)))</formula>
    </cfRule>
  </conditionalFormatting>
  <conditionalFormatting sqref="J26:T26 J24:T24 J22:T22 J20:T20 J18:T18 J16:T16 J14:T14 J12:T12 J10:T10 J8:T8 J6:T6 A6:H6 A8:H8 A10:H10 A12:H12 A14:H14 A16:H16 A18:H18 A20:H20 A22:H22 A24:H24 A26:H26 A4:T4 I5:I26">
    <cfRule type="containsText" dxfId="3883" priority="27" operator="containsText" text="SIN FACTURA">
      <formula>NOT(ISERROR(SEARCH("SIN FACTURA",A4)))</formula>
    </cfRule>
  </conditionalFormatting>
  <conditionalFormatting sqref="C5:H5 J5:V5">
    <cfRule type="containsText" dxfId="3882" priority="25" operator="containsText" text="SIN FACTURA">
      <formula>NOT(ISERROR(SEARCH("SIN FACTURA",C5)))</formula>
    </cfRule>
  </conditionalFormatting>
  <conditionalFormatting sqref="C7:H7 J7:V7">
    <cfRule type="containsText" dxfId="3881" priority="24" operator="containsText" text="SIN FACTURA">
      <formula>NOT(ISERROR(SEARCH("SIN FACTURA",C7)))</formula>
    </cfRule>
  </conditionalFormatting>
  <conditionalFormatting sqref="C9:H9 J9:V9">
    <cfRule type="containsText" dxfId="3880" priority="23" operator="containsText" text="SIN FACTURA">
      <formula>NOT(ISERROR(SEARCH("SIN FACTURA",C9)))</formula>
    </cfRule>
  </conditionalFormatting>
  <conditionalFormatting sqref="C11:H11 J11:V11">
    <cfRule type="containsText" dxfId="3879" priority="22" operator="containsText" text="SIN FACTURA">
      <formula>NOT(ISERROR(SEARCH("SIN FACTURA",C11)))</formula>
    </cfRule>
  </conditionalFormatting>
  <conditionalFormatting sqref="C13:H13 J13:V13">
    <cfRule type="containsText" dxfId="3878" priority="21" operator="containsText" text="SIN FACTURA">
      <formula>NOT(ISERROR(SEARCH("SIN FACTURA",C13)))</formula>
    </cfRule>
  </conditionalFormatting>
  <conditionalFormatting sqref="C15:H15 J15:V15">
    <cfRule type="containsText" dxfId="3877" priority="20" operator="containsText" text="SIN FACTURA">
      <formula>NOT(ISERROR(SEARCH("SIN FACTURA",C15)))</formula>
    </cfRule>
  </conditionalFormatting>
  <conditionalFormatting sqref="C17:H17 J17:V17">
    <cfRule type="containsText" dxfId="3876" priority="19" operator="containsText" text="SIN FACTURA">
      <formula>NOT(ISERROR(SEARCH("SIN FACTURA",C17)))</formula>
    </cfRule>
  </conditionalFormatting>
  <conditionalFormatting sqref="C19:H19 J19:V19">
    <cfRule type="containsText" dxfId="3875" priority="18" operator="containsText" text="SIN FACTURA">
      <formula>NOT(ISERROR(SEARCH("SIN FACTURA",C19)))</formula>
    </cfRule>
  </conditionalFormatting>
  <conditionalFormatting sqref="C21:H21 J21:V21">
    <cfRule type="containsText" dxfId="3874" priority="17" operator="containsText" text="SIN FACTURA">
      <formula>NOT(ISERROR(SEARCH("SIN FACTURA",C21)))</formula>
    </cfRule>
  </conditionalFormatting>
  <conditionalFormatting sqref="C23:H23 J23:V23">
    <cfRule type="containsText" dxfId="3873" priority="16" operator="containsText" text="SIN FACTURA">
      <formula>NOT(ISERROR(SEARCH("SIN FACTURA",C23)))</formula>
    </cfRule>
  </conditionalFormatting>
  <conditionalFormatting sqref="C25:H25 J25:V25">
    <cfRule type="containsText" dxfId="3872" priority="15" operator="containsText" text="SIN FACTURA">
      <formula>NOT(ISERROR(SEARCH("SIN FACTURA",C25)))</formula>
    </cfRule>
  </conditionalFormatting>
  <conditionalFormatting sqref="A5:B5">
    <cfRule type="containsText" dxfId="3871" priority="13" operator="containsText" text="SIN FACTURA">
      <formula>NOT(ISERROR(SEARCH("SIN FACTURA",A5)))</formula>
    </cfRule>
  </conditionalFormatting>
  <conditionalFormatting sqref="A7:B7">
    <cfRule type="containsText" dxfId="3870" priority="12" operator="containsText" text="SIN FACTURA">
      <formula>NOT(ISERROR(SEARCH("SIN FACTURA",A7)))</formula>
    </cfRule>
  </conditionalFormatting>
  <conditionalFormatting sqref="A9:B9">
    <cfRule type="containsText" dxfId="3869" priority="11" operator="containsText" text="SIN FACTURA">
      <formula>NOT(ISERROR(SEARCH("SIN FACTURA",A9)))</formula>
    </cfRule>
  </conditionalFormatting>
  <conditionalFormatting sqref="A11:B11">
    <cfRule type="containsText" dxfId="3868" priority="10" operator="containsText" text="SIN FACTURA">
      <formula>NOT(ISERROR(SEARCH("SIN FACTURA",A11)))</formula>
    </cfRule>
  </conditionalFormatting>
  <conditionalFormatting sqref="A13:B13">
    <cfRule type="containsText" dxfId="3867" priority="9" operator="containsText" text="SIN FACTURA">
      <formula>NOT(ISERROR(SEARCH("SIN FACTURA",A13)))</formula>
    </cfRule>
  </conditionalFormatting>
  <conditionalFormatting sqref="A25:B25">
    <cfRule type="containsText" dxfId="3866" priority="3" operator="containsText" text="SIN FACTURA">
      <formula>NOT(ISERROR(SEARCH("SIN FACTURA",A25)))</formula>
    </cfRule>
  </conditionalFormatting>
  <conditionalFormatting sqref="A15:B15">
    <cfRule type="containsText" dxfId="3865" priority="8" operator="containsText" text="SIN FACTURA">
      <formula>NOT(ISERROR(SEARCH("SIN FACTURA",A15)))</formula>
    </cfRule>
  </conditionalFormatting>
  <conditionalFormatting sqref="A17:B17">
    <cfRule type="containsText" dxfId="3864" priority="7" operator="containsText" text="SIN FACTURA">
      <formula>NOT(ISERROR(SEARCH("SIN FACTURA",A17)))</formula>
    </cfRule>
  </conditionalFormatting>
  <conditionalFormatting sqref="A19:B19">
    <cfRule type="containsText" dxfId="3863" priority="6" operator="containsText" text="SIN FACTURA">
      <formula>NOT(ISERROR(SEARCH("SIN FACTURA",A19)))</formula>
    </cfRule>
  </conditionalFormatting>
  <conditionalFormatting sqref="A21:B21">
    <cfRule type="containsText" dxfId="3862" priority="5" operator="containsText" text="SIN FACTURA">
      <formula>NOT(ISERROR(SEARCH("SIN FACTURA",A21)))</formula>
    </cfRule>
  </conditionalFormatting>
  <conditionalFormatting sqref="A23:B23">
    <cfRule type="containsText" dxfId="3861" priority="4" operator="containsText" text="SIN FACTURA">
      <formula>NOT(ISERROR(SEARCH("SIN FACTURA",A23)))</formula>
    </cfRule>
  </conditionalFormatting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 codeName="Hoja14"/>
  <dimension ref="A1:Y41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17" sqref="A5:XFD17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186</v>
      </c>
      <c r="B1" s="18"/>
      <c r="C1" s="20"/>
      <c r="D1" s="5">
        <v>374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1" si="0">F5-G5-H5</f>
        <v>0</v>
      </c>
      <c r="J5" s="44">
        <f t="shared" ref="J5:J41" si="1">S5+T5</f>
        <v>0</v>
      </c>
      <c r="K5" s="44">
        <f t="shared" ref="K5:K41" si="2">I5-J5</f>
        <v>0</v>
      </c>
      <c r="L5" s="45"/>
      <c r="M5" s="40"/>
      <c r="N5" s="43">
        <f t="shared" ref="N5:N41" si="3">I5-J5-M5-R5</f>
        <v>0</v>
      </c>
      <c r="O5" s="43">
        <f t="shared" ref="O5:O41" si="4">R5+S5+T5</f>
        <v>0</v>
      </c>
      <c r="P5" s="46"/>
      <c r="Q5" s="40"/>
      <c r="R5" s="43"/>
      <c r="S5" s="43"/>
      <c r="T5" s="49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>I7-J7</f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>S15+T15</f>
        <v>0</v>
      </c>
      <c r="K15" s="44">
        <f t="shared" si="2"/>
        <v>0</v>
      </c>
      <c r="L15" s="45"/>
      <c r="M15" s="40"/>
      <c r="N15" s="43">
        <f>I15-J15-M15-R15</f>
        <v>0</v>
      </c>
      <c r="O15" s="43">
        <f>R15+S15+T15</f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50"/>
      <c r="B41" s="51"/>
      <c r="C41" s="52"/>
      <c r="D41" s="50"/>
      <c r="E41" s="50"/>
      <c r="F41" s="50"/>
      <c r="G41" s="43">
        <f>F41*6%</f>
        <v>0</v>
      </c>
      <c r="H41" s="53"/>
      <c r="I41" s="78">
        <f t="shared" si="0"/>
        <v>0</v>
      </c>
      <c r="J41" s="54">
        <f t="shared" si="1"/>
        <v>0</v>
      </c>
      <c r="K41" s="54">
        <f t="shared" si="2"/>
        <v>0</v>
      </c>
      <c r="L41" s="55"/>
      <c r="M41" s="50"/>
      <c r="N41" s="53">
        <f t="shared" si="3"/>
        <v>0</v>
      </c>
      <c r="O41" s="53">
        <f t="shared" si="4"/>
        <v>0</v>
      </c>
      <c r="P41" s="56"/>
      <c r="Q41" s="50"/>
      <c r="R41" s="50"/>
      <c r="S41" s="50"/>
      <c r="T41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860" priority="26" operator="containsText" text="SIN FACTURA ">
      <formula>NOT(ISERROR(SEARCH("SIN FACTURA ",A2)))</formula>
    </cfRule>
  </conditionalFormatting>
  <conditionalFormatting sqref="J41:T41 J39:T39 J37:T37 J35:T35 J33:T33 J31:T31 J29:T29 J27:T27 J25:T25 J23:T23 J21:T21 J11:T19 A11:H19 A21:H21 A23:H23 A25:H25 A27:H27 A29:H29 A31:H31 A33:H33 A35:H35 A37:H37 A39:H39 A41:H41 I5:I41 A5:H9 A4:T4 J5:T9">
    <cfRule type="containsText" dxfId="3859" priority="25" operator="containsText" text="SIN FACTURA">
      <formula>NOT(ISERROR(SEARCH("SIN FACTURA",A4)))</formula>
    </cfRule>
  </conditionalFormatting>
  <conditionalFormatting sqref="C10:H10 J10:V10">
    <cfRule type="containsText" dxfId="3858" priority="24" operator="containsText" text="SIN FACTURA">
      <formula>NOT(ISERROR(SEARCH("SIN FACTURA",C10)))</formula>
    </cfRule>
  </conditionalFormatting>
  <conditionalFormatting sqref="C20:H20 J20:V20">
    <cfRule type="containsText" dxfId="3857" priority="23" operator="containsText" text="SIN FACTURA">
      <formula>NOT(ISERROR(SEARCH("SIN FACTURA",C20)))</formula>
    </cfRule>
  </conditionalFormatting>
  <conditionalFormatting sqref="C22:H22 J22:V22">
    <cfRule type="containsText" dxfId="3856" priority="22" operator="containsText" text="SIN FACTURA">
      <formula>NOT(ISERROR(SEARCH("SIN FACTURA",C22)))</formula>
    </cfRule>
  </conditionalFormatting>
  <conditionalFormatting sqref="C24:H24 J24:V24">
    <cfRule type="containsText" dxfId="3855" priority="21" operator="containsText" text="SIN FACTURA">
      <formula>NOT(ISERROR(SEARCH("SIN FACTURA",C24)))</formula>
    </cfRule>
  </conditionalFormatting>
  <conditionalFormatting sqref="C26:H26 J26:V26">
    <cfRule type="containsText" dxfId="3854" priority="20" operator="containsText" text="SIN FACTURA">
      <formula>NOT(ISERROR(SEARCH("SIN FACTURA",C26)))</formula>
    </cfRule>
  </conditionalFormatting>
  <conditionalFormatting sqref="C28:H28 J28:V28">
    <cfRule type="containsText" dxfId="3853" priority="19" operator="containsText" text="SIN FACTURA">
      <formula>NOT(ISERROR(SEARCH("SIN FACTURA",C28)))</formula>
    </cfRule>
  </conditionalFormatting>
  <conditionalFormatting sqref="C30:H30 J30:V30">
    <cfRule type="containsText" dxfId="3852" priority="18" operator="containsText" text="SIN FACTURA">
      <formula>NOT(ISERROR(SEARCH("SIN FACTURA",C30)))</formula>
    </cfRule>
  </conditionalFormatting>
  <conditionalFormatting sqref="C32:H32 J32:V32">
    <cfRule type="containsText" dxfId="3851" priority="17" operator="containsText" text="SIN FACTURA">
      <formula>NOT(ISERROR(SEARCH("SIN FACTURA",C32)))</formula>
    </cfRule>
  </conditionalFormatting>
  <conditionalFormatting sqref="C34:H34 J34:V34">
    <cfRule type="containsText" dxfId="3850" priority="16" operator="containsText" text="SIN FACTURA">
      <formula>NOT(ISERROR(SEARCH("SIN FACTURA",C34)))</formula>
    </cfRule>
  </conditionalFormatting>
  <conditionalFormatting sqref="C36:H36 J36:V36">
    <cfRule type="containsText" dxfId="3849" priority="15" operator="containsText" text="SIN FACTURA">
      <formula>NOT(ISERROR(SEARCH("SIN FACTURA",C36)))</formula>
    </cfRule>
  </conditionalFormatting>
  <conditionalFormatting sqref="C38:H38 J38:V38">
    <cfRule type="containsText" dxfId="3848" priority="14" operator="containsText" text="SIN FACTURA">
      <formula>NOT(ISERROR(SEARCH("SIN FACTURA",C38)))</formula>
    </cfRule>
  </conditionalFormatting>
  <conditionalFormatting sqref="C40:H40 J40:V40">
    <cfRule type="containsText" dxfId="3847" priority="13" operator="containsText" text="SIN FACTURA">
      <formula>NOT(ISERROR(SEARCH("SIN FACTURA",C40)))</formula>
    </cfRule>
  </conditionalFormatting>
  <conditionalFormatting sqref="A10:B10">
    <cfRule type="containsText" dxfId="3846" priority="12" operator="containsText" text="SIN FACTURA">
      <formula>NOT(ISERROR(SEARCH("SIN FACTURA",A10)))</formula>
    </cfRule>
  </conditionalFormatting>
  <conditionalFormatting sqref="A20:B20">
    <cfRule type="containsText" dxfId="3845" priority="11" operator="containsText" text="SIN FACTURA">
      <formula>NOT(ISERROR(SEARCH("SIN FACTURA",A20)))</formula>
    </cfRule>
  </conditionalFormatting>
  <conditionalFormatting sqref="A22:B22">
    <cfRule type="containsText" dxfId="3844" priority="10" operator="containsText" text="SIN FACTURA">
      <formula>NOT(ISERROR(SEARCH("SIN FACTURA",A22)))</formula>
    </cfRule>
  </conditionalFormatting>
  <conditionalFormatting sqref="A24:B24">
    <cfRule type="containsText" dxfId="3843" priority="9" operator="containsText" text="SIN FACTURA">
      <formula>NOT(ISERROR(SEARCH("SIN FACTURA",A24)))</formula>
    </cfRule>
  </conditionalFormatting>
  <conditionalFormatting sqref="A26:B26">
    <cfRule type="containsText" dxfId="3842" priority="8" operator="containsText" text="SIN FACTURA">
      <formula>NOT(ISERROR(SEARCH("SIN FACTURA",A26)))</formula>
    </cfRule>
  </conditionalFormatting>
  <conditionalFormatting sqref="A28:B28">
    <cfRule type="containsText" dxfId="3841" priority="7" operator="containsText" text="SIN FACTURA">
      <formula>NOT(ISERROR(SEARCH("SIN FACTURA",A28)))</formula>
    </cfRule>
  </conditionalFormatting>
  <conditionalFormatting sqref="A40:B40">
    <cfRule type="containsText" dxfId="3840" priority="1" operator="containsText" text="SIN FACTURA">
      <formula>NOT(ISERROR(SEARCH("SIN FACTURA",A40)))</formula>
    </cfRule>
  </conditionalFormatting>
  <conditionalFormatting sqref="A30:B30">
    <cfRule type="containsText" dxfId="3839" priority="6" operator="containsText" text="SIN FACTURA">
      <formula>NOT(ISERROR(SEARCH("SIN FACTURA",A30)))</formula>
    </cfRule>
  </conditionalFormatting>
  <conditionalFormatting sqref="A32:B32">
    <cfRule type="containsText" dxfId="3838" priority="5" operator="containsText" text="SIN FACTURA">
      <formula>NOT(ISERROR(SEARCH("SIN FACTURA",A32)))</formula>
    </cfRule>
  </conditionalFormatting>
  <conditionalFormatting sqref="A34:B34">
    <cfRule type="containsText" dxfId="3837" priority="4" operator="containsText" text="SIN FACTURA">
      <formula>NOT(ISERROR(SEARCH("SIN FACTURA",A34)))</formula>
    </cfRule>
  </conditionalFormatting>
  <conditionalFormatting sqref="A36:B36">
    <cfRule type="containsText" dxfId="3836" priority="3" operator="containsText" text="SIN FACTURA">
      <formula>NOT(ISERROR(SEARCH("SIN FACTURA",A36)))</formula>
    </cfRule>
  </conditionalFormatting>
  <conditionalFormatting sqref="A38:B38">
    <cfRule type="containsText" dxfId="3835" priority="2" operator="containsText" text="SIN FACTURA">
      <formula>NOT(ISERROR(SEARCH("SIN FACTURA",A38)))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Hoja4"/>
  <dimension ref="A1:Y39"/>
  <sheetViews>
    <sheetView topLeftCell="B1" zoomScale="125" zoomScaleNormal="125" zoomScalePageLayoutView="125" workbookViewId="0">
      <pane ySplit="4" topLeftCell="A8" activePane="bottomLeft" state="frozen"/>
      <selection activeCell="C52" sqref="C52"/>
      <selection pane="bottomLeft" activeCell="B13" sqref="A8:XFD13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244</v>
      </c>
      <c r="B1" s="18" t="s">
        <v>54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 t="s">
        <v>236</v>
      </c>
      <c r="B5" s="41">
        <v>43671</v>
      </c>
      <c r="C5" s="42" t="s">
        <v>237</v>
      </c>
      <c r="D5" s="40">
        <v>360</v>
      </c>
      <c r="E5" s="40" t="s">
        <v>112</v>
      </c>
      <c r="F5" s="40">
        <v>360</v>
      </c>
      <c r="G5" s="43">
        <f>F5*6%</f>
        <v>21.599999999999998</v>
      </c>
      <c r="H5" s="43"/>
      <c r="I5" s="44">
        <f>F5-G5-H5</f>
        <v>338.4</v>
      </c>
      <c r="J5" s="44">
        <f t="shared" ref="J5:J39" si="0">S5+T5</f>
        <v>79.900000000000006</v>
      </c>
      <c r="K5" s="44">
        <f t="shared" ref="K5:K39" si="1">I5-J5</f>
        <v>258.5</v>
      </c>
      <c r="L5" s="45">
        <v>43678</v>
      </c>
      <c r="M5" s="40"/>
      <c r="N5" s="43">
        <f t="shared" ref="N5:N39" si="2">I5-J5-M5-R5</f>
        <v>-9.9999999999909051E-3</v>
      </c>
      <c r="O5" s="43">
        <f t="shared" ref="O5:O39" si="3">R5+S5+T5</f>
        <v>338.40999999999997</v>
      </c>
      <c r="P5" s="126" t="s">
        <v>245</v>
      </c>
      <c r="Q5" s="127" t="s">
        <v>185</v>
      </c>
      <c r="R5" s="40">
        <v>258.51</v>
      </c>
      <c r="S5" s="40">
        <v>76</v>
      </c>
      <c r="T5" s="5">
        <v>3.9</v>
      </c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 t="s">
        <v>241</v>
      </c>
      <c r="B7" s="41">
        <v>43671</v>
      </c>
      <c r="C7" s="42" t="s">
        <v>242</v>
      </c>
      <c r="D7" s="40">
        <v>150</v>
      </c>
      <c r="E7" s="40" t="s">
        <v>112</v>
      </c>
      <c r="F7" s="40">
        <v>150</v>
      </c>
      <c r="G7" s="43">
        <f>F7*6%</f>
        <v>9</v>
      </c>
      <c r="H7" s="43"/>
      <c r="I7" s="44">
        <f>F7-G7-H7</f>
        <v>141</v>
      </c>
      <c r="J7" s="44">
        <f t="shared" ref="J7" si="4">S7+T7</f>
        <v>43.6</v>
      </c>
      <c r="K7" s="44">
        <f t="shared" ref="K7" si="5">I7-J7</f>
        <v>97.4</v>
      </c>
      <c r="L7" s="45">
        <v>43678</v>
      </c>
      <c r="M7" s="40"/>
      <c r="N7" s="43">
        <f t="shared" ref="N7" si="6">I7-J7-M7-R7</f>
        <v>0</v>
      </c>
      <c r="O7" s="43">
        <f t="shared" ref="O7" si="7">R7+S7+T7</f>
        <v>141</v>
      </c>
      <c r="P7" s="46" t="s">
        <v>261</v>
      </c>
      <c r="Q7" s="40" t="s">
        <v>225</v>
      </c>
      <c r="R7" s="47">
        <v>97.4</v>
      </c>
      <c r="S7" s="47">
        <v>41.47</v>
      </c>
      <c r="T7" s="48">
        <v>2.13</v>
      </c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ref="I9:I39" si="8">F9-G9-H9</f>
        <v>0</v>
      </c>
      <c r="J9" s="44">
        <f t="shared" si="0"/>
        <v>0</v>
      </c>
      <c r="K9" s="44">
        <f t="shared" si="1"/>
        <v>0</v>
      </c>
      <c r="L9" s="45"/>
      <c r="M9" s="40"/>
      <c r="N9" s="43">
        <f t="shared" si="2"/>
        <v>0</v>
      </c>
      <c r="O9" s="43">
        <f t="shared" si="3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8"/>
        <v>0</v>
      </c>
      <c r="J11" s="44">
        <f t="shared" si="0"/>
        <v>0</v>
      </c>
      <c r="K11" s="44">
        <f t="shared" si="1"/>
        <v>0</v>
      </c>
      <c r="L11" s="45"/>
      <c r="M11" s="40"/>
      <c r="N11" s="43">
        <f t="shared" si="2"/>
        <v>0</v>
      </c>
      <c r="O11" s="43">
        <f t="shared" si="3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8"/>
        <v>0</v>
      </c>
      <c r="J13" s="44">
        <f>S13+T13</f>
        <v>0</v>
      </c>
      <c r="K13" s="44">
        <f t="shared" si="1"/>
        <v>0</v>
      </c>
      <c r="L13" s="45"/>
      <c r="M13" s="40"/>
      <c r="N13" s="43">
        <f>I13-J13-M13-R13</f>
        <v>0</v>
      </c>
      <c r="O13" s="43">
        <f>R13+S13+T13</f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8"/>
        <v>0</v>
      </c>
      <c r="J15" s="44">
        <f t="shared" si="0"/>
        <v>0</v>
      </c>
      <c r="K15" s="44">
        <f t="shared" si="1"/>
        <v>0</v>
      </c>
      <c r="L15" s="45"/>
      <c r="M15" s="40"/>
      <c r="N15" s="43">
        <f t="shared" si="2"/>
        <v>0</v>
      </c>
      <c r="O15" s="43">
        <f t="shared" si="3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8"/>
        <v>0</v>
      </c>
      <c r="J17" s="44">
        <f t="shared" si="0"/>
        <v>0</v>
      </c>
      <c r="K17" s="44">
        <f t="shared" si="1"/>
        <v>0</v>
      </c>
      <c r="L17" s="45"/>
      <c r="M17" s="40"/>
      <c r="N17" s="43">
        <f t="shared" si="2"/>
        <v>0</v>
      </c>
      <c r="O17" s="43">
        <f t="shared" si="3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8"/>
        <v>0</v>
      </c>
      <c r="J19" s="44">
        <f t="shared" si="0"/>
        <v>0</v>
      </c>
      <c r="K19" s="44">
        <f t="shared" si="1"/>
        <v>0</v>
      </c>
      <c r="L19" s="45"/>
      <c r="M19" s="40"/>
      <c r="N19" s="43">
        <f t="shared" si="2"/>
        <v>0</v>
      </c>
      <c r="O19" s="43">
        <f t="shared" si="3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8"/>
        <v>0</v>
      </c>
      <c r="J21" s="44">
        <f t="shared" si="0"/>
        <v>0</v>
      </c>
      <c r="K21" s="44">
        <f t="shared" si="1"/>
        <v>0</v>
      </c>
      <c r="L21" s="45"/>
      <c r="M21" s="40"/>
      <c r="N21" s="43">
        <f t="shared" si="2"/>
        <v>0</v>
      </c>
      <c r="O21" s="43">
        <f t="shared" si="3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8"/>
        <v>0</v>
      </c>
      <c r="J23" s="44">
        <f t="shared" si="0"/>
        <v>0</v>
      </c>
      <c r="K23" s="44">
        <f t="shared" si="1"/>
        <v>0</v>
      </c>
      <c r="L23" s="45"/>
      <c r="M23" s="40"/>
      <c r="N23" s="43">
        <f t="shared" si="2"/>
        <v>0</v>
      </c>
      <c r="O23" s="43">
        <f t="shared" si="3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8"/>
        <v>0</v>
      </c>
      <c r="J25" s="44">
        <f t="shared" si="0"/>
        <v>0</v>
      </c>
      <c r="K25" s="44">
        <f t="shared" si="1"/>
        <v>0</v>
      </c>
      <c r="L25" s="45"/>
      <c r="M25" s="40"/>
      <c r="N25" s="43">
        <f t="shared" si="2"/>
        <v>0</v>
      </c>
      <c r="O25" s="43">
        <f t="shared" si="3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8"/>
        <v>0</v>
      </c>
      <c r="J27" s="44">
        <f t="shared" si="0"/>
        <v>0</v>
      </c>
      <c r="K27" s="44">
        <f t="shared" si="1"/>
        <v>0</v>
      </c>
      <c r="L27" s="45"/>
      <c r="M27" s="40"/>
      <c r="N27" s="43">
        <f t="shared" si="2"/>
        <v>0</v>
      </c>
      <c r="O27" s="43">
        <f t="shared" si="3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8"/>
        <v>0</v>
      </c>
      <c r="J29" s="44">
        <f t="shared" si="0"/>
        <v>0</v>
      </c>
      <c r="K29" s="44">
        <f t="shared" si="1"/>
        <v>0</v>
      </c>
      <c r="L29" s="45"/>
      <c r="M29" s="40"/>
      <c r="N29" s="43">
        <f t="shared" si="2"/>
        <v>0</v>
      </c>
      <c r="O29" s="43">
        <f t="shared" si="3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8"/>
        <v>0</v>
      </c>
      <c r="J31" s="44">
        <f t="shared" si="0"/>
        <v>0</v>
      </c>
      <c r="K31" s="44">
        <f t="shared" si="1"/>
        <v>0</v>
      </c>
      <c r="L31" s="45"/>
      <c r="M31" s="40"/>
      <c r="N31" s="43">
        <f t="shared" si="2"/>
        <v>0</v>
      </c>
      <c r="O31" s="43">
        <f t="shared" si="3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8"/>
        <v>0</v>
      </c>
      <c r="J33" s="44">
        <f t="shared" si="0"/>
        <v>0</v>
      </c>
      <c r="K33" s="44">
        <f t="shared" si="1"/>
        <v>0</v>
      </c>
      <c r="L33" s="45"/>
      <c r="M33" s="40"/>
      <c r="N33" s="43">
        <f t="shared" si="2"/>
        <v>0</v>
      </c>
      <c r="O33" s="43">
        <f t="shared" si="3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8"/>
        <v>0</v>
      </c>
      <c r="J35" s="44">
        <f t="shared" si="0"/>
        <v>0</v>
      </c>
      <c r="K35" s="44">
        <f t="shared" si="1"/>
        <v>0</v>
      </c>
      <c r="L35" s="45"/>
      <c r="M35" s="40"/>
      <c r="N35" s="43">
        <f t="shared" si="2"/>
        <v>0</v>
      </c>
      <c r="O35" s="43">
        <f t="shared" si="3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8"/>
        <v>0</v>
      </c>
      <c r="J37" s="44">
        <f t="shared" si="0"/>
        <v>0</v>
      </c>
      <c r="K37" s="44">
        <f t="shared" si="1"/>
        <v>0</v>
      </c>
      <c r="L37" s="45"/>
      <c r="M37" s="40"/>
      <c r="N37" s="43">
        <f t="shared" si="2"/>
        <v>0</v>
      </c>
      <c r="O37" s="43">
        <f t="shared" si="3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50"/>
      <c r="B39" s="51"/>
      <c r="C39" s="52"/>
      <c r="D39" s="50"/>
      <c r="E39" s="50"/>
      <c r="F39" s="50"/>
      <c r="G39" s="43">
        <f>F39*6%</f>
        <v>0</v>
      </c>
      <c r="H39" s="53"/>
      <c r="I39" s="44">
        <f t="shared" si="8"/>
        <v>0</v>
      </c>
      <c r="J39" s="54">
        <f t="shared" si="0"/>
        <v>0</v>
      </c>
      <c r="K39" s="54">
        <f t="shared" si="1"/>
        <v>0</v>
      </c>
      <c r="L39" s="55"/>
      <c r="M39" s="50"/>
      <c r="N39" s="53">
        <f t="shared" si="2"/>
        <v>0</v>
      </c>
      <c r="O39" s="53">
        <f t="shared" si="3"/>
        <v>0</v>
      </c>
      <c r="P39" s="56"/>
      <c r="Q39" s="50"/>
      <c r="R39" s="50"/>
      <c r="S39" s="50"/>
      <c r="T39" s="5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3834" priority="28" operator="containsText" text="SIN FACTURA ">
      <formula>NOT(ISERROR(SEARCH("SIN FACTURA ",A2)))</formula>
    </cfRule>
  </conditionalFormatting>
  <conditionalFormatting sqref="A36:B36 I8:I39 A4:T7">
    <cfRule type="containsText" dxfId="3833" priority="2" operator="containsText" text="SIN FACTURA">
      <formula>NOT(ISERROR(SEARCH("SIN FACTURA",A4)))</formula>
    </cfRule>
  </conditionalFormatting>
  <conditionalFormatting sqref="A38:B38">
    <cfRule type="containsText" dxfId="3832" priority="1" operator="containsText" text="SIN FACTURA">
      <formula>NOT(ISERROR(SEARCH("SIN FACTURA",A38)))</formula>
    </cfRule>
  </conditionalFormatting>
  <conditionalFormatting sqref="J39:T39 J37:T37 J35:T35 J33:T33 J31:T31 J29:T29 J27:T27 J25:T25 J23:T23 J21:T21 J19:T19 J9:T17 A9:H17 A19:H19 A21:H21 A23:H23 A25:H25 A27:H27 A29:H29 A31:H31 A33:H33 A35:H35 A37:H37 A39:H39">
    <cfRule type="containsText" dxfId="3831" priority="25" operator="containsText" text="SIN FACTURA">
      <formula>NOT(ISERROR(SEARCH("SIN FACTURA",A9)))</formula>
    </cfRule>
  </conditionalFormatting>
  <conditionalFormatting sqref="C8:H8 J8:V8">
    <cfRule type="containsText" dxfId="3830" priority="24" operator="containsText" text="SIN FACTURA">
      <formula>NOT(ISERROR(SEARCH("SIN FACTURA",C8)))</formula>
    </cfRule>
  </conditionalFormatting>
  <conditionalFormatting sqref="C18:H18 J18:V18">
    <cfRule type="containsText" dxfId="3829" priority="23" operator="containsText" text="SIN FACTURA">
      <formula>NOT(ISERROR(SEARCH("SIN FACTURA",C18)))</formula>
    </cfRule>
  </conditionalFormatting>
  <conditionalFormatting sqref="C20:H20 J20:V20">
    <cfRule type="containsText" dxfId="3828" priority="22" operator="containsText" text="SIN FACTURA">
      <formula>NOT(ISERROR(SEARCH("SIN FACTURA",C20)))</formula>
    </cfRule>
  </conditionalFormatting>
  <conditionalFormatting sqref="C22:H22 J22:V22">
    <cfRule type="containsText" dxfId="3827" priority="21" operator="containsText" text="SIN FACTURA">
      <formula>NOT(ISERROR(SEARCH("SIN FACTURA",C22)))</formula>
    </cfRule>
  </conditionalFormatting>
  <conditionalFormatting sqref="C24:H24 J24:V24">
    <cfRule type="containsText" dxfId="3826" priority="20" operator="containsText" text="SIN FACTURA">
      <formula>NOT(ISERROR(SEARCH("SIN FACTURA",C24)))</formula>
    </cfRule>
  </conditionalFormatting>
  <conditionalFormatting sqref="C26:H26 J26:V26">
    <cfRule type="containsText" dxfId="3825" priority="19" operator="containsText" text="SIN FACTURA">
      <formula>NOT(ISERROR(SEARCH("SIN FACTURA",C26)))</formula>
    </cfRule>
  </conditionalFormatting>
  <conditionalFormatting sqref="C28:H28 J28:V28">
    <cfRule type="containsText" dxfId="3824" priority="18" operator="containsText" text="SIN FACTURA">
      <formula>NOT(ISERROR(SEARCH("SIN FACTURA",C28)))</formula>
    </cfRule>
  </conditionalFormatting>
  <conditionalFormatting sqref="C30:H30 J30:V30">
    <cfRule type="containsText" dxfId="3823" priority="17" operator="containsText" text="SIN FACTURA">
      <formula>NOT(ISERROR(SEARCH("SIN FACTURA",C30)))</formula>
    </cfRule>
  </conditionalFormatting>
  <conditionalFormatting sqref="C32:H32 J32:V32">
    <cfRule type="containsText" dxfId="3822" priority="16" operator="containsText" text="SIN FACTURA">
      <formula>NOT(ISERROR(SEARCH("SIN FACTURA",C32)))</formula>
    </cfRule>
  </conditionalFormatting>
  <conditionalFormatting sqref="C34:H34 J34:V34">
    <cfRule type="containsText" dxfId="3821" priority="15" operator="containsText" text="SIN FACTURA">
      <formula>NOT(ISERROR(SEARCH("SIN FACTURA",C34)))</formula>
    </cfRule>
  </conditionalFormatting>
  <conditionalFormatting sqref="C36:H36 J36:V36">
    <cfRule type="containsText" dxfId="3820" priority="14" operator="containsText" text="SIN FACTURA">
      <formula>NOT(ISERROR(SEARCH("SIN FACTURA",C36)))</formula>
    </cfRule>
  </conditionalFormatting>
  <conditionalFormatting sqref="C38:H38 J38:V38">
    <cfRule type="containsText" dxfId="3819" priority="13" operator="containsText" text="SIN FACTURA">
      <formula>NOT(ISERROR(SEARCH("SIN FACTURA",C38)))</formula>
    </cfRule>
  </conditionalFormatting>
  <conditionalFormatting sqref="A8:B8">
    <cfRule type="containsText" dxfId="3818" priority="12" operator="containsText" text="SIN FACTURA">
      <formula>NOT(ISERROR(SEARCH("SIN FACTURA",A8)))</formula>
    </cfRule>
  </conditionalFormatting>
  <conditionalFormatting sqref="A18:B18">
    <cfRule type="containsText" dxfId="3817" priority="11" operator="containsText" text="SIN FACTURA">
      <formula>NOT(ISERROR(SEARCH("SIN FACTURA",A18)))</formula>
    </cfRule>
  </conditionalFormatting>
  <conditionalFormatting sqref="A20:B20">
    <cfRule type="containsText" dxfId="3816" priority="10" operator="containsText" text="SIN FACTURA">
      <formula>NOT(ISERROR(SEARCH("SIN FACTURA",A20)))</formula>
    </cfRule>
  </conditionalFormatting>
  <conditionalFormatting sqref="A22:B22">
    <cfRule type="containsText" dxfId="3815" priority="9" operator="containsText" text="SIN FACTURA">
      <formula>NOT(ISERROR(SEARCH("SIN FACTURA",A22)))</formula>
    </cfRule>
  </conditionalFormatting>
  <conditionalFormatting sqref="A24:B24">
    <cfRule type="containsText" dxfId="3814" priority="8" operator="containsText" text="SIN FACTURA">
      <formula>NOT(ISERROR(SEARCH("SIN FACTURA",A24)))</formula>
    </cfRule>
  </conditionalFormatting>
  <conditionalFormatting sqref="A26:B26">
    <cfRule type="containsText" dxfId="3813" priority="7" operator="containsText" text="SIN FACTURA">
      <formula>NOT(ISERROR(SEARCH("SIN FACTURA",A26)))</formula>
    </cfRule>
  </conditionalFormatting>
  <conditionalFormatting sqref="A28:B28">
    <cfRule type="containsText" dxfId="3812" priority="6" operator="containsText" text="SIN FACTURA">
      <formula>NOT(ISERROR(SEARCH("SIN FACTURA",A28)))</formula>
    </cfRule>
  </conditionalFormatting>
  <conditionalFormatting sqref="A30:B30">
    <cfRule type="containsText" dxfId="3811" priority="5" operator="containsText" text="SIN FACTURA">
      <formula>NOT(ISERROR(SEARCH("SIN FACTURA",A30)))</formula>
    </cfRule>
  </conditionalFormatting>
  <conditionalFormatting sqref="A32:B32">
    <cfRule type="containsText" dxfId="3810" priority="4" operator="containsText" text="SIN FACTURA">
      <formula>NOT(ISERROR(SEARCH("SIN FACTURA",A32)))</formula>
    </cfRule>
  </conditionalFormatting>
  <conditionalFormatting sqref="A34:B34">
    <cfRule type="containsText" dxfId="3809" priority="3" operator="containsText" text="SIN FACTURA">
      <formula>NOT(ISERROR(SEARCH("SIN FACTURA",A34)))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Y33"/>
  <sheetViews>
    <sheetView zoomScale="125" zoomScaleNormal="125" zoomScalePageLayoutView="125" workbookViewId="0">
      <pane ySplit="3" topLeftCell="A4" activePane="bottomLeft" state="frozen"/>
      <selection activeCell="D26" sqref="D26"/>
      <selection pane="bottomLeft" activeCell="A15" sqref="A4:XFD15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244</v>
      </c>
      <c r="B1" s="18"/>
      <c r="C1" s="20">
        <v>315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7"/>
      <c r="H4" s="37"/>
      <c r="I4" s="37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3" si="0">F5-G5-H5</f>
        <v>0</v>
      </c>
      <c r="J5" s="44">
        <f t="shared" ref="J5:J33" si="1">S5+T5</f>
        <v>0</v>
      </c>
      <c r="K5" s="44">
        <f t="shared" ref="K5:K33" si="2">I5-J5</f>
        <v>0</v>
      </c>
      <c r="L5" s="45"/>
      <c r="M5" s="40"/>
      <c r="N5" s="43">
        <f t="shared" ref="N5:N33" si="3">I5-J5-M5-R5</f>
        <v>0</v>
      </c>
      <c r="O5" s="43">
        <f t="shared" ref="O5:O33" si="4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 t="shared" si="2"/>
        <v>0</v>
      </c>
      <c r="L7" s="45"/>
      <c r="M7" s="40"/>
      <c r="N7" s="43">
        <f>I7-J7-M7-R7</f>
        <v>0</v>
      </c>
      <c r="O7" s="43">
        <f>R7+S7+T7</f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0" ht="15">
      <c r="A33" s="50"/>
      <c r="B33" s="51"/>
      <c r="C33" s="52"/>
      <c r="D33" s="50"/>
      <c r="E33" s="50"/>
      <c r="F33" s="50"/>
      <c r="G33" s="43">
        <f>F33*6%</f>
        <v>0</v>
      </c>
      <c r="H33" s="53"/>
      <c r="I33" s="78">
        <f t="shared" si="0"/>
        <v>0</v>
      </c>
      <c r="J33" s="54">
        <f t="shared" si="1"/>
        <v>0</v>
      </c>
      <c r="K33" s="54">
        <f t="shared" si="2"/>
        <v>0</v>
      </c>
      <c r="L33" s="55"/>
      <c r="M33" s="50"/>
      <c r="N33" s="53">
        <f t="shared" si="3"/>
        <v>0</v>
      </c>
      <c r="O33" s="53">
        <f t="shared" si="4"/>
        <v>0</v>
      </c>
      <c r="P33" s="56"/>
      <c r="Q33" s="50"/>
      <c r="R33" s="50"/>
      <c r="S33" s="50"/>
      <c r="T3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808" priority="26" operator="containsText" text="SIN FACTURA ">
      <formula>NOT(ISERROR(SEARCH("SIN FACTURA ",A2)))</formula>
    </cfRule>
  </conditionalFormatting>
  <conditionalFormatting sqref="J33:T33 J31:T31 J29:T29 J27:T27 J25:T25 J23:T23 J21:T21 J19:T19 J17:T17 J15:T15 J13:T13 A13:H13 A15:H15 A17:H17 A19:H19 A21:H21 A23:H23 A25:H25 A27:H27 A29:H29 A31:H31 A33:H33 J4:T11 I4:I33 A4:H11">
    <cfRule type="containsText" dxfId="3807" priority="25" operator="containsText" text="SIN FACTURA">
      <formula>NOT(ISERROR(SEARCH("SIN FACTURA",A4)))</formula>
    </cfRule>
  </conditionalFormatting>
  <conditionalFormatting sqref="C12:H12 J12:V12">
    <cfRule type="containsText" dxfId="3806" priority="23" operator="containsText" text="SIN FACTURA">
      <formula>NOT(ISERROR(SEARCH("SIN FACTURA",C12)))</formula>
    </cfRule>
  </conditionalFormatting>
  <conditionalFormatting sqref="C14:H14 J14:V14">
    <cfRule type="containsText" dxfId="3805" priority="22" operator="containsText" text="SIN FACTURA">
      <formula>NOT(ISERROR(SEARCH("SIN FACTURA",C14)))</formula>
    </cfRule>
  </conditionalFormatting>
  <conditionalFormatting sqref="C16:H16 J16:V16">
    <cfRule type="containsText" dxfId="3804" priority="21" operator="containsText" text="SIN FACTURA">
      <formula>NOT(ISERROR(SEARCH("SIN FACTURA",C16)))</formula>
    </cfRule>
  </conditionalFormatting>
  <conditionalFormatting sqref="C18:H18 J18:V18">
    <cfRule type="containsText" dxfId="3803" priority="20" operator="containsText" text="SIN FACTURA">
      <formula>NOT(ISERROR(SEARCH("SIN FACTURA",C18)))</formula>
    </cfRule>
  </conditionalFormatting>
  <conditionalFormatting sqref="C20:H20 J20:V20">
    <cfRule type="containsText" dxfId="3802" priority="19" operator="containsText" text="SIN FACTURA">
      <formula>NOT(ISERROR(SEARCH("SIN FACTURA",C20)))</formula>
    </cfRule>
  </conditionalFormatting>
  <conditionalFormatting sqref="C22:H22 J22:V22">
    <cfRule type="containsText" dxfId="3801" priority="18" operator="containsText" text="SIN FACTURA">
      <formula>NOT(ISERROR(SEARCH("SIN FACTURA",C22)))</formula>
    </cfRule>
  </conditionalFormatting>
  <conditionalFormatting sqref="C24:H24 J24:V24">
    <cfRule type="containsText" dxfId="3800" priority="17" operator="containsText" text="SIN FACTURA">
      <formula>NOT(ISERROR(SEARCH("SIN FACTURA",C24)))</formula>
    </cfRule>
  </conditionalFormatting>
  <conditionalFormatting sqref="C26:H26 J26:V26">
    <cfRule type="containsText" dxfId="3799" priority="16" operator="containsText" text="SIN FACTURA">
      <formula>NOT(ISERROR(SEARCH("SIN FACTURA",C26)))</formula>
    </cfRule>
  </conditionalFormatting>
  <conditionalFormatting sqref="C28:H28 J28:V28">
    <cfRule type="containsText" dxfId="3798" priority="15" operator="containsText" text="SIN FACTURA">
      <formula>NOT(ISERROR(SEARCH("SIN FACTURA",C28)))</formula>
    </cfRule>
  </conditionalFormatting>
  <conditionalFormatting sqref="C30:H30 J30:V30">
    <cfRule type="containsText" dxfId="3797" priority="14" operator="containsText" text="SIN FACTURA">
      <formula>NOT(ISERROR(SEARCH("SIN FACTURA",C30)))</formula>
    </cfRule>
  </conditionalFormatting>
  <conditionalFormatting sqref="C32:H32 J32:V32">
    <cfRule type="containsText" dxfId="3796" priority="13" operator="containsText" text="SIN FACTURA">
      <formula>NOT(ISERROR(SEARCH("SIN FACTURA",C32)))</formula>
    </cfRule>
  </conditionalFormatting>
  <conditionalFormatting sqref="A12:B12">
    <cfRule type="containsText" dxfId="3795" priority="11" operator="containsText" text="SIN FACTURA">
      <formula>NOT(ISERROR(SEARCH("SIN FACTURA",A12)))</formula>
    </cfRule>
  </conditionalFormatting>
  <conditionalFormatting sqref="A14:B14">
    <cfRule type="containsText" dxfId="3794" priority="10" operator="containsText" text="SIN FACTURA">
      <formula>NOT(ISERROR(SEARCH("SIN FACTURA",A14)))</formula>
    </cfRule>
  </conditionalFormatting>
  <conditionalFormatting sqref="A16:B16">
    <cfRule type="containsText" dxfId="3793" priority="9" operator="containsText" text="SIN FACTURA">
      <formula>NOT(ISERROR(SEARCH("SIN FACTURA",A16)))</formula>
    </cfRule>
  </conditionalFormatting>
  <conditionalFormatting sqref="A18:B18">
    <cfRule type="containsText" dxfId="3792" priority="8" operator="containsText" text="SIN FACTURA">
      <formula>NOT(ISERROR(SEARCH("SIN FACTURA",A18)))</formula>
    </cfRule>
  </conditionalFormatting>
  <conditionalFormatting sqref="A20:B20">
    <cfRule type="containsText" dxfId="3791" priority="7" operator="containsText" text="SIN FACTURA">
      <formula>NOT(ISERROR(SEARCH("SIN FACTURA",A20)))</formula>
    </cfRule>
  </conditionalFormatting>
  <conditionalFormatting sqref="A32:B32">
    <cfRule type="containsText" dxfId="3790" priority="1" operator="containsText" text="SIN FACTURA">
      <formula>NOT(ISERROR(SEARCH("SIN FACTURA",A32)))</formula>
    </cfRule>
  </conditionalFormatting>
  <conditionalFormatting sqref="A22:B22">
    <cfRule type="containsText" dxfId="3789" priority="6" operator="containsText" text="SIN FACTURA">
      <formula>NOT(ISERROR(SEARCH("SIN FACTURA",A22)))</formula>
    </cfRule>
  </conditionalFormatting>
  <conditionalFormatting sqref="A24:B24">
    <cfRule type="containsText" dxfId="3788" priority="5" operator="containsText" text="SIN FACTURA">
      <formula>NOT(ISERROR(SEARCH("SIN FACTURA",A24)))</formula>
    </cfRule>
  </conditionalFormatting>
  <conditionalFormatting sqref="A26:B26">
    <cfRule type="containsText" dxfId="3787" priority="4" operator="containsText" text="SIN FACTURA">
      <formula>NOT(ISERROR(SEARCH("SIN FACTURA",A26)))</formula>
    </cfRule>
  </conditionalFormatting>
  <conditionalFormatting sqref="A28:B28">
    <cfRule type="containsText" dxfId="3786" priority="3" operator="containsText" text="SIN FACTURA">
      <formula>NOT(ISERROR(SEARCH("SIN FACTURA",A28)))</formula>
    </cfRule>
  </conditionalFormatting>
  <conditionalFormatting sqref="A30:B30">
    <cfRule type="containsText" dxfId="3785" priority="2" operator="containsText" text="SIN FACTURA">
      <formula>NOT(ISERROR(SEARCH("SIN FACTURA",A30)))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sheetPr codeName="Hoja18"/>
  <dimension ref="A1:Y33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12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77</v>
      </c>
      <c r="B1" s="18" t="s">
        <v>128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3" si="0">F5-G5-H5</f>
        <v>0</v>
      </c>
      <c r="J5" s="44">
        <f t="shared" ref="J5:J33" si="1">S5+T5</f>
        <v>0</v>
      </c>
      <c r="K5" s="44">
        <f t="shared" ref="K5:K33" si="2">I5-J5</f>
        <v>0</v>
      </c>
      <c r="L5" s="45"/>
      <c r="M5" s="40"/>
      <c r="N5" s="43">
        <f t="shared" ref="N5:N33" si="3">I5-J5-M5-R5</f>
        <v>0</v>
      </c>
      <c r="O5" s="43">
        <f t="shared" ref="O5:O33" si="4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 t="shared" si="2"/>
        <v>0</v>
      </c>
      <c r="L7" s="45"/>
      <c r="M7" s="40"/>
      <c r="N7" s="43">
        <f>I7-J7-M7-R7</f>
        <v>0</v>
      </c>
      <c r="O7" s="43">
        <f>R7+S7+T7</f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0" ht="15">
      <c r="A33" s="50"/>
      <c r="B33" s="51"/>
      <c r="C33" s="52"/>
      <c r="D33" s="50"/>
      <c r="E33" s="50"/>
      <c r="F33" s="50"/>
      <c r="G33" s="43">
        <f>F33*6%</f>
        <v>0</v>
      </c>
      <c r="H33" s="53"/>
      <c r="I33" s="78">
        <f t="shared" si="0"/>
        <v>0</v>
      </c>
      <c r="J33" s="54">
        <f t="shared" si="1"/>
        <v>0</v>
      </c>
      <c r="K33" s="54">
        <f t="shared" si="2"/>
        <v>0</v>
      </c>
      <c r="L33" s="55"/>
      <c r="M33" s="50"/>
      <c r="N33" s="53">
        <f t="shared" si="3"/>
        <v>0</v>
      </c>
      <c r="O33" s="53">
        <f t="shared" si="4"/>
        <v>0</v>
      </c>
      <c r="P33" s="56"/>
      <c r="Q33" s="50"/>
      <c r="R33" s="50"/>
      <c r="S33" s="50"/>
      <c r="T3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784" priority="36" operator="containsText" text="SIN FACTURA ">
      <formula>NOT(ISERROR(SEARCH("SIN FACTURA ",A2)))</formula>
    </cfRule>
  </conditionalFormatting>
  <conditionalFormatting sqref="J33:T33 J31:T31 J29:T29 J27:T27 J25:T25 J23:T23 J21:T21 J19:T19 J17:T17 J15:T15 J13:T13 A13:H13 A15:H15 A17:H17 A19:H19 A21:H21 A23:H23 A25:H25 A27:H27 A29:H29 A31:H31 A33:H33 A4:T4 J5:T11 A5:H11 I5:I33">
    <cfRule type="containsText" dxfId="3783" priority="35" operator="containsText" text="SIN FACTURA">
      <formula>NOT(ISERROR(SEARCH("SIN FACTURA",A4)))</formula>
    </cfRule>
  </conditionalFormatting>
  <conditionalFormatting sqref="C12:H12 J12:V12">
    <cfRule type="containsText" dxfId="3782" priority="33" operator="containsText" text="SIN FACTURA">
      <formula>NOT(ISERROR(SEARCH("SIN FACTURA",C12)))</formula>
    </cfRule>
  </conditionalFormatting>
  <conditionalFormatting sqref="C14:H14 J14:V14">
    <cfRule type="containsText" dxfId="3781" priority="32" operator="containsText" text="SIN FACTURA">
      <formula>NOT(ISERROR(SEARCH("SIN FACTURA",C14)))</formula>
    </cfRule>
  </conditionalFormatting>
  <conditionalFormatting sqref="C16:H16 J16:V16">
    <cfRule type="containsText" dxfId="3780" priority="31" operator="containsText" text="SIN FACTURA">
      <formula>NOT(ISERROR(SEARCH("SIN FACTURA",C16)))</formula>
    </cfRule>
  </conditionalFormatting>
  <conditionalFormatting sqref="C18:H18 J18:V18">
    <cfRule type="containsText" dxfId="3779" priority="30" operator="containsText" text="SIN FACTURA">
      <formula>NOT(ISERROR(SEARCH("SIN FACTURA",C18)))</formula>
    </cfRule>
  </conditionalFormatting>
  <conditionalFormatting sqref="C20:H20 J20:V20">
    <cfRule type="containsText" dxfId="3778" priority="29" operator="containsText" text="SIN FACTURA">
      <formula>NOT(ISERROR(SEARCH("SIN FACTURA",C20)))</formula>
    </cfRule>
  </conditionalFormatting>
  <conditionalFormatting sqref="C22:H22 J22:V22">
    <cfRule type="containsText" dxfId="3777" priority="28" operator="containsText" text="SIN FACTURA">
      <formula>NOT(ISERROR(SEARCH("SIN FACTURA",C22)))</formula>
    </cfRule>
  </conditionalFormatting>
  <conditionalFormatting sqref="C24:H24 J24:V24">
    <cfRule type="containsText" dxfId="3776" priority="27" operator="containsText" text="SIN FACTURA">
      <formula>NOT(ISERROR(SEARCH("SIN FACTURA",C24)))</formula>
    </cfRule>
  </conditionalFormatting>
  <conditionalFormatting sqref="C26:H26 J26:V26">
    <cfRule type="containsText" dxfId="3775" priority="26" operator="containsText" text="SIN FACTURA">
      <formula>NOT(ISERROR(SEARCH("SIN FACTURA",C26)))</formula>
    </cfRule>
  </conditionalFormatting>
  <conditionalFormatting sqref="C28:H28 J28:V28">
    <cfRule type="containsText" dxfId="3774" priority="25" operator="containsText" text="SIN FACTURA">
      <formula>NOT(ISERROR(SEARCH("SIN FACTURA",C28)))</formula>
    </cfRule>
  </conditionalFormatting>
  <conditionalFormatting sqref="C30:H30 J30:V30">
    <cfRule type="containsText" dxfId="3773" priority="24" operator="containsText" text="SIN FACTURA">
      <formula>NOT(ISERROR(SEARCH("SIN FACTURA",C30)))</formula>
    </cfRule>
  </conditionalFormatting>
  <conditionalFormatting sqref="C32:H32 J32:V32">
    <cfRule type="containsText" dxfId="3772" priority="23" operator="containsText" text="SIN FACTURA">
      <formula>NOT(ISERROR(SEARCH("SIN FACTURA",C32)))</formula>
    </cfRule>
  </conditionalFormatting>
  <conditionalFormatting sqref="A12:B12">
    <cfRule type="containsText" dxfId="3771" priority="21" operator="containsText" text="SIN FACTURA">
      <formula>NOT(ISERROR(SEARCH("SIN FACTURA",A12)))</formula>
    </cfRule>
  </conditionalFormatting>
  <conditionalFormatting sqref="A14:B14">
    <cfRule type="containsText" dxfId="3770" priority="20" operator="containsText" text="SIN FACTURA">
      <formula>NOT(ISERROR(SEARCH("SIN FACTURA",A14)))</formula>
    </cfRule>
  </conditionalFormatting>
  <conditionalFormatting sqref="A16:B16">
    <cfRule type="containsText" dxfId="3769" priority="19" operator="containsText" text="SIN FACTURA">
      <formula>NOT(ISERROR(SEARCH("SIN FACTURA",A16)))</formula>
    </cfRule>
  </conditionalFormatting>
  <conditionalFormatting sqref="A18:B18">
    <cfRule type="containsText" dxfId="3768" priority="18" operator="containsText" text="SIN FACTURA">
      <formula>NOT(ISERROR(SEARCH("SIN FACTURA",A18)))</formula>
    </cfRule>
  </conditionalFormatting>
  <conditionalFormatting sqref="A20:B20">
    <cfRule type="containsText" dxfId="3767" priority="17" operator="containsText" text="SIN FACTURA">
      <formula>NOT(ISERROR(SEARCH("SIN FACTURA",A20)))</formula>
    </cfRule>
  </conditionalFormatting>
  <conditionalFormatting sqref="A32:B32">
    <cfRule type="containsText" dxfId="3766" priority="11" operator="containsText" text="SIN FACTURA">
      <formula>NOT(ISERROR(SEARCH("SIN FACTURA",A32)))</formula>
    </cfRule>
  </conditionalFormatting>
  <conditionalFormatting sqref="A22:B22">
    <cfRule type="containsText" dxfId="3765" priority="16" operator="containsText" text="SIN FACTURA">
      <formula>NOT(ISERROR(SEARCH("SIN FACTURA",A22)))</formula>
    </cfRule>
  </conditionalFormatting>
  <conditionalFormatting sqref="A24:B24">
    <cfRule type="containsText" dxfId="3764" priority="15" operator="containsText" text="SIN FACTURA">
      <formula>NOT(ISERROR(SEARCH("SIN FACTURA",A24)))</formula>
    </cfRule>
  </conditionalFormatting>
  <conditionalFormatting sqref="A26:B26">
    <cfRule type="containsText" dxfId="3763" priority="14" operator="containsText" text="SIN FACTURA">
      <formula>NOT(ISERROR(SEARCH("SIN FACTURA",A26)))</formula>
    </cfRule>
  </conditionalFormatting>
  <conditionalFormatting sqref="A28:B28">
    <cfRule type="containsText" dxfId="3762" priority="13" operator="containsText" text="SIN FACTURA">
      <formula>NOT(ISERROR(SEARCH("SIN FACTURA",A28)))</formula>
    </cfRule>
  </conditionalFormatting>
  <conditionalFormatting sqref="A30:B30">
    <cfRule type="containsText" dxfId="3761" priority="12" operator="containsText" text="SIN FACTURA">
      <formula>NOT(ISERROR(SEARCH("SIN FACTURA",A30)))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sheetPr codeName="Hoja7"/>
  <dimension ref="A1:Y43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B1" sqref="B1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3</v>
      </c>
      <c r="B1" s="18" t="s">
        <v>43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44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3760" priority="27" operator="containsText" text="SIN FACTURA ">
      <formula>NOT(ISERROR(SEARCH("SIN FACTURA ",A2)))</formula>
    </cfRule>
  </conditionalFormatting>
  <conditionalFormatting sqref="J43:T43 J41:T41 J39:T39 J37:T37 J35:T35 J33:T33 J31:T31 J29:T29 J27:T27 J25:T25 J23:T23 J13:T21 A4:T4 J12:V12 J22:V22 J24:V24 J26:V26 J28:V28 J30:V30 J32:V32 J34:V34 J36:V36 J38:V38 J40:V40 J42:V42 J5:T11 A5:I43">
    <cfRule type="containsText" dxfId="3759" priority="1" operator="containsText" text="SIN FACTURA">
      <formula>NOT(ISERROR(SEARCH("SIN FACTURA",A4)))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sheetPr codeName="Hoja21"/>
  <dimension ref="A1:Y45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H5" sqref="H5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468</v>
      </c>
      <c r="B1" s="18" t="s">
        <v>165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>F5-G5-H5</f>
        <v>0</v>
      </c>
      <c r="J5" s="44">
        <f t="shared" ref="J5:J45" si="0">S5+T5</f>
        <v>0</v>
      </c>
      <c r="K5" s="44">
        <f t="shared" ref="K5:K45" si="1">I5-J5</f>
        <v>0</v>
      </c>
      <c r="L5" s="45"/>
      <c r="M5" s="40"/>
      <c r="N5" s="43">
        <f t="shared" ref="N5:N45" si="2">I5-J5-M5-R5</f>
        <v>0</v>
      </c>
      <c r="O5" s="43">
        <f t="shared" ref="O5:O45" si="3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ref="I7:I45" si="4">F7-G7-H7</f>
        <v>0</v>
      </c>
      <c r="J7" s="44">
        <f t="shared" si="0"/>
        <v>0</v>
      </c>
      <c r="K7" s="44">
        <f t="shared" si="1"/>
        <v>0</v>
      </c>
      <c r="L7" s="45"/>
      <c r="M7" s="40"/>
      <c r="N7" s="43">
        <f t="shared" si="2"/>
        <v>0</v>
      </c>
      <c r="O7" s="43">
        <f t="shared" si="3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4"/>
        <v>0</v>
      </c>
      <c r="J9" s="44">
        <f t="shared" si="0"/>
        <v>0</v>
      </c>
      <c r="K9" s="44">
        <f t="shared" si="1"/>
        <v>0</v>
      </c>
      <c r="L9" s="45"/>
      <c r="M9" s="40"/>
      <c r="N9" s="43">
        <f t="shared" si="2"/>
        <v>0</v>
      </c>
      <c r="O9" s="43">
        <f t="shared" si="3"/>
        <v>0</v>
      </c>
      <c r="P9" s="46"/>
      <c r="Q9" s="40"/>
      <c r="R9" s="43"/>
      <c r="S9" s="43"/>
      <c r="T9" s="49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4"/>
        <v>0</v>
      </c>
      <c r="J11" s="44">
        <f>S11+T11</f>
        <v>0</v>
      </c>
      <c r="K11" s="44">
        <f>I11-J11</f>
        <v>0</v>
      </c>
      <c r="L11" s="45"/>
      <c r="M11" s="40"/>
      <c r="N11" s="43">
        <f t="shared" si="2"/>
        <v>0</v>
      </c>
      <c r="O11" s="43">
        <f t="shared" si="3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4"/>
        <v>0</v>
      </c>
      <c r="J13" s="44">
        <f t="shared" si="0"/>
        <v>0</v>
      </c>
      <c r="K13" s="44">
        <f t="shared" si="1"/>
        <v>0</v>
      </c>
      <c r="L13" s="45"/>
      <c r="M13" s="40"/>
      <c r="N13" s="43">
        <f t="shared" si="2"/>
        <v>0</v>
      </c>
      <c r="O13" s="43">
        <f t="shared" si="3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4"/>
        <v>0</v>
      </c>
      <c r="J15" s="44">
        <f t="shared" si="0"/>
        <v>0</v>
      </c>
      <c r="K15" s="44">
        <f t="shared" si="1"/>
        <v>0</v>
      </c>
      <c r="L15" s="45"/>
      <c r="M15" s="40"/>
      <c r="N15" s="43">
        <f t="shared" si="2"/>
        <v>0</v>
      </c>
      <c r="O15" s="43">
        <f t="shared" si="3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4"/>
        <v>0</v>
      </c>
      <c r="J17" s="44">
        <f t="shared" si="0"/>
        <v>0</v>
      </c>
      <c r="K17" s="44">
        <f t="shared" si="1"/>
        <v>0</v>
      </c>
      <c r="L17" s="45"/>
      <c r="M17" s="40"/>
      <c r="N17" s="43">
        <f t="shared" si="2"/>
        <v>0</v>
      </c>
      <c r="O17" s="43">
        <f t="shared" si="3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4"/>
        <v>0</v>
      </c>
      <c r="J19" s="44">
        <f>S19+T19</f>
        <v>0</v>
      </c>
      <c r="K19" s="44">
        <f t="shared" si="1"/>
        <v>0</v>
      </c>
      <c r="L19" s="45"/>
      <c r="M19" s="40"/>
      <c r="N19" s="43">
        <f>I19-J19-M19-R19</f>
        <v>0</v>
      </c>
      <c r="O19" s="43">
        <f>R19+S19+T19</f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4"/>
        <v>0</v>
      </c>
      <c r="J21" s="44">
        <f t="shared" si="0"/>
        <v>0</v>
      </c>
      <c r="K21" s="44">
        <f t="shared" si="1"/>
        <v>0</v>
      </c>
      <c r="L21" s="45"/>
      <c r="M21" s="40"/>
      <c r="N21" s="43">
        <f t="shared" si="2"/>
        <v>0</v>
      </c>
      <c r="O21" s="43">
        <f t="shared" si="3"/>
        <v>0</v>
      </c>
      <c r="P21" s="46"/>
      <c r="Q21" s="40"/>
      <c r="R21" s="47"/>
      <c r="S21" s="47"/>
      <c r="T21" s="48"/>
    </row>
    <row r="22" spans="1:22" ht="15">
      <c r="A22" s="32"/>
      <c r="B22" s="33"/>
      <c r="C22" s="34"/>
      <c r="D22" s="32"/>
      <c r="E22" s="32"/>
      <c r="F22" s="32"/>
      <c r="G22" s="37"/>
      <c r="H22" s="37"/>
      <c r="I22" s="37"/>
      <c r="J22" s="35"/>
      <c r="K22" s="35"/>
      <c r="L22" s="36"/>
      <c r="M22" s="32"/>
      <c r="N22" s="37"/>
      <c r="O22" s="37"/>
      <c r="P22" s="38"/>
      <c r="Q22" s="32"/>
      <c r="R22" s="32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4"/>
        <v>0</v>
      </c>
      <c r="J23" s="44">
        <f t="shared" si="0"/>
        <v>0</v>
      </c>
      <c r="K23" s="44">
        <f t="shared" si="1"/>
        <v>0</v>
      </c>
      <c r="L23" s="45"/>
      <c r="M23" s="40"/>
      <c r="N23" s="43">
        <f t="shared" si="2"/>
        <v>0</v>
      </c>
      <c r="O23" s="43">
        <f t="shared" si="3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4"/>
        <v>0</v>
      </c>
      <c r="J25" s="44">
        <f t="shared" si="0"/>
        <v>0</v>
      </c>
      <c r="K25" s="44">
        <f t="shared" si="1"/>
        <v>0</v>
      </c>
      <c r="L25" s="45"/>
      <c r="M25" s="40"/>
      <c r="N25" s="43">
        <f t="shared" si="2"/>
        <v>0</v>
      </c>
      <c r="O25" s="43">
        <f t="shared" si="3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4"/>
        <v>0</v>
      </c>
      <c r="J27" s="44">
        <f t="shared" si="0"/>
        <v>0</v>
      </c>
      <c r="K27" s="44">
        <f t="shared" si="1"/>
        <v>0</v>
      </c>
      <c r="L27" s="45"/>
      <c r="M27" s="40"/>
      <c r="N27" s="43">
        <f t="shared" si="2"/>
        <v>0</v>
      </c>
      <c r="O27" s="43">
        <f t="shared" si="3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4"/>
        <v>0</v>
      </c>
      <c r="J29" s="44">
        <f t="shared" si="0"/>
        <v>0</v>
      </c>
      <c r="K29" s="44">
        <f t="shared" si="1"/>
        <v>0</v>
      </c>
      <c r="L29" s="45"/>
      <c r="M29" s="40"/>
      <c r="N29" s="43">
        <f t="shared" si="2"/>
        <v>0</v>
      </c>
      <c r="O29" s="43">
        <f t="shared" si="3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4"/>
        <v>0</v>
      </c>
      <c r="J31" s="44">
        <f t="shared" si="0"/>
        <v>0</v>
      </c>
      <c r="K31" s="44">
        <f t="shared" si="1"/>
        <v>0</v>
      </c>
      <c r="L31" s="45"/>
      <c r="M31" s="40"/>
      <c r="N31" s="43">
        <f t="shared" si="2"/>
        <v>0</v>
      </c>
      <c r="O31" s="43">
        <f t="shared" si="3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4"/>
        <v>0</v>
      </c>
      <c r="J33" s="44">
        <f t="shared" si="0"/>
        <v>0</v>
      </c>
      <c r="K33" s="44">
        <f t="shared" si="1"/>
        <v>0</v>
      </c>
      <c r="L33" s="45"/>
      <c r="M33" s="40"/>
      <c r="N33" s="43">
        <f t="shared" si="2"/>
        <v>0</v>
      </c>
      <c r="O33" s="43">
        <f t="shared" si="3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4"/>
        <v>0</v>
      </c>
      <c r="J35" s="44">
        <f t="shared" si="0"/>
        <v>0</v>
      </c>
      <c r="K35" s="44">
        <f t="shared" si="1"/>
        <v>0</v>
      </c>
      <c r="L35" s="45"/>
      <c r="M35" s="40"/>
      <c r="N35" s="43">
        <f t="shared" si="2"/>
        <v>0</v>
      </c>
      <c r="O35" s="43">
        <f t="shared" si="3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4"/>
        <v>0</v>
      </c>
      <c r="J37" s="44">
        <f t="shared" si="0"/>
        <v>0</v>
      </c>
      <c r="K37" s="44">
        <f t="shared" si="1"/>
        <v>0</v>
      </c>
      <c r="L37" s="45"/>
      <c r="M37" s="40"/>
      <c r="N37" s="43">
        <f t="shared" si="2"/>
        <v>0</v>
      </c>
      <c r="O37" s="43">
        <f t="shared" si="3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4"/>
        <v>0</v>
      </c>
      <c r="J39" s="44">
        <f t="shared" si="0"/>
        <v>0</v>
      </c>
      <c r="K39" s="44">
        <f t="shared" si="1"/>
        <v>0</v>
      </c>
      <c r="L39" s="45"/>
      <c r="M39" s="40"/>
      <c r="N39" s="43">
        <f t="shared" si="2"/>
        <v>0</v>
      </c>
      <c r="O39" s="43">
        <f t="shared" si="3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4"/>
        <v>0</v>
      </c>
      <c r="J41" s="44">
        <f t="shared" si="0"/>
        <v>0</v>
      </c>
      <c r="K41" s="44">
        <f t="shared" si="1"/>
        <v>0</v>
      </c>
      <c r="L41" s="45"/>
      <c r="M41" s="40"/>
      <c r="N41" s="43">
        <f t="shared" si="2"/>
        <v>0</v>
      </c>
      <c r="O41" s="43">
        <f t="shared" si="3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40"/>
      <c r="B43" s="41"/>
      <c r="C43" s="42"/>
      <c r="D43" s="40"/>
      <c r="E43" s="40"/>
      <c r="F43" s="40"/>
      <c r="G43" s="43">
        <f>F43*6%</f>
        <v>0</v>
      </c>
      <c r="H43" s="43"/>
      <c r="I43" s="44">
        <f t="shared" si="4"/>
        <v>0</v>
      </c>
      <c r="J43" s="44">
        <f t="shared" si="0"/>
        <v>0</v>
      </c>
      <c r="K43" s="44">
        <f t="shared" si="1"/>
        <v>0</v>
      </c>
      <c r="L43" s="45"/>
      <c r="M43" s="40"/>
      <c r="N43" s="43">
        <f t="shared" si="2"/>
        <v>0</v>
      </c>
      <c r="O43" s="43">
        <f t="shared" si="3"/>
        <v>0</v>
      </c>
      <c r="P43" s="46"/>
      <c r="Q43" s="40"/>
      <c r="R43" s="40"/>
      <c r="S43" s="40"/>
      <c r="T43" s="5"/>
    </row>
    <row r="44" spans="1:22" ht="15">
      <c r="A44" s="32"/>
      <c r="B44" s="33"/>
      <c r="C44" s="32"/>
      <c r="D44" s="33"/>
      <c r="E44" s="34"/>
      <c r="F44" s="32"/>
      <c r="G44" s="32"/>
      <c r="H44" s="32"/>
      <c r="I44" s="37"/>
      <c r="J44" s="37"/>
      <c r="K44" s="35"/>
      <c r="L44" s="35"/>
      <c r="M44" s="35"/>
      <c r="N44" s="36"/>
      <c r="O44" s="32"/>
      <c r="P44" s="37"/>
      <c r="Q44" s="37"/>
      <c r="R44" s="38"/>
      <c r="S44" s="32"/>
      <c r="T44" s="39"/>
      <c r="U44" s="6"/>
      <c r="V44" s="6"/>
    </row>
    <row r="45" spans="1:22" ht="15">
      <c r="A45" s="50"/>
      <c r="B45" s="51"/>
      <c r="C45" s="52"/>
      <c r="D45" s="50"/>
      <c r="E45" s="50"/>
      <c r="F45" s="50"/>
      <c r="G45" s="43">
        <f>F45*6%</f>
        <v>0</v>
      </c>
      <c r="H45" s="53"/>
      <c r="I45" s="78">
        <f t="shared" si="4"/>
        <v>0</v>
      </c>
      <c r="J45" s="54">
        <f t="shared" si="0"/>
        <v>0</v>
      </c>
      <c r="K45" s="54">
        <f t="shared" si="1"/>
        <v>0</v>
      </c>
      <c r="L45" s="55"/>
      <c r="M45" s="50"/>
      <c r="N45" s="53">
        <f t="shared" si="2"/>
        <v>0</v>
      </c>
      <c r="O45" s="53">
        <f t="shared" si="3"/>
        <v>0</v>
      </c>
      <c r="P45" s="56"/>
      <c r="Q45" s="50"/>
      <c r="R45" s="50"/>
      <c r="S45" s="50"/>
      <c r="T45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758" priority="26" operator="containsText" text="SIN FACTURA ">
      <formula>NOT(ISERROR(SEARCH("SIN FACTURA ",A2)))</formula>
    </cfRule>
  </conditionalFormatting>
  <conditionalFormatting sqref="A4:T5 J45:T45 J43:T43 J41:T41 J39:T39 J37:T37 J35:T35 J33:T33 J31:T31 J29:T29 J27:T27 J25:T25 J15:T23 J6:T13 I6:I45 A6:H13 A15:H23 A25:H25 A27:H27 A29:H29 A31:H31 A33:H33 A35:H35 A37:H37 A39:H39 A41:H41 A43:H43 A45:H45">
    <cfRule type="containsText" dxfId="3757" priority="25" operator="containsText" text="SIN FACTURA">
      <formula>NOT(ISERROR(SEARCH("SIN FACTURA",A4)))</formula>
    </cfRule>
  </conditionalFormatting>
  <conditionalFormatting sqref="C14:H14 J14:V14">
    <cfRule type="containsText" dxfId="3756" priority="24" operator="containsText" text="SIN FACTURA">
      <formula>NOT(ISERROR(SEARCH("SIN FACTURA",C14)))</formula>
    </cfRule>
  </conditionalFormatting>
  <conditionalFormatting sqref="C24:H24 J24:V24">
    <cfRule type="containsText" dxfId="3755" priority="23" operator="containsText" text="SIN FACTURA">
      <formula>NOT(ISERROR(SEARCH("SIN FACTURA",C24)))</formula>
    </cfRule>
  </conditionalFormatting>
  <conditionalFormatting sqref="C26:H26 J26:V26">
    <cfRule type="containsText" dxfId="3754" priority="22" operator="containsText" text="SIN FACTURA">
      <formula>NOT(ISERROR(SEARCH("SIN FACTURA",C26)))</formula>
    </cfRule>
  </conditionalFormatting>
  <conditionalFormatting sqref="C28:H28 J28:V28">
    <cfRule type="containsText" dxfId="3753" priority="21" operator="containsText" text="SIN FACTURA">
      <formula>NOT(ISERROR(SEARCH("SIN FACTURA",C28)))</formula>
    </cfRule>
  </conditionalFormatting>
  <conditionalFormatting sqref="C30:H30 J30:V30">
    <cfRule type="containsText" dxfId="3752" priority="20" operator="containsText" text="SIN FACTURA">
      <formula>NOT(ISERROR(SEARCH("SIN FACTURA",C30)))</formula>
    </cfRule>
  </conditionalFormatting>
  <conditionalFormatting sqref="C32:H32 J32:V32">
    <cfRule type="containsText" dxfId="3751" priority="19" operator="containsText" text="SIN FACTURA">
      <formula>NOT(ISERROR(SEARCH("SIN FACTURA",C32)))</formula>
    </cfRule>
  </conditionalFormatting>
  <conditionalFormatting sqref="C34:H34 J34:V34">
    <cfRule type="containsText" dxfId="3750" priority="18" operator="containsText" text="SIN FACTURA">
      <formula>NOT(ISERROR(SEARCH("SIN FACTURA",C34)))</formula>
    </cfRule>
  </conditionalFormatting>
  <conditionalFormatting sqref="C36:H36 J36:V36">
    <cfRule type="containsText" dxfId="3749" priority="17" operator="containsText" text="SIN FACTURA">
      <formula>NOT(ISERROR(SEARCH("SIN FACTURA",C36)))</formula>
    </cfRule>
  </conditionalFormatting>
  <conditionalFormatting sqref="C38:H38 J38:V38">
    <cfRule type="containsText" dxfId="3748" priority="16" operator="containsText" text="SIN FACTURA">
      <formula>NOT(ISERROR(SEARCH("SIN FACTURA",C38)))</formula>
    </cfRule>
  </conditionalFormatting>
  <conditionalFormatting sqref="C40:H40 J40:V40">
    <cfRule type="containsText" dxfId="3747" priority="15" operator="containsText" text="SIN FACTURA">
      <formula>NOT(ISERROR(SEARCH("SIN FACTURA",C40)))</formula>
    </cfRule>
  </conditionalFormatting>
  <conditionalFormatting sqref="C42:H42 J42:V42">
    <cfRule type="containsText" dxfId="3746" priority="14" operator="containsText" text="SIN FACTURA">
      <formula>NOT(ISERROR(SEARCH("SIN FACTURA",C42)))</formula>
    </cfRule>
  </conditionalFormatting>
  <conditionalFormatting sqref="C44:H44 J44:V44">
    <cfRule type="containsText" dxfId="3745" priority="13" operator="containsText" text="SIN FACTURA">
      <formula>NOT(ISERROR(SEARCH("SIN FACTURA",C44)))</formula>
    </cfRule>
  </conditionalFormatting>
  <conditionalFormatting sqref="A14:B14">
    <cfRule type="containsText" dxfId="3744" priority="12" operator="containsText" text="SIN FACTURA">
      <formula>NOT(ISERROR(SEARCH("SIN FACTURA",A14)))</formula>
    </cfRule>
  </conditionalFormatting>
  <conditionalFormatting sqref="A24:B24">
    <cfRule type="containsText" dxfId="3743" priority="11" operator="containsText" text="SIN FACTURA">
      <formula>NOT(ISERROR(SEARCH("SIN FACTURA",A24)))</formula>
    </cfRule>
  </conditionalFormatting>
  <conditionalFormatting sqref="A26:B26">
    <cfRule type="containsText" dxfId="3742" priority="10" operator="containsText" text="SIN FACTURA">
      <formula>NOT(ISERROR(SEARCH("SIN FACTURA",A26)))</formula>
    </cfRule>
  </conditionalFormatting>
  <conditionalFormatting sqref="A28:B28">
    <cfRule type="containsText" dxfId="3741" priority="9" operator="containsText" text="SIN FACTURA">
      <formula>NOT(ISERROR(SEARCH("SIN FACTURA",A28)))</formula>
    </cfRule>
  </conditionalFormatting>
  <conditionalFormatting sqref="A30:B30">
    <cfRule type="containsText" dxfId="3740" priority="8" operator="containsText" text="SIN FACTURA">
      <formula>NOT(ISERROR(SEARCH("SIN FACTURA",A30)))</formula>
    </cfRule>
  </conditionalFormatting>
  <conditionalFormatting sqref="A32:B32">
    <cfRule type="containsText" dxfId="3739" priority="7" operator="containsText" text="SIN FACTURA">
      <formula>NOT(ISERROR(SEARCH("SIN FACTURA",A32)))</formula>
    </cfRule>
  </conditionalFormatting>
  <conditionalFormatting sqref="A44:B44">
    <cfRule type="containsText" dxfId="3738" priority="1" operator="containsText" text="SIN FACTURA">
      <formula>NOT(ISERROR(SEARCH("SIN FACTURA",A44)))</formula>
    </cfRule>
  </conditionalFormatting>
  <conditionalFormatting sqref="A34:B34">
    <cfRule type="containsText" dxfId="3737" priority="6" operator="containsText" text="SIN FACTURA">
      <formula>NOT(ISERROR(SEARCH("SIN FACTURA",A34)))</formula>
    </cfRule>
  </conditionalFormatting>
  <conditionalFormatting sqref="A36:B36">
    <cfRule type="containsText" dxfId="3736" priority="5" operator="containsText" text="SIN FACTURA">
      <formula>NOT(ISERROR(SEARCH("SIN FACTURA",A36)))</formula>
    </cfRule>
  </conditionalFormatting>
  <conditionalFormatting sqref="A38:B38">
    <cfRule type="containsText" dxfId="3735" priority="4" operator="containsText" text="SIN FACTURA">
      <formula>NOT(ISERROR(SEARCH("SIN FACTURA",A38)))</formula>
    </cfRule>
  </conditionalFormatting>
  <conditionalFormatting sqref="A40:B40">
    <cfRule type="containsText" dxfId="3734" priority="3" operator="containsText" text="SIN FACTURA">
      <formula>NOT(ISERROR(SEARCH("SIN FACTURA",A40)))</formula>
    </cfRule>
  </conditionalFormatting>
  <conditionalFormatting sqref="A42:B42">
    <cfRule type="containsText" dxfId="3733" priority="2" operator="containsText" text="SIN FACTURA">
      <formula>NOT(ISERROR(SEARCH("SIN FACTURA",A42)))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>
  <sheetPr codeName="Hoja23"/>
  <dimension ref="A1:Y35"/>
  <sheetViews>
    <sheetView zoomScale="125" zoomScaleNormal="125" zoomScalePageLayoutView="125" workbookViewId="0">
      <pane ySplit="4" topLeftCell="A28" activePane="bottomLeft" state="frozen"/>
      <selection activeCell="D26" sqref="D26"/>
      <selection pane="bottomLeft" activeCell="A28" sqref="A28:XFD40"/>
    </sheetView>
  </sheetViews>
  <sheetFormatPr baseColWidth="10" defaultColWidth="10.875" defaultRowHeight="15.75"/>
  <cols>
    <col min="1" max="1" width="20.625" style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450</v>
      </c>
      <c r="B1" s="18" t="s">
        <v>156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 t="s">
        <v>174</v>
      </c>
      <c r="B5" s="41">
        <v>43483</v>
      </c>
      <c r="C5" s="42" t="s">
        <v>175</v>
      </c>
      <c r="D5" s="40">
        <v>320</v>
      </c>
      <c r="E5" s="40">
        <v>55.54</v>
      </c>
      <c r="F5" s="40">
        <v>264.45999999999998</v>
      </c>
      <c r="G5" s="43">
        <f>F5*6%</f>
        <v>15.867599999999998</v>
      </c>
      <c r="H5" s="43"/>
      <c r="I5" s="44">
        <f>F5-G5-H5</f>
        <v>248.59239999999997</v>
      </c>
      <c r="J5" s="44">
        <f t="shared" ref="J5:J35" si="0">S5+T5</f>
        <v>69.56</v>
      </c>
      <c r="K5" s="44">
        <f t="shared" ref="K5:K35" si="1">I5-J5</f>
        <v>179.03239999999997</v>
      </c>
      <c r="L5" s="45">
        <v>43489</v>
      </c>
      <c r="M5" s="40"/>
      <c r="N5" s="43">
        <f t="shared" ref="N5:N35" si="2">I5-J5-M5-R5</f>
        <v>-7.6000000000249202E-3</v>
      </c>
      <c r="O5" s="43">
        <f t="shared" ref="O5:O35" si="3">R5+S5+T5</f>
        <v>248.6</v>
      </c>
      <c r="P5" s="46" t="s">
        <v>178</v>
      </c>
      <c r="Q5" s="40" t="s">
        <v>177</v>
      </c>
      <c r="R5" s="40">
        <v>179.04</v>
      </c>
      <c r="S5" s="40">
        <v>65.73</v>
      </c>
      <c r="T5" s="5">
        <v>3.83</v>
      </c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 t="s">
        <v>187</v>
      </c>
      <c r="B7" s="41">
        <v>43521</v>
      </c>
      <c r="C7" s="42" t="s">
        <v>188</v>
      </c>
      <c r="D7" s="40">
        <v>405</v>
      </c>
      <c r="E7" s="40">
        <v>70.290000000000006</v>
      </c>
      <c r="F7" s="40">
        <v>334.71</v>
      </c>
      <c r="G7" s="43">
        <f>F7*6%</f>
        <v>20.082599999999999</v>
      </c>
      <c r="H7" s="43">
        <v>3</v>
      </c>
      <c r="I7" s="44">
        <f t="shared" ref="I7:I35" si="4">F7-G7-H7</f>
        <v>311.62739999999997</v>
      </c>
      <c r="J7" s="44">
        <f t="shared" si="0"/>
        <v>70.820000000000007</v>
      </c>
      <c r="K7" s="44">
        <f t="shared" si="1"/>
        <v>240.80739999999997</v>
      </c>
      <c r="L7" s="45">
        <v>43524</v>
      </c>
      <c r="M7" s="40"/>
      <c r="N7" s="43">
        <f t="shared" si="2"/>
        <v>-2.6000000000294676E-3</v>
      </c>
      <c r="O7" s="43">
        <f t="shared" si="3"/>
        <v>311.63</v>
      </c>
      <c r="P7" s="46" t="s">
        <v>199</v>
      </c>
      <c r="Q7" s="40" t="s">
        <v>177</v>
      </c>
      <c r="R7" s="47">
        <v>240.81</v>
      </c>
      <c r="S7" s="47">
        <v>65.73</v>
      </c>
      <c r="T7" s="48">
        <v>5.09</v>
      </c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 t="s">
        <v>202</v>
      </c>
      <c r="B9" s="41">
        <v>43535</v>
      </c>
      <c r="C9" s="42" t="s">
        <v>203</v>
      </c>
      <c r="D9" s="40">
        <v>335</v>
      </c>
      <c r="E9" s="40">
        <v>58.14</v>
      </c>
      <c r="F9" s="40">
        <v>276.86</v>
      </c>
      <c r="G9" s="43">
        <f>F9*6%</f>
        <v>16.611599999999999</v>
      </c>
      <c r="H9" s="43"/>
      <c r="I9" s="44">
        <f t="shared" si="4"/>
        <v>260.2484</v>
      </c>
      <c r="J9" s="44">
        <f t="shared" si="0"/>
        <v>69.790000000000006</v>
      </c>
      <c r="K9" s="44">
        <f t="shared" si="1"/>
        <v>190.45839999999998</v>
      </c>
      <c r="L9" s="45">
        <v>43538</v>
      </c>
      <c r="M9" s="40"/>
      <c r="N9" s="43">
        <f t="shared" si="2"/>
        <v>8.399999999994634E-3</v>
      </c>
      <c r="O9" s="43">
        <f t="shared" si="3"/>
        <v>260.24</v>
      </c>
      <c r="P9" s="46" t="s">
        <v>206</v>
      </c>
      <c r="Q9" s="40" t="s">
        <v>177</v>
      </c>
      <c r="R9" s="43">
        <v>190.45</v>
      </c>
      <c r="S9" s="43">
        <v>65.73</v>
      </c>
      <c r="T9" s="49">
        <v>4.0599999999999996</v>
      </c>
    </row>
    <row r="10" spans="1:25" ht="15">
      <c r="A10" s="32"/>
      <c r="B10" s="33"/>
      <c r="C10" s="34"/>
      <c r="D10" s="32"/>
      <c r="E10" s="32"/>
      <c r="F10" s="32"/>
      <c r="G10" s="37"/>
      <c r="H10" s="37"/>
      <c r="I10" s="177"/>
      <c r="J10" s="177"/>
      <c r="K10" s="177"/>
      <c r="L10" s="177"/>
      <c r="M10" s="177"/>
      <c r="N10" s="177"/>
      <c r="O10" s="37"/>
      <c r="P10" s="38"/>
      <c r="Q10" s="32"/>
      <c r="R10" s="32"/>
      <c r="S10" s="32"/>
      <c r="T10" s="39"/>
    </row>
    <row r="11" spans="1:25" ht="15">
      <c r="A11" s="163"/>
      <c r="B11" s="167"/>
      <c r="C11" s="168"/>
      <c r="D11" s="163"/>
      <c r="E11" s="163"/>
      <c r="F11" s="163"/>
      <c r="G11" s="164"/>
      <c r="H11" s="164"/>
      <c r="I11" s="185" t="s">
        <v>215</v>
      </c>
      <c r="J11" s="187"/>
      <c r="K11" s="187"/>
      <c r="L11" s="188"/>
      <c r="M11" s="184"/>
      <c r="N11" s="185"/>
      <c r="O11" s="164"/>
      <c r="P11" s="165"/>
      <c r="Q11" s="163"/>
      <c r="R11" s="163"/>
      <c r="S11" s="163"/>
      <c r="T11" s="181"/>
    </row>
    <row r="12" spans="1:25" ht="15">
      <c r="A12" s="163"/>
      <c r="B12" s="167"/>
      <c r="C12" s="176" t="s">
        <v>209</v>
      </c>
      <c r="D12" s="175">
        <v>335</v>
      </c>
      <c r="E12" s="175">
        <v>58.14</v>
      </c>
      <c r="F12" s="175">
        <v>276.86</v>
      </c>
      <c r="G12" s="178">
        <f>F12*6%</f>
        <v>16.611599999999999</v>
      </c>
      <c r="H12" s="178"/>
      <c r="I12" s="178">
        <f t="shared" ref="I12" si="5">F12-G12-H12</f>
        <v>260.2484</v>
      </c>
      <c r="J12" s="179">
        <f>S12+T12</f>
        <v>69.790000000000006</v>
      </c>
      <c r="K12" s="179">
        <f>I12-J12</f>
        <v>190.45839999999998</v>
      </c>
      <c r="L12" s="180"/>
      <c r="M12" s="175"/>
      <c r="N12" s="178">
        <f t="shared" ref="N12" si="6">I12-J12-M12-R12</f>
        <v>-1.1600000000015598E-2</v>
      </c>
      <c r="O12" s="178">
        <f t="shared" ref="O12" si="7">R12+S12+T12</f>
        <v>260.26</v>
      </c>
      <c r="P12" s="195" t="s">
        <v>216</v>
      </c>
      <c r="Q12" s="175" t="s">
        <v>177</v>
      </c>
      <c r="R12" s="175">
        <v>190.47</v>
      </c>
      <c r="S12" s="175">
        <v>65.73</v>
      </c>
      <c r="T12" s="186">
        <v>4.0599999999999996</v>
      </c>
    </row>
    <row r="13" spans="1:25" ht="15">
      <c r="A13" s="40" t="s">
        <v>208</v>
      </c>
      <c r="B13" s="41">
        <v>43556</v>
      </c>
      <c r="C13" s="42" t="s">
        <v>209</v>
      </c>
      <c r="D13" s="40">
        <v>335</v>
      </c>
      <c r="E13" s="40">
        <v>58.14</v>
      </c>
      <c r="F13" s="40">
        <v>276.86</v>
      </c>
      <c r="G13" s="43">
        <f>F13*6%</f>
        <v>16.611599999999999</v>
      </c>
      <c r="H13" s="43"/>
      <c r="I13" s="189">
        <f t="shared" si="4"/>
        <v>260.2484</v>
      </c>
      <c r="J13" s="189">
        <f>S13+T13</f>
        <v>88.61</v>
      </c>
      <c r="K13" s="189">
        <f>I13-J13</f>
        <v>171.63839999999999</v>
      </c>
      <c r="L13" s="190">
        <v>43559</v>
      </c>
      <c r="M13" s="159"/>
      <c r="N13" s="191">
        <f t="shared" si="2"/>
        <v>-1.1600000000015598E-2</v>
      </c>
      <c r="O13" s="191">
        <f t="shared" si="3"/>
        <v>260.26</v>
      </c>
      <c r="P13" s="192" t="s">
        <v>212</v>
      </c>
      <c r="Q13" s="159" t="s">
        <v>177</v>
      </c>
      <c r="R13" s="193">
        <v>171.65</v>
      </c>
      <c r="S13" s="193">
        <v>84.88</v>
      </c>
      <c r="T13" s="194">
        <v>3.73</v>
      </c>
    </row>
    <row r="14" spans="1:25" ht="15">
      <c r="A14" s="166"/>
      <c r="B14" s="173"/>
      <c r="C14" s="174"/>
      <c r="D14" s="166"/>
      <c r="E14" s="166"/>
      <c r="F14" s="166"/>
      <c r="G14" s="169"/>
      <c r="H14" s="169"/>
      <c r="I14" s="170"/>
      <c r="J14" s="171" t="s">
        <v>217</v>
      </c>
      <c r="K14" s="171">
        <f>K12-K13</f>
        <v>18.819999999999993</v>
      </c>
      <c r="L14" s="196">
        <v>43587</v>
      </c>
      <c r="M14" s="166"/>
      <c r="N14" s="169"/>
      <c r="O14" s="169"/>
      <c r="P14" s="172"/>
      <c r="Q14" s="166"/>
      <c r="R14" s="182"/>
      <c r="S14" s="182"/>
      <c r="T14" s="183"/>
    </row>
    <row r="15" spans="1:25" ht="15">
      <c r="A15" s="32"/>
      <c r="B15" s="33"/>
      <c r="C15" s="34"/>
      <c r="D15" s="32"/>
      <c r="E15" s="32"/>
      <c r="F15" s="32"/>
      <c r="G15" s="37"/>
      <c r="H15" s="37"/>
      <c r="I15" s="37"/>
      <c r="J15" s="35"/>
      <c r="K15" s="35"/>
      <c r="L15" s="36"/>
      <c r="M15" s="32"/>
      <c r="N15" s="37"/>
      <c r="O15" s="37"/>
      <c r="P15" s="38"/>
      <c r="Q15" s="32"/>
      <c r="R15" s="32"/>
      <c r="S15" s="32"/>
      <c r="T15" s="39"/>
    </row>
    <row r="16" spans="1:25" ht="15">
      <c r="A16" s="40" t="s">
        <v>218</v>
      </c>
      <c r="B16" s="41">
        <v>43592</v>
      </c>
      <c r="C16" s="42" t="s">
        <v>219</v>
      </c>
      <c r="D16" s="40">
        <v>250</v>
      </c>
      <c r="E16" s="40">
        <v>43.39</v>
      </c>
      <c r="F16" s="40">
        <v>206.61</v>
      </c>
      <c r="G16" s="43">
        <f>F16*6%</f>
        <v>12.396600000000001</v>
      </c>
      <c r="H16" s="43"/>
      <c r="I16" s="44">
        <f t="shared" si="4"/>
        <v>194.21340000000001</v>
      </c>
      <c r="J16" s="44">
        <f t="shared" si="0"/>
        <v>68.47</v>
      </c>
      <c r="K16" s="44">
        <f t="shared" si="1"/>
        <v>125.74340000000001</v>
      </c>
      <c r="L16" s="45">
        <v>43601</v>
      </c>
      <c r="M16" s="40"/>
      <c r="N16" s="43">
        <f t="shared" si="2"/>
        <v>3.4000000000133923E-3</v>
      </c>
      <c r="O16" s="43">
        <f t="shared" si="3"/>
        <v>194.21</v>
      </c>
      <c r="P16" s="46" t="s">
        <v>222</v>
      </c>
      <c r="Q16" s="40" t="s">
        <v>177</v>
      </c>
      <c r="R16" s="47">
        <v>125.74</v>
      </c>
      <c r="S16" s="47">
        <v>65.73</v>
      </c>
      <c r="T16" s="48">
        <v>2.74</v>
      </c>
    </row>
    <row r="17" spans="1:22" ht="15">
      <c r="A17" s="32"/>
      <c r="B17" s="33"/>
      <c r="C17" s="32"/>
      <c r="D17" s="33"/>
      <c r="E17" s="34"/>
      <c r="F17" s="32"/>
      <c r="G17" s="32"/>
      <c r="H17" s="32"/>
      <c r="I17" s="37"/>
      <c r="J17" s="37"/>
      <c r="K17" s="35"/>
      <c r="L17" s="35"/>
      <c r="M17" s="35"/>
      <c r="N17" s="36"/>
      <c r="O17" s="32"/>
      <c r="P17" s="37"/>
      <c r="Q17" s="37"/>
      <c r="R17" s="38"/>
      <c r="S17" s="32"/>
      <c r="T17" s="39"/>
    </row>
    <row r="18" spans="1:22" ht="15">
      <c r="A18" s="40" t="s">
        <v>226</v>
      </c>
      <c r="B18" s="41">
        <v>43621</v>
      </c>
      <c r="C18" s="42" t="s">
        <v>227</v>
      </c>
      <c r="D18" s="40">
        <v>285</v>
      </c>
      <c r="E18" s="40">
        <v>49.46</v>
      </c>
      <c r="F18" s="40">
        <v>235.54</v>
      </c>
      <c r="G18" s="43">
        <f>F18*6%</f>
        <v>14.132399999999999</v>
      </c>
      <c r="H18" s="43"/>
      <c r="I18" s="44">
        <f t="shared" si="4"/>
        <v>221.4076</v>
      </c>
      <c r="J18" s="44">
        <f t="shared" si="0"/>
        <v>69.02000000000001</v>
      </c>
      <c r="K18" s="44">
        <f t="shared" si="1"/>
        <v>152.38759999999999</v>
      </c>
      <c r="L18" s="45">
        <v>43629</v>
      </c>
      <c r="M18" s="40"/>
      <c r="N18" s="43">
        <f t="shared" si="2"/>
        <v>7.5999999999964984E-3</v>
      </c>
      <c r="O18" s="43">
        <f t="shared" si="3"/>
        <v>221.4</v>
      </c>
      <c r="P18" s="213" t="s">
        <v>238</v>
      </c>
      <c r="Q18" s="40" t="s">
        <v>177</v>
      </c>
      <c r="R18" s="47">
        <v>152.38</v>
      </c>
      <c r="S18" s="47">
        <v>65.73</v>
      </c>
      <c r="T18" s="48">
        <v>3.29</v>
      </c>
    </row>
    <row r="19" spans="1:22" ht="15">
      <c r="A19" s="32"/>
      <c r="B19" s="33"/>
      <c r="C19" s="34"/>
      <c r="D19" s="32"/>
      <c r="E19" s="32"/>
      <c r="F19" s="32"/>
      <c r="G19" s="37"/>
      <c r="H19" s="37"/>
      <c r="I19" s="37"/>
      <c r="J19" s="35"/>
      <c r="K19" s="35"/>
      <c r="L19" s="36"/>
      <c r="M19" s="32"/>
      <c r="N19" s="37"/>
      <c r="O19" s="37"/>
      <c r="P19" s="38"/>
      <c r="Q19" s="32"/>
      <c r="R19" s="32"/>
      <c r="S19" s="32"/>
      <c r="T19" s="39"/>
    </row>
    <row r="20" spans="1:22" ht="15">
      <c r="A20" s="40" t="s">
        <v>232</v>
      </c>
      <c r="B20" s="41">
        <v>43635</v>
      </c>
      <c r="C20" s="42" t="s">
        <v>233</v>
      </c>
      <c r="D20" s="40">
        <v>250</v>
      </c>
      <c r="E20" s="40">
        <v>43.39</v>
      </c>
      <c r="F20" s="40">
        <v>206.61</v>
      </c>
      <c r="G20" s="43">
        <f>F20*6%</f>
        <v>12.396600000000001</v>
      </c>
      <c r="H20" s="43"/>
      <c r="I20" s="44">
        <f t="shared" si="4"/>
        <v>194.21340000000001</v>
      </c>
      <c r="J20" s="44">
        <f t="shared" si="0"/>
        <v>68.47</v>
      </c>
      <c r="K20" s="44">
        <f t="shared" si="1"/>
        <v>125.74340000000001</v>
      </c>
      <c r="L20" s="45">
        <v>43643</v>
      </c>
      <c r="M20" s="40"/>
      <c r="N20" s="43">
        <f t="shared" si="2"/>
        <v>3.4000000000133923E-3</v>
      </c>
      <c r="O20" s="43">
        <f t="shared" si="3"/>
        <v>194.21</v>
      </c>
      <c r="P20" s="46" t="s">
        <v>243</v>
      </c>
      <c r="Q20" s="40" t="s">
        <v>177</v>
      </c>
      <c r="R20" s="40">
        <v>125.74</v>
      </c>
      <c r="S20" s="40">
        <v>65.73</v>
      </c>
      <c r="T20" s="5">
        <v>2.74</v>
      </c>
    </row>
    <row r="21" spans="1:22" ht="15">
      <c r="A21" s="32"/>
      <c r="B21" s="33"/>
      <c r="C21" s="34"/>
      <c r="D21" s="32"/>
      <c r="E21" s="32"/>
      <c r="F21" s="32"/>
      <c r="G21" s="37"/>
      <c r="H21" s="37"/>
      <c r="I21" s="37"/>
      <c r="J21" s="35"/>
      <c r="K21" s="35"/>
      <c r="L21" s="36"/>
      <c r="M21" s="32"/>
      <c r="N21" s="37"/>
      <c r="O21" s="37"/>
      <c r="P21" s="38"/>
      <c r="Q21" s="32"/>
      <c r="R21" s="32"/>
      <c r="S21" s="32"/>
      <c r="T21" s="39"/>
    </row>
    <row r="22" spans="1:22" ht="15">
      <c r="A22" s="40" t="s">
        <v>246</v>
      </c>
      <c r="B22" s="222">
        <v>43648</v>
      </c>
      <c r="C22" s="42" t="s">
        <v>247</v>
      </c>
      <c r="D22" s="40">
        <v>335</v>
      </c>
      <c r="E22" s="40">
        <v>58.14</v>
      </c>
      <c r="F22" s="40">
        <v>276.86</v>
      </c>
      <c r="G22" s="43">
        <f>F22*6%</f>
        <v>16.611599999999999</v>
      </c>
      <c r="H22" s="43"/>
      <c r="I22" s="44">
        <f t="shared" si="4"/>
        <v>260.2484</v>
      </c>
      <c r="J22" s="44">
        <f>S22+T22</f>
        <v>69.790000000000006</v>
      </c>
      <c r="K22" s="44">
        <f t="shared" si="1"/>
        <v>190.45839999999998</v>
      </c>
      <c r="L22" s="45">
        <v>43657</v>
      </c>
      <c r="M22" s="40"/>
      <c r="N22" s="43">
        <f>I22-J22-M22-R22</f>
        <v>-1.6000000000246928E-3</v>
      </c>
      <c r="O22" s="43">
        <f>R22+S22+T22</f>
        <v>260.25</v>
      </c>
      <c r="P22" s="46" t="s">
        <v>251</v>
      </c>
      <c r="Q22" s="40" t="s">
        <v>177</v>
      </c>
      <c r="R22" s="47">
        <v>190.46</v>
      </c>
      <c r="S22" s="47">
        <v>65.73</v>
      </c>
      <c r="T22" s="48">
        <v>4.0599999999999996</v>
      </c>
    </row>
    <row r="23" spans="1:22" ht="15">
      <c r="A23" s="32"/>
      <c r="B23" s="33"/>
      <c r="C23" s="34"/>
      <c r="D23" s="32"/>
      <c r="E23" s="32"/>
      <c r="F23" s="32"/>
      <c r="G23" s="37"/>
      <c r="H23" s="37"/>
      <c r="I23" s="37"/>
      <c r="J23" s="35"/>
      <c r="K23" s="35"/>
      <c r="L23" s="36"/>
      <c r="M23" s="32"/>
      <c r="N23" s="37"/>
      <c r="O23" s="37"/>
      <c r="P23" s="38"/>
      <c r="Q23" s="32"/>
      <c r="R23" s="32"/>
      <c r="S23" s="32"/>
      <c r="T23" s="39"/>
    </row>
    <row r="24" spans="1:22">
      <c r="A24" s="40" t="s">
        <v>259</v>
      </c>
      <c r="B24" s="41">
        <v>43678</v>
      </c>
      <c r="C24" s="42" t="s">
        <v>260</v>
      </c>
      <c r="D24" s="40">
        <v>285</v>
      </c>
      <c r="E24" s="40">
        <v>49.46</v>
      </c>
      <c r="F24" s="40">
        <v>235.54</v>
      </c>
      <c r="G24" s="43">
        <f>F24*6%</f>
        <v>14.132399999999999</v>
      </c>
      <c r="H24" s="43"/>
      <c r="I24" s="44">
        <f t="shared" si="4"/>
        <v>221.4076</v>
      </c>
      <c r="J24" s="44">
        <f t="shared" si="0"/>
        <v>69.02000000000001</v>
      </c>
      <c r="K24" s="44">
        <f t="shared" si="1"/>
        <v>152.38759999999999</v>
      </c>
      <c r="L24" s="45">
        <v>43685</v>
      </c>
      <c r="M24" s="40"/>
      <c r="N24" s="43">
        <f t="shared" si="2"/>
        <v>7.5999999999964984E-3</v>
      </c>
      <c r="O24" s="43">
        <f t="shared" si="3"/>
        <v>221.4</v>
      </c>
      <c r="P24" s="245" t="s">
        <v>267</v>
      </c>
      <c r="Q24" s="40" t="s">
        <v>177</v>
      </c>
      <c r="R24" s="47">
        <v>152.38</v>
      </c>
      <c r="S24" s="47">
        <v>65.73</v>
      </c>
      <c r="T24" s="48">
        <v>3.29</v>
      </c>
    </row>
    <row r="25" spans="1:22" ht="15">
      <c r="A25" s="32"/>
      <c r="B25" s="33"/>
      <c r="C25" s="34"/>
      <c r="D25" s="32"/>
      <c r="E25" s="32"/>
      <c r="F25" s="32"/>
      <c r="G25" s="37"/>
      <c r="H25" s="37"/>
      <c r="I25" s="37"/>
      <c r="J25" s="35"/>
      <c r="K25" s="35"/>
      <c r="L25" s="36"/>
      <c r="M25" s="32"/>
      <c r="N25" s="37"/>
      <c r="O25" s="37"/>
      <c r="P25" s="38"/>
      <c r="Q25" s="32"/>
      <c r="R25" s="32"/>
      <c r="S25" s="32"/>
      <c r="T25" s="39"/>
    </row>
    <row r="26" spans="1:22" ht="15">
      <c r="A26" s="40" t="s">
        <v>276</v>
      </c>
      <c r="B26" s="41">
        <v>43721</v>
      </c>
      <c r="C26" s="42" t="s">
        <v>277</v>
      </c>
      <c r="D26" s="40">
        <v>385</v>
      </c>
      <c r="E26" s="40">
        <v>66.819999999999993</v>
      </c>
      <c r="F26" s="40">
        <v>318.18</v>
      </c>
      <c r="G26" s="43">
        <f>F26*6%</f>
        <v>19.090799999999998</v>
      </c>
      <c r="H26" s="43"/>
      <c r="I26" s="44">
        <f t="shared" si="4"/>
        <v>299.08920000000001</v>
      </c>
      <c r="J26" s="44">
        <f t="shared" si="0"/>
        <v>106.2</v>
      </c>
      <c r="K26" s="44">
        <f t="shared" si="1"/>
        <v>192.88920000000002</v>
      </c>
      <c r="L26" s="45">
        <v>43727</v>
      </c>
      <c r="M26" s="40"/>
      <c r="N26" s="43">
        <f t="shared" si="2"/>
        <v>9.2000000000211912E-3</v>
      </c>
      <c r="O26" s="43">
        <f t="shared" si="3"/>
        <v>299.08</v>
      </c>
      <c r="P26" s="46" t="s">
        <v>280</v>
      </c>
      <c r="Q26" s="40" t="s">
        <v>177</v>
      </c>
      <c r="R26" s="40">
        <v>192.88</v>
      </c>
      <c r="S26" s="40">
        <v>101.99000000000001</v>
      </c>
      <c r="T26" s="5">
        <v>4.21</v>
      </c>
    </row>
    <row r="27" spans="1:22" ht="15">
      <c r="A27" s="32"/>
      <c r="B27" s="33"/>
      <c r="C27" s="32"/>
      <c r="D27" s="33"/>
      <c r="E27" s="34"/>
      <c r="F27" s="32"/>
      <c r="G27" s="32"/>
      <c r="H27" s="32"/>
      <c r="I27" s="37"/>
      <c r="J27" s="37"/>
      <c r="K27" s="35"/>
      <c r="L27" s="35"/>
      <c r="M27" s="35"/>
      <c r="N27" s="36"/>
      <c r="O27" s="32"/>
      <c r="P27" s="37"/>
      <c r="Q27" s="37"/>
      <c r="R27" s="38"/>
      <c r="S27" s="32"/>
      <c r="T27" s="39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4"/>
        <v>0</v>
      </c>
      <c r="J29" s="44">
        <f t="shared" si="0"/>
        <v>0</v>
      </c>
      <c r="K29" s="44">
        <f t="shared" si="1"/>
        <v>0</v>
      </c>
      <c r="L29" s="45"/>
      <c r="M29" s="40"/>
      <c r="N29" s="43">
        <f t="shared" si="2"/>
        <v>0</v>
      </c>
      <c r="O29" s="43">
        <f t="shared" si="3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7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4"/>
        <v>0</v>
      </c>
      <c r="J31" s="44">
        <f t="shared" si="0"/>
        <v>0</v>
      </c>
      <c r="K31" s="44">
        <f t="shared" si="1"/>
        <v>0</v>
      </c>
      <c r="L31" s="45"/>
      <c r="M31" s="40"/>
      <c r="N31" s="43">
        <f t="shared" si="2"/>
        <v>0</v>
      </c>
      <c r="O31" s="43">
        <f t="shared" si="3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4"/>
        <v>0</v>
      </c>
      <c r="J33" s="44">
        <f t="shared" si="0"/>
        <v>0</v>
      </c>
      <c r="K33" s="44">
        <f t="shared" si="1"/>
        <v>0</v>
      </c>
      <c r="L33" s="45"/>
      <c r="M33" s="40"/>
      <c r="N33" s="43">
        <f t="shared" si="2"/>
        <v>0</v>
      </c>
      <c r="O33" s="43">
        <f t="shared" si="3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50"/>
      <c r="B35" s="51"/>
      <c r="C35" s="52"/>
      <c r="D35" s="50"/>
      <c r="E35" s="50"/>
      <c r="F35" s="50"/>
      <c r="G35" s="43">
        <f>F35*6%</f>
        <v>0</v>
      </c>
      <c r="H35" s="53"/>
      <c r="I35" s="78">
        <f t="shared" si="4"/>
        <v>0</v>
      </c>
      <c r="J35" s="54">
        <f t="shared" si="0"/>
        <v>0</v>
      </c>
      <c r="K35" s="54">
        <f t="shared" si="1"/>
        <v>0</v>
      </c>
      <c r="L35" s="55"/>
      <c r="M35" s="50"/>
      <c r="N35" s="53">
        <f t="shared" si="2"/>
        <v>0</v>
      </c>
      <c r="O35" s="53">
        <f t="shared" si="3"/>
        <v>0</v>
      </c>
      <c r="P35" s="56"/>
      <c r="Q35" s="50"/>
      <c r="R35" s="50"/>
      <c r="S35" s="50"/>
      <c r="T35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732" priority="28" operator="containsText" text="SIN FACTURA ">
      <formula>NOT(ISERROR(SEARCH("SIN FACTURA ",A2)))</formula>
    </cfRule>
  </conditionalFormatting>
  <conditionalFormatting sqref="J35:T35 J33:T33 J31:T31 J29:T29 A29:H29 A31:H31 A33:H33 A35:H35 A4:T5 I11:I35 J11:T16 J18:T26 J17:V17 J27:V27 A6:H27 I6:T10">
    <cfRule type="containsText" dxfId="3731" priority="27" operator="containsText" text="SIN FACTURA">
      <formula>NOT(ISERROR(SEARCH("SIN FACTURA",A4)))</formula>
    </cfRule>
  </conditionalFormatting>
  <conditionalFormatting sqref="C28:H28 J28:V28">
    <cfRule type="containsText" dxfId="3730" priority="18" operator="containsText" text="SIN FACTURA">
      <formula>NOT(ISERROR(SEARCH("SIN FACTURA",C28)))</formula>
    </cfRule>
  </conditionalFormatting>
  <conditionalFormatting sqref="C30:H30 J30:V30">
    <cfRule type="containsText" dxfId="3729" priority="17" operator="containsText" text="SIN FACTURA">
      <formula>NOT(ISERROR(SEARCH("SIN FACTURA",C30)))</formula>
    </cfRule>
  </conditionalFormatting>
  <conditionalFormatting sqref="C32:H32 J32:V32">
    <cfRule type="containsText" dxfId="3728" priority="16" operator="containsText" text="SIN FACTURA">
      <formula>NOT(ISERROR(SEARCH("SIN FACTURA",C32)))</formula>
    </cfRule>
  </conditionalFormatting>
  <conditionalFormatting sqref="C34:H34 J34:V34">
    <cfRule type="containsText" dxfId="3727" priority="15" operator="containsText" text="SIN FACTURA">
      <formula>NOT(ISERROR(SEARCH("SIN FACTURA",C34)))</formula>
    </cfRule>
  </conditionalFormatting>
  <conditionalFormatting sqref="A34:B34">
    <cfRule type="containsText" dxfId="3726" priority="3" operator="containsText" text="SIN FACTURA">
      <formula>NOT(ISERROR(SEARCH("SIN FACTURA",A34)))</formula>
    </cfRule>
  </conditionalFormatting>
  <conditionalFormatting sqref="A28:B28">
    <cfRule type="containsText" dxfId="3725" priority="6" operator="containsText" text="SIN FACTURA">
      <formula>NOT(ISERROR(SEARCH("SIN FACTURA",A28)))</formula>
    </cfRule>
  </conditionalFormatting>
  <conditionalFormatting sqref="A30:B30">
    <cfRule type="containsText" dxfId="3724" priority="5" operator="containsText" text="SIN FACTURA">
      <formula>NOT(ISERROR(SEARCH("SIN FACTURA",A30)))</formula>
    </cfRule>
  </conditionalFormatting>
  <conditionalFormatting sqref="A32:B32">
    <cfRule type="containsText" dxfId="3723" priority="4" operator="containsText" text="SIN FACTURA">
      <formula>NOT(ISERROR(SEARCH("SIN FACTURA",A32)))</formula>
    </cfRule>
  </conditionalFormatting>
  <pageMargins left="0.75" right="0.75" top="1" bottom="1" header="0.5" footer="0.5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Hoja24"/>
  <dimension ref="A1:Y29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H25" sqref="H25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214</v>
      </c>
      <c r="B1" s="18"/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s="206" customFormat="1" ht="15">
      <c r="A4" s="199"/>
      <c r="B4" s="200"/>
      <c r="C4" s="201"/>
      <c r="D4" s="199"/>
      <c r="E4" s="199"/>
      <c r="F4" s="199"/>
      <c r="G4" s="199"/>
      <c r="H4" s="198"/>
      <c r="I4" s="202"/>
      <c r="J4" s="202"/>
      <c r="K4" s="202"/>
      <c r="L4" s="203"/>
      <c r="M4" s="199"/>
      <c r="N4" s="204"/>
      <c r="O4" s="204"/>
      <c r="P4" s="205"/>
      <c r="Q4" s="199"/>
      <c r="R4" s="199"/>
      <c r="S4" s="199"/>
      <c r="T4" s="198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29" si="0">F5-G5-H5</f>
        <v>0</v>
      </c>
      <c r="J5" s="44">
        <f t="shared" ref="J5:J29" si="1">S5+T5</f>
        <v>0</v>
      </c>
      <c r="K5" s="44">
        <f t="shared" ref="K5:K29" si="2">I5-J5</f>
        <v>0</v>
      </c>
      <c r="L5" s="45"/>
      <c r="M5" s="40"/>
      <c r="N5" s="43">
        <f t="shared" ref="N5:N29" si="3">I5-J5-M5-R5</f>
        <v>0</v>
      </c>
      <c r="O5" s="43">
        <f t="shared" ref="O5:O29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  <c r="U10" s="6"/>
      <c r="V10" s="6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50"/>
      <c r="B29" s="51"/>
      <c r="C29" s="52"/>
      <c r="D29" s="50"/>
      <c r="E29" s="50"/>
      <c r="F29" s="50"/>
      <c r="G29" s="43">
        <f>F29*6%</f>
        <v>0</v>
      </c>
      <c r="H29" s="53"/>
      <c r="I29" s="78">
        <f t="shared" si="0"/>
        <v>0</v>
      </c>
      <c r="J29" s="54">
        <f t="shared" si="1"/>
        <v>0</v>
      </c>
      <c r="K29" s="54">
        <f t="shared" si="2"/>
        <v>0</v>
      </c>
      <c r="L29" s="55"/>
      <c r="M29" s="50"/>
      <c r="N29" s="53">
        <f t="shared" si="3"/>
        <v>0</v>
      </c>
      <c r="O29" s="53">
        <f t="shared" si="4"/>
        <v>0</v>
      </c>
      <c r="P29" s="56"/>
      <c r="Q29" s="50"/>
      <c r="R29" s="50"/>
      <c r="S29" s="50"/>
      <c r="T29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722" priority="30" operator="containsText" text="SIN FACTURA ">
      <formula>NOT(ISERROR(SEARCH("SIN FACTURA ",A2)))</formula>
    </cfRule>
  </conditionalFormatting>
  <conditionalFormatting sqref="J29:T29 J27:T27 J25:T25 J23:T23 J21:T21 J19:T19 J17:T17 J15:T15 J13:T13 J11:T11 J9:T9 A9:H9 A11:H11 A13:H13 A15:H15 A17:H17 A19:H19 A21:H21 A23:H23 A25:H25 A27:H27 A29:H29 A4:T4 A5:H7 J5:T7 I5:I29">
    <cfRule type="containsText" dxfId="3721" priority="29" operator="containsText" text="SIN FACTURA">
      <formula>NOT(ISERROR(SEARCH("SIN FACTURA",A4)))</formula>
    </cfRule>
  </conditionalFormatting>
  <conditionalFormatting sqref="C8:H8 J8:V8">
    <cfRule type="containsText" dxfId="3720" priority="27" operator="containsText" text="SIN FACTURA">
      <formula>NOT(ISERROR(SEARCH("SIN FACTURA",C8)))</formula>
    </cfRule>
  </conditionalFormatting>
  <conditionalFormatting sqref="C10:H10 J10:V10">
    <cfRule type="containsText" dxfId="3719" priority="26" operator="containsText" text="SIN FACTURA">
      <formula>NOT(ISERROR(SEARCH("SIN FACTURA",C10)))</formula>
    </cfRule>
  </conditionalFormatting>
  <conditionalFormatting sqref="C12:H12 J12:V12">
    <cfRule type="containsText" dxfId="3718" priority="25" operator="containsText" text="SIN FACTURA">
      <formula>NOT(ISERROR(SEARCH("SIN FACTURA",C12)))</formula>
    </cfRule>
  </conditionalFormatting>
  <conditionalFormatting sqref="C14:H14 J14:V14">
    <cfRule type="containsText" dxfId="3717" priority="24" operator="containsText" text="SIN FACTURA">
      <formula>NOT(ISERROR(SEARCH("SIN FACTURA",C14)))</formula>
    </cfRule>
  </conditionalFormatting>
  <conditionalFormatting sqref="C16:H16 J16:V16">
    <cfRule type="containsText" dxfId="3716" priority="23" operator="containsText" text="SIN FACTURA">
      <formula>NOT(ISERROR(SEARCH("SIN FACTURA",C16)))</formula>
    </cfRule>
  </conditionalFormatting>
  <conditionalFormatting sqref="C18:H18 J18:V18">
    <cfRule type="containsText" dxfId="3715" priority="22" operator="containsText" text="SIN FACTURA">
      <formula>NOT(ISERROR(SEARCH("SIN FACTURA",C18)))</formula>
    </cfRule>
  </conditionalFormatting>
  <conditionalFormatting sqref="C20:H20 J20:V20">
    <cfRule type="containsText" dxfId="3714" priority="21" operator="containsText" text="SIN FACTURA">
      <formula>NOT(ISERROR(SEARCH("SIN FACTURA",C20)))</formula>
    </cfRule>
  </conditionalFormatting>
  <conditionalFormatting sqref="C22:H22 J22:V22">
    <cfRule type="containsText" dxfId="3713" priority="20" operator="containsText" text="SIN FACTURA">
      <formula>NOT(ISERROR(SEARCH("SIN FACTURA",C22)))</formula>
    </cfRule>
  </conditionalFormatting>
  <conditionalFormatting sqref="C24:H24 J24:V24">
    <cfRule type="containsText" dxfId="3712" priority="19" operator="containsText" text="SIN FACTURA">
      <formula>NOT(ISERROR(SEARCH("SIN FACTURA",C24)))</formula>
    </cfRule>
  </conditionalFormatting>
  <conditionalFormatting sqref="C26:H26 J26:V26">
    <cfRule type="containsText" dxfId="3711" priority="18" operator="containsText" text="SIN FACTURA">
      <formula>NOT(ISERROR(SEARCH("SIN FACTURA",C26)))</formula>
    </cfRule>
  </conditionalFormatting>
  <conditionalFormatting sqref="C28:H28 J28:V28">
    <cfRule type="containsText" dxfId="3710" priority="17" operator="containsText" text="SIN FACTURA">
      <formula>NOT(ISERROR(SEARCH("SIN FACTURA",C28)))</formula>
    </cfRule>
  </conditionalFormatting>
  <conditionalFormatting sqref="A8:B8">
    <cfRule type="containsText" dxfId="3709" priority="15" operator="containsText" text="SIN FACTURA">
      <formula>NOT(ISERROR(SEARCH("SIN FACTURA",A8)))</formula>
    </cfRule>
  </conditionalFormatting>
  <conditionalFormatting sqref="A10:B10">
    <cfRule type="containsText" dxfId="3708" priority="14" operator="containsText" text="SIN FACTURA">
      <formula>NOT(ISERROR(SEARCH("SIN FACTURA",A10)))</formula>
    </cfRule>
  </conditionalFormatting>
  <conditionalFormatting sqref="A12:B12">
    <cfRule type="containsText" dxfId="3707" priority="13" operator="containsText" text="SIN FACTURA">
      <formula>NOT(ISERROR(SEARCH("SIN FACTURA",A12)))</formula>
    </cfRule>
  </conditionalFormatting>
  <conditionalFormatting sqref="A14:B14">
    <cfRule type="containsText" dxfId="3706" priority="12" operator="containsText" text="SIN FACTURA">
      <formula>NOT(ISERROR(SEARCH("SIN FACTURA",A14)))</formula>
    </cfRule>
  </conditionalFormatting>
  <conditionalFormatting sqref="A16:B16">
    <cfRule type="containsText" dxfId="3705" priority="11" operator="containsText" text="SIN FACTURA">
      <formula>NOT(ISERROR(SEARCH("SIN FACTURA",A16)))</formula>
    </cfRule>
  </conditionalFormatting>
  <conditionalFormatting sqref="A28:B28">
    <cfRule type="containsText" dxfId="3704" priority="5" operator="containsText" text="SIN FACTURA">
      <formula>NOT(ISERROR(SEARCH("SIN FACTURA",A28)))</formula>
    </cfRule>
  </conditionalFormatting>
  <conditionalFormatting sqref="A18:B18">
    <cfRule type="containsText" dxfId="3703" priority="10" operator="containsText" text="SIN FACTURA">
      <formula>NOT(ISERROR(SEARCH("SIN FACTURA",A18)))</formula>
    </cfRule>
  </conditionalFormatting>
  <conditionalFormatting sqref="A20:B20">
    <cfRule type="containsText" dxfId="3702" priority="9" operator="containsText" text="SIN FACTURA">
      <formula>NOT(ISERROR(SEARCH("SIN FACTURA",A20)))</formula>
    </cfRule>
  </conditionalFormatting>
  <conditionalFormatting sqref="A22:B22">
    <cfRule type="containsText" dxfId="3701" priority="8" operator="containsText" text="SIN FACTURA">
      <formula>NOT(ISERROR(SEARCH("SIN FACTURA",A22)))</formula>
    </cfRule>
  </conditionalFormatting>
  <conditionalFormatting sqref="A24:B24">
    <cfRule type="containsText" dxfId="3700" priority="7" operator="containsText" text="SIN FACTURA">
      <formula>NOT(ISERROR(SEARCH("SIN FACTURA",A24)))</formula>
    </cfRule>
  </conditionalFormatting>
  <conditionalFormatting sqref="A26:B26">
    <cfRule type="containsText" dxfId="3699" priority="6" operator="containsText" text="SIN FACTURA">
      <formula>NOT(ISERROR(SEARCH("SIN FACTURA",A26)))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>
  <sheetPr codeName="Hoja91"/>
  <dimension ref="A1:Y23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16" sqref="A5:XFD1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418</v>
      </c>
      <c r="B1" s="18" t="s">
        <v>119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23" si="0">F5-G5-H5</f>
        <v>0</v>
      </c>
      <c r="J5" s="44">
        <f t="shared" ref="J5:J23" si="1">S5+T5</f>
        <v>0</v>
      </c>
      <c r="K5" s="44">
        <f t="shared" ref="K5:K23" si="2">I5-J5</f>
        <v>0</v>
      </c>
      <c r="L5" s="45"/>
      <c r="M5" s="40"/>
      <c r="N5" s="43">
        <f t="shared" ref="N5:N23" si="3">I5-J5-M5-R5</f>
        <v>0</v>
      </c>
      <c r="O5" s="43">
        <f t="shared" ref="O5:O23" si="4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2"/>
      <c r="D6" s="33"/>
      <c r="E6" s="34"/>
      <c r="F6" s="32"/>
      <c r="G6" s="32"/>
      <c r="H6" s="32"/>
      <c r="I6" s="37"/>
      <c r="J6" s="37"/>
      <c r="K6" s="35"/>
      <c r="L6" s="35"/>
      <c r="M6" s="35"/>
      <c r="N6" s="36"/>
      <c r="O6" s="32"/>
      <c r="P6" s="37"/>
      <c r="Q6" s="37"/>
      <c r="R6" s="38"/>
      <c r="S6" s="32"/>
      <c r="T6" s="39"/>
      <c r="U6" s="6"/>
      <c r="V6" s="6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  <c r="U8" s="6"/>
      <c r="V8" s="6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  <c r="U10" s="6"/>
      <c r="V10" s="6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50"/>
      <c r="B23" s="51"/>
      <c r="C23" s="52"/>
      <c r="D23" s="50"/>
      <c r="E23" s="50"/>
      <c r="F23" s="50"/>
      <c r="G23" s="43">
        <f>F23*6%</f>
        <v>0</v>
      </c>
      <c r="H23" s="53"/>
      <c r="I23" s="78">
        <f t="shared" si="0"/>
        <v>0</v>
      </c>
      <c r="J23" s="54">
        <f t="shared" si="1"/>
        <v>0</v>
      </c>
      <c r="K23" s="54">
        <f t="shared" si="2"/>
        <v>0</v>
      </c>
      <c r="L23" s="55"/>
      <c r="M23" s="50"/>
      <c r="N23" s="53">
        <f t="shared" si="3"/>
        <v>0</v>
      </c>
      <c r="O23" s="53">
        <f t="shared" si="4"/>
        <v>0</v>
      </c>
      <c r="P23" s="56"/>
      <c r="Q23" s="50"/>
      <c r="R23" s="50"/>
      <c r="S23" s="50"/>
      <c r="T2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698" priority="26" operator="containsText" text="SIN FACTURA ">
      <formula>NOT(ISERROR(SEARCH("SIN FACTURA ",A2)))</formula>
    </cfRule>
  </conditionalFormatting>
  <conditionalFormatting sqref="J23:T23 J21:T21 J19:T19 J17:T17 J15:T15 J13:T13 J11:T11 J9:T9 J7:T7 A7:H7 A9:H9 A11:H11 A13:H13 A15:H15 A17:H17 A19:H19 A21:H21 A23:H23 A4:T4 J5:T5 A5:H5 I5:I23">
    <cfRule type="containsText" dxfId="3697" priority="25" operator="containsText" text="SIN FACTURA">
      <formula>NOT(ISERROR(SEARCH("SIN FACTURA",A4)))</formula>
    </cfRule>
  </conditionalFormatting>
  <conditionalFormatting sqref="C6:H6 J6:V6">
    <cfRule type="containsText" dxfId="3696" priority="21" operator="containsText" text="SIN FACTURA">
      <formula>NOT(ISERROR(SEARCH("SIN FACTURA",C6)))</formula>
    </cfRule>
  </conditionalFormatting>
  <conditionalFormatting sqref="C8:H8 J8:V8">
    <cfRule type="containsText" dxfId="3695" priority="20" operator="containsText" text="SIN FACTURA">
      <formula>NOT(ISERROR(SEARCH("SIN FACTURA",C8)))</formula>
    </cfRule>
  </conditionalFormatting>
  <conditionalFormatting sqref="C10:H10 J10:V10">
    <cfRule type="containsText" dxfId="3694" priority="19" operator="containsText" text="SIN FACTURA">
      <formula>NOT(ISERROR(SEARCH("SIN FACTURA",C10)))</formula>
    </cfRule>
  </conditionalFormatting>
  <conditionalFormatting sqref="C12:H12 J12:V12">
    <cfRule type="containsText" dxfId="3693" priority="18" operator="containsText" text="SIN FACTURA">
      <formula>NOT(ISERROR(SEARCH("SIN FACTURA",C12)))</formula>
    </cfRule>
  </conditionalFormatting>
  <conditionalFormatting sqref="C14:H14 J14:V14">
    <cfRule type="containsText" dxfId="3692" priority="17" operator="containsText" text="SIN FACTURA">
      <formula>NOT(ISERROR(SEARCH("SIN FACTURA",C14)))</formula>
    </cfRule>
  </conditionalFormatting>
  <conditionalFormatting sqref="C16:H16 J16:V16">
    <cfRule type="containsText" dxfId="3691" priority="16" operator="containsText" text="SIN FACTURA">
      <formula>NOT(ISERROR(SEARCH("SIN FACTURA",C16)))</formula>
    </cfRule>
  </conditionalFormatting>
  <conditionalFormatting sqref="C18:H18 J18:V18">
    <cfRule type="containsText" dxfId="3690" priority="15" operator="containsText" text="SIN FACTURA">
      <formula>NOT(ISERROR(SEARCH("SIN FACTURA",C18)))</formula>
    </cfRule>
  </conditionalFormatting>
  <conditionalFormatting sqref="C20:H20 J20:V20">
    <cfRule type="containsText" dxfId="3689" priority="14" operator="containsText" text="SIN FACTURA">
      <formula>NOT(ISERROR(SEARCH("SIN FACTURA",C20)))</formula>
    </cfRule>
  </conditionalFormatting>
  <conditionalFormatting sqref="C22:H22 J22:V22">
    <cfRule type="containsText" dxfId="3688" priority="13" operator="containsText" text="SIN FACTURA">
      <formula>NOT(ISERROR(SEARCH("SIN FACTURA",C22)))</formula>
    </cfRule>
  </conditionalFormatting>
  <conditionalFormatting sqref="A6:B6">
    <cfRule type="containsText" dxfId="3687" priority="9" operator="containsText" text="SIN FACTURA">
      <formula>NOT(ISERROR(SEARCH("SIN FACTURA",A6)))</formula>
    </cfRule>
  </conditionalFormatting>
  <conditionalFormatting sqref="A8:B8">
    <cfRule type="containsText" dxfId="3686" priority="8" operator="containsText" text="SIN FACTURA">
      <formula>NOT(ISERROR(SEARCH("SIN FACTURA",A8)))</formula>
    </cfRule>
  </conditionalFormatting>
  <conditionalFormatting sqref="A10:B10">
    <cfRule type="containsText" dxfId="3685" priority="7" operator="containsText" text="SIN FACTURA">
      <formula>NOT(ISERROR(SEARCH("SIN FACTURA",A10)))</formula>
    </cfRule>
  </conditionalFormatting>
  <conditionalFormatting sqref="A22:B22">
    <cfRule type="containsText" dxfId="3684" priority="1" operator="containsText" text="SIN FACTURA">
      <formula>NOT(ISERROR(SEARCH("SIN FACTURA",A22)))</formula>
    </cfRule>
  </conditionalFormatting>
  <conditionalFormatting sqref="A12:B12">
    <cfRule type="containsText" dxfId="3683" priority="6" operator="containsText" text="SIN FACTURA">
      <formula>NOT(ISERROR(SEARCH("SIN FACTURA",A12)))</formula>
    </cfRule>
  </conditionalFormatting>
  <conditionalFormatting sqref="A14:B14">
    <cfRule type="containsText" dxfId="3682" priority="5" operator="containsText" text="SIN FACTURA">
      <formula>NOT(ISERROR(SEARCH("SIN FACTURA",A14)))</formula>
    </cfRule>
  </conditionalFormatting>
  <conditionalFormatting sqref="A16:B16">
    <cfRule type="containsText" dxfId="3681" priority="4" operator="containsText" text="SIN FACTURA">
      <formula>NOT(ISERROR(SEARCH("SIN FACTURA",A16)))</formula>
    </cfRule>
  </conditionalFormatting>
  <conditionalFormatting sqref="A18:B18">
    <cfRule type="containsText" dxfId="3680" priority="3" operator="containsText" text="SIN FACTURA">
      <formula>NOT(ISERROR(SEARCH("SIN FACTURA",A18)))</formula>
    </cfRule>
  </conditionalFormatting>
  <conditionalFormatting sqref="A20:B20">
    <cfRule type="containsText" dxfId="3679" priority="2" operator="containsText" text="SIN FACTURA">
      <formula>NOT(ISERROR(SEARCH("SIN FACTURA",A20)))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>
  <sheetPr codeName="Hoja92"/>
  <dimension ref="A1:Y41"/>
  <sheetViews>
    <sheetView zoomScale="125" zoomScaleNormal="125" zoomScalePageLayoutView="125" workbookViewId="0">
      <pane ySplit="1" topLeftCell="A2" activePane="bottomLeft" state="frozen"/>
      <selection activeCell="C52" sqref="C52"/>
      <selection pane="bottomLeft" activeCell="A8" sqref="A5:XFD8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344</v>
      </c>
      <c r="B1" s="18" t="s">
        <v>93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1" si="0">F5-G5-H5</f>
        <v>0</v>
      </c>
      <c r="J5" s="44">
        <f t="shared" ref="J5:J41" si="1">S5+T5</f>
        <v>0</v>
      </c>
      <c r="K5" s="44">
        <f t="shared" ref="K5:K41" si="2">I5-J5</f>
        <v>0</v>
      </c>
      <c r="L5" s="45"/>
      <c r="M5" s="40"/>
      <c r="N5" s="43">
        <f t="shared" ref="N5:N41" si="3">I5-J5-M5-R5</f>
        <v>0</v>
      </c>
      <c r="O5" s="43">
        <f t="shared" ref="O5:O41" si="4">R5+S5+T5</f>
        <v>0</v>
      </c>
      <c r="P5" s="46"/>
      <c r="Q5" s="40"/>
      <c r="R5" s="43"/>
      <c r="S5" s="43"/>
      <c r="T5" s="49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>I7-J7</f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>S15+T15</f>
        <v>0</v>
      </c>
      <c r="K15" s="44">
        <f t="shared" si="2"/>
        <v>0</v>
      </c>
      <c r="L15" s="45"/>
      <c r="M15" s="40"/>
      <c r="N15" s="43">
        <f>I15-J15-M15-R15</f>
        <v>0</v>
      </c>
      <c r="O15" s="43">
        <f>R15+S15+T15</f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50"/>
      <c r="B41" s="51"/>
      <c r="C41" s="52"/>
      <c r="D41" s="50"/>
      <c r="E41" s="50"/>
      <c r="F41" s="50"/>
      <c r="G41" s="43">
        <f>F41*6%</f>
        <v>0</v>
      </c>
      <c r="H41" s="53"/>
      <c r="I41" s="78">
        <f t="shared" si="0"/>
        <v>0</v>
      </c>
      <c r="J41" s="54">
        <f t="shared" si="1"/>
        <v>0</v>
      </c>
      <c r="K41" s="54">
        <f t="shared" si="2"/>
        <v>0</v>
      </c>
      <c r="L41" s="55"/>
      <c r="M41" s="50"/>
      <c r="N41" s="53">
        <f t="shared" si="3"/>
        <v>0</v>
      </c>
      <c r="O41" s="53">
        <f t="shared" si="4"/>
        <v>0</v>
      </c>
      <c r="P41" s="56"/>
      <c r="Q41" s="50"/>
      <c r="R41" s="50"/>
      <c r="S41" s="50"/>
      <c r="T41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678" priority="26" operator="containsText" text="SIN FACTURA ">
      <formula>NOT(ISERROR(SEARCH("SIN FACTURA ",A2)))</formula>
    </cfRule>
  </conditionalFormatting>
  <conditionalFormatting sqref="J41:T41 J39:T39 J37:T37 J35:T35 J33:T33 J31:T31 J29:T29 J27:T27 J25:T25 J23:T23 J21:T21 J11:T19 A11:H19 A21:H21 A23:H23 A25:H25 A27:H27 A29:H29 A31:H31 A33:H33 A35:H35 A37:H37 A39:H39 A41:H41 A4:T4 J5:T9 I5:I41 A5:H9">
    <cfRule type="containsText" dxfId="3677" priority="25" operator="containsText" text="SIN FACTURA">
      <formula>NOT(ISERROR(SEARCH("SIN FACTURA",A4)))</formula>
    </cfRule>
  </conditionalFormatting>
  <conditionalFormatting sqref="C10:H10 J10:V10">
    <cfRule type="containsText" dxfId="3676" priority="24" operator="containsText" text="SIN FACTURA">
      <formula>NOT(ISERROR(SEARCH("SIN FACTURA",C10)))</formula>
    </cfRule>
  </conditionalFormatting>
  <conditionalFormatting sqref="C20:H20 J20:V20">
    <cfRule type="containsText" dxfId="3675" priority="23" operator="containsText" text="SIN FACTURA">
      <formula>NOT(ISERROR(SEARCH("SIN FACTURA",C20)))</formula>
    </cfRule>
  </conditionalFormatting>
  <conditionalFormatting sqref="C22:H22 J22:V22">
    <cfRule type="containsText" dxfId="3674" priority="22" operator="containsText" text="SIN FACTURA">
      <formula>NOT(ISERROR(SEARCH("SIN FACTURA",C22)))</formula>
    </cfRule>
  </conditionalFormatting>
  <conditionalFormatting sqref="C24:H24 J24:V24">
    <cfRule type="containsText" dxfId="3673" priority="21" operator="containsText" text="SIN FACTURA">
      <formula>NOT(ISERROR(SEARCH("SIN FACTURA",C24)))</formula>
    </cfRule>
  </conditionalFormatting>
  <conditionalFormatting sqref="C26:H26 J26:V26">
    <cfRule type="containsText" dxfId="3672" priority="20" operator="containsText" text="SIN FACTURA">
      <formula>NOT(ISERROR(SEARCH("SIN FACTURA",C26)))</formula>
    </cfRule>
  </conditionalFormatting>
  <conditionalFormatting sqref="C28:H28 J28:V28">
    <cfRule type="containsText" dxfId="3671" priority="19" operator="containsText" text="SIN FACTURA">
      <formula>NOT(ISERROR(SEARCH("SIN FACTURA",C28)))</formula>
    </cfRule>
  </conditionalFormatting>
  <conditionalFormatting sqref="C30:H30 J30:V30">
    <cfRule type="containsText" dxfId="3670" priority="18" operator="containsText" text="SIN FACTURA">
      <formula>NOT(ISERROR(SEARCH("SIN FACTURA",C30)))</formula>
    </cfRule>
  </conditionalFormatting>
  <conditionalFormatting sqref="C32:H32 J32:V32">
    <cfRule type="containsText" dxfId="3669" priority="17" operator="containsText" text="SIN FACTURA">
      <formula>NOT(ISERROR(SEARCH("SIN FACTURA",C32)))</formula>
    </cfRule>
  </conditionalFormatting>
  <conditionalFormatting sqref="C34:H34 J34:V34">
    <cfRule type="containsText" dxfId="3668" priority="16" operator="containsText" text="SIN FACTURA">
      <formula>NOT(ISERROR(SEARCH("SIN FACTURA",C34)))</formula>
    </cfRule>
  </conditionalFormatting>
  <conditionalFormatting sqref="C36:H36 J36:V36">
    <cfRule type="containsText" dxfId="3667" priority="15" operator="containsText" text="SIN FACTURA">
      <formula>NOT(ISERROR(SEARCH("SIN FACTURA",C36)))</formula>
    </cfRule>
  </conditionalFormatting>
  <conditionalFormatting sqref="C38:H38 J38:V38">
    <cfRule type="containsText" dxfId="3666" priority="14" operator="containsText" text="SIN FACTURA">
      <formula>NOT(ISERROR(SEARCH("SIN FACTURA",C38)))</formula>
    </cfRule>
  </conditionalFormatting>
  <conditionalFormatting sqref="C40:H40 J40:V40">
    <cfRule type="containsText" dxfId="3665" priority="13" operator="containsText" text="SIN FACTURA">
      <formula>NOT(ISERROR(SEARCH("SIN FACTURA",C40)))</formula>
    </cfRule>
  </conditionalFormatting>
  <conditionalFormatting sqref="A10:B10">
    <cfRule type="containsText" dxfId="3664" priority="12" operator="containsText" text="SIN FACTURA">
      <formula>NOT(ISERROR(SEARCH("SIN FACTURA",A10)))</formula>
    </cfRule>
  </conditionalFormatting>
  <conditionalFormatting sqref="A20:B20">
    <cfRule type="containsText" dxfId="3663" priority="11" operator="containsText" text="SIN FACTURA">
      <formula>NOT(ISERROR(SEARCH("SIN FACTURA",A20)))</formula>
    </cfRule>
  </conditionalFormatting>
  <conditionalFormatting sqref="A22:B22">
    <cfRule type="containsText" dxfId="3662" priority="10" operator="containsText" text="SIN FACTURA">
      <formula>NOT(ISERROR(SEARCH("SIN FACTURA",A22)))</formula>
    </cfRule>
  </conditionalFormatting>
  <conditionalFormatting sqref="A24:B24">
    <cfRule type="containsText" dxfId="3661" priority="9" operator="containsText" text="SIN FACTURA">
      <formula>NOT(ISERROR(SEARCH("SIN FACTURA",A24)))</formula>
    </cfRule>
  </conditionalFormatting>
  <conditionalFormatting sqref="A26:B26">
    <cfRule type="containsText" dxfId="3660" priority="8" operator="containsText" text="SIN FACTURA">
      <formula>NOT(ISERROR(SEARCH("SIN FACTURA",A26)))</formula>
    </cfRule>
  </conditionalFormatting>
  <conditionalFormatting sqref="A28:B28">
    <cfRule type="containsText" dxfId="3659" priority="7" operator="containsText" text="SIN FACTURA">
      <formula>NOT(ISERROR(SEARCH("SIN FACTURA",A28)))</formula>
    </cfRule>
  </conditionalFormatting>
  <conditionalFormatting sqref="A40:B40">
    <cfRule type="containsText" dxfId="3658" priority="1" operator="containsText" text="SIN FACTURA">
      <formula>NOT(ISERROR(SEARCH("SIN FACTURA",A40)))</formula>
    </cfRule>
  </conditionalFormatting>
  <conditionalFormatting sqref="A30:B30">
    <cfRule type="containsText" dxfId="3657" priority="6" operator="containsText" text="SIN FACTURA">
      <formula>NOT(ISERROR(SEARCH("SIN FACTURA",A30)))</formula>
    </cfRule>
  </conditionalFormatting>
  <conditionalFormatting sqref="A32:B32">
    <cfRule type="containsText" dxfId="3656" priority="5" operator="containsText" text="SIN FACTURA">
      <formula>NOT(ISERROR(SEARCH("SIN FACTURA",A32)))</formula>
    </cfRule>
  </conditionalFormatting>
  <conditionalFormatting sqref="A34:B34">
    <cfRule type="containsText" dxfId="3655" priority="4" operator="containsText" text="SIN FACTURA">
      <formula>NOT(ISERROR(SEARCH("SIN FACTURA",A34)))</formula>
    </cfRule>
  </conditionalFormatting>
  <conditionalFormatting sqref="A36:B36">
    <cfRule type="containsText" dxfId="3654" priority="3" operator="containsText" text="SIN FACTURA">
      <formula>NOT(ISERROR(SEARCH("SIN FACTURA",A36)))</formula>
    </cfRule>
  </conditionalFormatting>
  <conditionalFormatting sqref="A38:B38">
    <cfRule type="containsText" dxfId="3653" priority="2" operator="containsText" text="SIN FACTURA">
      <formula>NOT(ISERROR(SEARCH("SIN FACTURA",A38)))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>
  <sheetPr codeName="Hoja36"/>
  <dimension ref="A1:Y41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B1" s="18">
        <v>460</v>
      </c>
      <c r="C1" s="4" t="s">
        <v>143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1" si="0">F5-G5-H5</f>
        <v>0</v>
      </c>
      <c r="J5" s="44">
        <f t="shared" ref="J5:J41" si="1">S5+T5</f>
        <v>0</v>
      </c>
      <c r="K5" s="44">
        <f t="shared" ref="K5:K41" si="2">I5-J5</f>
        <v>0</v>
      </c>
      <c r="L5" s="45"/>
      <c r="M5" s="40"/>
      <c r="N5" s="43">
        <f t="shared" ref="N5:N41" si="3">I5-J5-M5-R5</f>
        <v>0</v>
      </c>
      <c r="O5" s="43">
        <f t="shared" ref="O5:O41" si="4">R5+S5+T5</f>
        <v>0</v>
      </c>
      <c r="P5" s="46"/>
      <c r="Q5" s="40"/>
      <c r="R5" s="43"/>
      <c r="S5" s="43"/>
      <c r="T5" s="49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>I7-J7</f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>S15+T15</f>
        <v>0</v>
      </c>
      <c r="K15" s="44">
        <f t="shared" si="2"/>
        <v>0</v>
      </c>
      <c r="L15" s="45"/>
      <c r="M15" s="40"/>
      <c r="N15" s="43">
        <f>I15-J15-M15-R15</f>
        <v>0</v>
      </c>
      <c r="O15" s="43">
        <f>R15+S15+T15</f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50"/>
      <c r="B41" s="51"/>
      <c r="C41" s="52"/>
      <c r="D41" s="50"/>
      <c r="E41" s="50"/>
      <c r="F41" s="50"/>
      <c r="G41" s="43">
        <f>F41*6%</f>
        <v>0</v>
      </c>
      <c r="H41" s="53"/>
      <c r="I41" s="78">
        <f t="shared" si="0"/>
        <v>0</v>
      </c>
      <c r="J41" s="54">
        <f t="shared" si="1"/>
        <v>0</v>
      </c>
      <c r="K41" s="54">
        <f t="shared" si="2"/>
        <v>0</v>
      </c>
      <c r="L41" s="55"/>
      <c r="M41" s="50"/>
      <c r="N41" s="53">
        <f t="shared" si="3"/>
        <v>0</v>
      </c>
      <c r="O41" s="53">
        <f t="shared" si="4"/>
        <v>0</v>
      </c>
      <c r="P41" s="56"/>
      <c r="Q41" s="50"/>
      <c r="R41" s="50"/>
      <c r="S41" s="50"/>
      <c r="T41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652" priority="26" operator="containsText" text="SIN FACTURA ">
      <formula>NOT(ISERROR(SEARCH("SIN FACTURA ",A2)))</formula>
    </cfRule>
  </conditionalFormatting>
  <conditionalFormatting sqref="J41:T41 J39:T39 J37:T37 J35:T35 J33:T33 J31:T31 J29:T29 J27:T27 J25:T25 J23:T23 J21:T21 J11:T19 A11:H19 A21:H21 A23:H23 A25:H25 A27:H27 A29:H29 A31:H31 A33:H33 A35:H35 A37:H37 A39:H39 A41:H41 A4:T4 J5:T9 I5:I41 A5:H9">
    <cfRule type="containsText" dxfId="3651" priority="25" operator="containsText" text="SIN FACTURA">
      <formula>NOT(ISERROR(SEARCH("SIN FACTURA",A4)))</formula>
    </cfRule>
  </conditionalFormatting>
  <conditionalFormatting sqref="C10:H10 J10:V10">
    <cfRule type="containsText" dxfId="3650" priority="24" operator="containsText" text="SIN FACTURA">
      <formula>NOT(ISERROR(SEARCH("SIN FACTURA",C10)))</formula>
    </cfRule>
  </conditionalFormatting>
  <conditionalFormatting sqref="C20:H20 J20:V20">
    <cfRule type="containsText" dxfId="3649" priority="23" operator="containsText" text="SIN FACTURA">
      <formula>NOT(ISERROR(SEARCH("SIN FACTURA",C20)))</formula>
    </cfRule>
  </conditionalFormatting>
  <conditionalFormatting sqref="C22:H22 J22:V22">
    <cfRule type="containsText" dxfId="3648" priority="22" operator="containsText" text="SIN FACTURA">
      <formula>NOT(ISERROR(SEARCH("SIN FACTURA",C22)))</formula>
    </cfRule>
  </conditionalFormatting>
  <conditionalFormatting sqref="C24:H24 J24:V24">
    <cfRule type="containsText" dxfId="3647" priority="21" operator="containsText" text="SIN FACTURA">
      <formula>NOT(ISERROR(SEARCH("SIN FACTURA",C24)))</formula>
    </cfRule>
  </conditionalFormatting>
  <conditionalFormatting sqref="C26:H26 J26:V26">
    <cfRule type="containsText" dxfId="3646" priority="20" operator="containsText" text="SIN FACTURA">
      <formula>NOT(ISERROR(SEARCH("SIN FACTURA",C26)))</formula>
    </cfRule>
  </conditionalFormatting>
  <conditionalFormatting sqref="C28:H28 J28:V28">
    <cfRule type="containsText" dxfId="3645" priority="19" operator="containsText" text="SIN FACTURA">
      <formula>NOT(ISERROR(SEARCH("SIN FACTURA",C28)))</formula>
    </cfRule>
  </conditionalFormatting>
  <conditionalFormatting sqref="C30:H30 J30:V30">
    <cfRule type="containsText" dxfId="3644" priority="18" operator="containsText" text="SIN FACTURA">
      <formula>NOT(ISERROR(SEARCH("SIN FACTURA",C30)))</formula>
    </cfRule>
  </conditionalFormatting>
  <conditionalFormatting sqref="C32:H32 J32:V32">
    <cfRule type="containsText" dxfId="3643" priority="17" operator="containsText" text="SIN FACTURA">
      <formula>NOT(ISERROR(SEARCH("SIN FACTURA",C32)))</formula>
    </cfRule>
  </conditionalFormatting>
  <conditionalFormatting sqref="C34:H34 J34:V34">
    <cfRule type="containsText" dxfId="3642" priority="16" operator="containsText" text="SIN FACTURA">
      <formula>NOT(ISERROR(SEARCH("SIN FACTURA",C34)))</formula>
    </cfRule>
  </conditionalFormatting>
  <conditionalFormatting sqref="C36:H36 J36:V36">
    <cfRule type="containsText" dxfId="3641" priority="15" operator="containsText" text="SIN FACTURA">
      <formula>NOT(ISERROR(SEARCH("SIN FACTURA",C36)))</formula>
    </cfRule>
  </conditionalFormatting>
  <conditionalFormatting sqref="C38:H38 J38:V38">
    <cfRule type="containsText" dxfId="3640" priority="14" operator="containsText" text="SIN FACTURA">
      <formula>NOT(ISERROR(SEARCH("SIN FACTURA",C38)))</formula>
    </cfRule>
  </conditionalFormatting>
  <conditionalFormatting sqref="C40:H40 J40:V40">
    <cfRule type="containsText" dxfId="3639" priority="13" operator="containsText" text="SIN FACTURA">
      <formula>NOT(ISERROR(SEARCH("SIN FACTURA",C40)))</formula>
    </cfRule>
  </conditionalFormatting>
  <conditionalFormatting sqref="A10:B10">
    <cfRule type="containsText" dxfId="3638" priority="12" operator="containsText" text="SIN FACTURA">
      <formula>NOT(ISERROR(SEARCH("SIN FACTURA",A10)))</formula>
    </cfRule>
  </conditionalFormatting>
  <conditionalFormatting sqref="A20:B20">
    <cfRule type="containsText" dxfId="3637" priority="11" operator="containsText" text="SIN FACTURA">
      <formula>NOT(ISERROR(SEARCH("SIN FACTURA",A20)))</formula>
    </cfRule>
  </conditionalFormatting>
  <conditionalFormatting sqref="A22:B22">
    <cfRule type="containsText" dxfId="3636" priority="10" operator="containsText" text="SIN FACTURA">
      <formula>NOT(ISERROR(SEARCH("SIN FACTURA",A22)))</formula>
    </cfRule>
  </conditionalFormatting>
  <conditionalFormatting sqref="A24:B24">
    <cfRule type="containsText" dxfId="3635" priority="9" operator="containsText" text="SIN FACTURA">
      <formula>NOT(ISERROR(SEARCH("SIN FACTURA",A24)))</formula>
    </cfRule>
  </conditionalFormatting>
  <conditionalFormatting sqref="A26:B26">
    <cfRule type="containsText" dxfId="3634" priority="8" operator="containsText" text="SIN FACTURA">
      <formula>NOT(ISERROR(SEARCH("SIN FACTURA",A26)))</formula>
    </cfRule>
  </conditionalFormatting>
  <conditionalFormatting sqref="A28:B28">
    <cfRule type="containsText" dxfId="3633" priority="7" operator="containsText" text="SIN FACTURA">
      <formula>NOT(ISERROR(SEARCH("SIN FACTURA",A28)))</formula>
    </cfRule>
  </conditionalFormatting>
  <conditionalFormatting sqref="A40:B40">
    <cfRule type="containsText" dxfId="3632" priority="1" operator="containsText" text="SIN FACTURA">
      <formula>NOT(ISERROR(SEARCH("SIN FACTURA",A40)))</formula>
    </cfRule>
  </conditionalFormatting>
  <conditionalFormatting sqref="A30:B30">
    <cfRule type="containsText" dxfId="3631" priority="6" operator="containsText" text="SIN FACTURA">
      <formula>NOT(ISERROR(SEARCH("SIN FACTURA",A30)))</formula>
    </cfRule>
  </conditionalFormatting>
  <conditionalFormatting sqref="A32:B32">
    <cfRule type="containsText" dxfId="3630" priority="5" operator="containsText" text="SIN FACTURA">
      <formula>NOT(ISERROR(SEARCH("SIN FACTURA",A32)))</formula>
    </cfRule>
  </conditionalFormatting>
  <conditionalFormatting sqref="A34:B34">
    <cfRule type="containsText" dxfId="3629" priority="4" operator="containsText" text="SIN FACTURA">
      <formula>NOT(ISERROR(SEARCH("SIN FACTURA",A34)))</formula>
    </cfRule>
  </conditionalFormatting>
  <conditionalFormatting sqref="A36:B36">
    <cfRule type="containsText" dxfId="3628" priority="3" operator="containsText" text="SIN FACTURA">
      <formula>NOT(ISERROR(SEARCH("SIN FACTURA",A36)))</formula>
    </cfRule>
  </conditionalFormatting>
  <conditionalFormatting sqref="A38:B38">
    <cfRule type="containsText" dxfId="3627" priority="2" operator="containsText" text="SIN FACTURA">
      <formula>NOT(ISERROR(SEARCH("SIN FACTURA",A38)))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>
  <sheetPr codeName="Hoja94"/>
  <dimension ref="A1:Y35"/>
  <sheetViews>
    <sheetView zoomScale="125" zoomScaleNormal="125" zoomScalePageLayoutView="125" workbookViewId="0">
      <pane ySplit="3" topLeftCell="A4" activePane="bottomLeft" state="frozen"/>
      <selection activeCell="C52" sqref="C52"/>
      <selection pane="bottomLeft" activeCell="A14" sqref="A4:XFD14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190</v>
      </c>
      <c r="B1" s="18" t="s">
        <v>107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2"/>
      <c r="D4" s="33"/>
      <c r="E4" s="34"/>
      <c r="F4" s="32"/>
      <c r="G4" s="32"/>
      <c r="H4" s="32"/>
      <c r="I4" s="37"/>
      <c r="J4" s="37"/>
      <c r="K4" s="35"/>
      <c r="L4" s="35"/>
      <c r="M4" s="35"/>
      <c r="N4" s="36"/>
      <c r="O4" s="32"/>
      <c r="P4" s="37"/>
      <c r="Q4" s="37"/>
      <c r="R4" s="38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5" si="0">F5-G5-H5</f>
        <v>0</v>
      </c>
      <c r="J5" s="44">
        <f t="shared" ref="J5:J35" si="1">S5+T5</f>
        <v>0</v>
      </c>
      <c r="K5" s="44">
        <f t="shared" ref="K5:K35" si="2">I5-J5</f>
        <v>0</v>
      </c>
      <c r="L5" s="45"/>
      <c r="M5" s="40"/>
      <c r="N5" s="43">
        <f t="shared" ref="N5:N35" si="3">I5-J5-M5-R5</f>
        <v>0</v>
      </c>
      <c r="O5" s="43">
        <f t="shared" ref="O5:O35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 t="shared" si="2"/>
        <v>0</v>
      </c>
      <c r="L9" s="45"/>
      <c r="M9" s="40"/>
      <c r="N9" s="43">
        <f>I9-J9-M9-R9</f>
        <v>0</v>
      </c>
      <c r="O9" s="43">
        <f>R9+S9+T9</f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50"/>
      <c r="B35" s="51"/>
      <c r="C35" s="52"/>
      <c r="D35" s="50"/>
      <c r="E35" s="50"/>
      <c r="F35" s="50"/>
      <c r="G35" s="43">
        <f>F35*6%</f>
        <v>0</v>
      </c>
      <c r="H35" s="53"/>
      <c r="I35" s="44">
        <f t="shared" si="0"/>
        <v>0</v>
      </c>
      <c r="J35" s="54">
        <f t="shared" si="1"/>
        <v>0</v>
      </c>
      <c r="K35" s="54">
        <f t="shared" si="2"/>
        <v>0</v>
      </c>
      <c r="L35" s="55"/>
      <c r="M35" s="50"/>
      <c r="N35" s="53">
        <f t="shared" si="3"/>
        <v>0</v>
      </c>
      <c r="O35" s="53">
        <f t="shared" si="4"/>
        <v>0</v>
      </c>
      <c r="P35" s="56"/>
      <c r="Q35" s="50"/>
      <c r="R35" s="50"/>
      <c r="S35" s="50"/>
      <c r="T35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626" priority="27" operator="containsText" text="SIN FACTURA ">
      <formula>NOT(ISERROR(SEARCH("SIN FACTURA ",A2)))</formula>
    </cfRule>
  </conditionalFormatting>
  <conditionalFormatting sqref="A34:B34 I4:I35">
    <cfRule type="containsText" dxfId="3625" priority="1" operator="containsText" text="SIN FACTURA">
      <formula>NOT(ISERROR(SEARCH("SIN FACTURA",A4)))</formula>
    </cfRule>
  </conditionalFormatting>
  <conditionalFormatting sqref="J35:T35 J33:T33 J31:T31 J29:T29 J27:T27 J25:T25 J23:T23 J21:T21 J19:T19 J17:T17 J15:T15 J5:T13 A5:H13 A15:H15 A17:H17 A19:H19 A21:H21 A23:H23 A25:H25 A27:H27 A29:H29 A31:H31 A33:H33 A35:H35">
    <cfRule type="containsText" dxfId="3624" priority="25" operator="containsText" text="SIN FACTURA">
      <formula>NOT(ISERROR(SEARCH("SIN FACTURA",A5)))</formula>
    </cfRule>
  </conditionalFormatting>
  <conditionalFormatting sqref="C4:H4 J4:V4">
    <cfRule type="containsText" dxfId="3623" priority="24" operator="containsText" text="SIN FACTURA">
      <formula>NOT(ISERROR(SEARCH("SIN FACTURA",C4)))</formula>
    </cfRule>
  </conditionalFormatting>
  <conditionalFormatting sqref="C14:H14 J14:V14">
    <cfRule type="containsText" dxfId="3622" priority="23" operator="containsText" text="SIN FACTURA">
      <formula>NOT(ISERROR(SEARCH("SIN FACTURA",C14)))</formula>
    </cfRule>
  </conditionalFormatting>
  <conditionalFormatting sqref="C16:H16 J16:V16">
    <cfRule type="containsText" dxfId="3621" priority="22" operator="containsText" text="SIN FACTURA">
      <formula>NOT(ISERROR(SEARCH("SIN FACTURA",C16)))</formula>
    </cfRule>
  </conditionalFormatting>
  <conditionalFormatting sqref="C18:H18 J18:V18">
    <cfRule type="containsText" dxfId="3620" priority="21" operator="containsText" text="SIN FACTURA">
      <formula>NOT(ISERROR(SEARCH("SIN FACTURA",C18)))</formula>
    </cfRule>
  </conditionalFormatting>
  <conditionalFormatting sqref="C20:H20 J20:V20">
    <cfRule type="containsText" dxfId="3619" priority="20" operator="containsText" text="SIN FACTURA">
      <formula>NOT(ISERROR(SEARCH("SIN FACTURA",C20)))</formula>
    </cfRule>
  </conditionalFormatting>
  <conditionalFormatting sqref="C22:H22 J22:V22">
    <cfRule type="containsText" dxfId="3618" priority="19" operator="containsText" text="SIN FACTURA">
      <formula>NOT(ISERROR(SEARCH("SIN FACTURA",C22)))</formula>
    </cfRule>
  </conditionalFormatting>
  <conditionalFormatting sqref="C24:H24 J24:V24">
    <cfRule type="containsText" dxfId="3617" priority="18" operator="containsText" text="SIN FACTURA">
      <formula>NOT(ISERROR(SEARCH("SIN FACTURA",C24)))</formula>
    </cfRule>
  </conditionalFormatting>
  <conditionalFormatting sqref="C26:H26 J26:V26">
    <cfRule type="containsText" dxfId="3616" priority="17" operator="containsText" text="SIN FACTURA">
      <formula>NOT(ISERROR(SEARCH("SIN FACTURA",C26)))</formula>
    </cfRule>
  </conditionalFormatting>
  <conditionalFormatting sqref="C28:H28 J28:V28">
    <cfRule type="containsText" dxfId="3615" priority="16" operator="containsText" text="SIN FACTURA">
      <formula>NOT(ISERROR(SEARCH("SIN FACTURA",C28)))</formula>
    </cfRule>
  </conditionalFormatting>
  <conditionalFormatting sqref="C30:H30 J30:V30">
    <cfRule type="containsText" dxfId="3614" priority="15" operator="containsText" text="SIN FACTURA">
      <formula>NOT(ISERROR(SEARCH("SIN FACTURA",C30)))</formula>
    </cfRule>
  </conditionalFormatting>
  <conditionalFormatting sqref="C32:H32 J32:V32">
    <cfRule type="containsText" dxfId="3613" priority="14" operator="containsText" text="SIN FACTURA">
      <formula>NOT(ISERROR(SEARCH("SIN FACTURA",C32)))</formula>
    </cfRule>
  </conditionalFormatting>
  <conditionalFormatting sqref="C34:H34 J34:V34">
    <cfRule type="containsText" dxfId="3612" priority="13" operator="containsText" text="SIN FACTURA">
      <formula>NOT(ISERROR(SEARCH("SIN FACTURA",C34)))</formula>
    </cfRule>
  </conditionalFormatting>
  <conditionalFormatting sqref="A4:B4">
    <cfRule type="containsText" dxfId="3611" priority="12" operator="containsText" text="SIN FACTURA">
      <formula>NOT(ISERROR(SEARCH("SIN FACTURA",A4)))</formula>
    </cfRule>
  </conditionalFormatting>
  <conditionalFormatting sqref="A14:B14">
    <cfRule type="containsText" dxfId="3610" priority="11" operator="containsText" text="SIN FACTURA">
      <formula>NOT(ISERROR(SEARCH("SIN FACTURA",A14)))</formula>
    </cfRule>
  </conditionalFormatting>
  <conditionalFormatting sqref="A16:B16">
    <cfRule type="containsText" dxfId="3609" priority="10" operator="containsText" text="SIN FACTURA">
      <formula>NOT(ISERROR(SEARCH("SIN FACTURA",A16)))</formula>
    </cfRule>
  </conditionalFormatting>
  <conditionalFormatting sqref="A18:B18">
    <cfRule type="containsText" dxfId="3608" priority="9" operator="containsText" text="SIN FACTURA">
      <formula>NOT(ISERROR(SEARCH("SIN FACTURA",A18)))</formula>
    </cfRule>
  </conditionalFormatting>
  <conditionalFormatting sqref="A20:B20">
    <cfRule type="containsText" dxfId="3607" priority="8" operator="containsText" text="SIN FACTURA">
      <formula>NOT(ISERROR(SEARCH("SIN FACTURA",A20)))</formula>
    </cfRule>
  </conditionalFormatting>
  <conditionalFormatting sqref="A22:B22">
    <cfRule type="containsText" dxfId="3606" priority="7" operator="containsText" text="SIN FACTURA">
      <formula>NOT(ISERROR(SEARCH("SIN FACTURA",A22)))</formula>
    </cfRule>
  </conditionalFormatting>
  <conditionalFormatting sqref="A24:B24">
    <cfRule type="containsText" dxfId="3605" priority="6" operator="containsText" text="SIN FACTURA">
      <formula>NOT(ISERROR(SEARCH("SIN FACTURA",A24)))</formula>
    </cfRule>
  </conditionalFormatting>
  <conditionalFormatting sqref="A26:B26">
    <cfRule type="containsText" dxfId="3604" priority="5" operator="containsText" text="SIN FACTURA">
      <formula>NOT(ISERROR(SEARCH("SIN FACTURA",A26)))</formula>
    </cfRule>
  </conditionalFormatting>
  <conditionalFormatting sqref="A28:B28">
    <cfRule type="containsText" dxfId="3603" priority="4" operator="containsText" text="SIN FACTURA">
      <formula>NOT(ISERROR(SEARCH("SIN FACTURA",A28)))</formula>
    </cfRule>
  </conditionalFormatting>
  <conditionalFormatting sqref="A30:B30">
    <cfRule type="containsText" dxfId="3602" priority="3" operator="containsText" text="SIN FACTURA">
      <formula>NOT(ISERROR(SEARCH("SIN FACTURA",A30)))</formula>
    </cfRule>
  </conditionalFormatting>
  <conditionalFormatting sqref="A32:B32">
    <cfRule type="containsText" dxfId="3601" priority="2" operator="containsText" text="SIN FACTURA">
      <formula>NOT(ISERROR(SEARCH("SIN FACTURA",A32)))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>
  <sheetPr codeName="Hoja95"/>
  <dimension ref="A1:Y43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359</v>
      </c>
      <c r="B1" s="18" t="s">
        <v>91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44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600" priority="27" operator="containsText" text="SIN FACTURA ">
      <formula>NOT(ISERROR(SEARCH("SIN FACTURA ",A2)))</formula>
    </cfRule>
  </conditionalFormatting>
  <conditionalFormatting sqref="A42:B42 A4:T4 J5:T11 I5:I43 A5:H11">
    <cfRule type="containsText" dxfId="3599" priority="1" operator="containsText" text="SIN FACTURA">
      <formula>NOT(ISERROR(SEARCH("SIN FACTURA",A4)))</formula>
    </cfRule>
  </conditionalFormatting>
  <conditionalFormatting sqref="J43:T43 J41:T41 J39:T39 J37:T37 J35:T35 J33:T33 J31:T31 J29:T29 J27:T27 J25:T25 J23:T23 J13:T21 A13:H21 A23:H23 A25:H25 A27:H27 A29:H29 A31:H31 A33:H33 A35:H35 A37:H37 A39:H39 A41:H41 A43:H43">
    <cfRule type="containsText" dxfId="3598" priority="25" operator="containsText" text="SIN FACTURA">
      <formula>NOT(ISERROR(SEARCH("SIN FACTURA",A13)))</formula>
    </cfRule>
  </conditionalFormatting>
  <conditionalFormatting sqref="C12:H12 J12:V12">
    <cfRule type="containsText" dxfId="3597" priority="24" operator="containsText" text="SIN FACTURA">
      <formula>NOT(ISERROR(SEARCH("SIN FACTURA",C12)))</formula>
    </cfRule>
  </conditionalFormatting>
  <conditionalFormatting sqref="C22:H22 J22:V22">
    <cfRule type="containsText" dxfId="3596" priority="23" operator="containsText" text="SIN FACTURA">
      <formula>NOT(ISERROR(SEARCH("SIN FACTURA",C22)))</formula>
    </cfRule>
  </conditionalFormatting>
  <conditionalFormatting sqref="C24:H24 J24:V24">
    <cfRule type="containsText" dxfId="3595" priority="22" operator="containsText" text="SIN FACTURA">
      <formula>NOT(ISERROR(SEARCH("SIN FACTURA",C24)))</formula>
    </cfRule>
  </conditionalFormatting>
  <conditionalFormatting sqref="C26:H26 J26:V26">
    <cfRule type="containsText" dxfId="3594" priority="21" operator="containsText" text="SIN FACTURA">
      <formula>NOT(ISERROR(SEARCH("SIN FACTURA",C26)))</formula>
    </cfRule>
  </conditionalFormatting>
  <conditionalFormatting sqref="C28:H28 J28:V28">
    <cfRule type="containsText" dxfId="3593" priority="20" operator="containsText" text="SIN FACTURA">
      <formula>NOT(ISERROR(SEARCH("SIN FACTURA",C28)))</formula>
    </cfRule>
  </conditionalFormatting>
  <conditionalFormatting sqref="C30:H30 J30:V30">
    <cfRule type="containsText" dxfId="3592" priority="19" operator="containsText" text="SIN FACTURA">
      <formula>NOT(ISERROR(SEARCH("SIN FACTURA",C30)))</formula>
    </cfRule>
  </conditionalFormatting>
  <conditionalFormatting sqref="C32:H32 J32:V32">
    <cfRule type="containsText" dxfId="3591" priority="18" operator="containsText" text="SIN FACTURA">
      <formula>NOT(ISERROR(SEARCH("SIN FACTURA",C32)))</formula>
    </cfRule>
  </conditionalFormatting>
  <conditionalFormatting sqref="C34:H34 J34:V34">
    <cfRule type="containsText" dxfId="3590" priority="17" operator="containsText" text="SIN FACTURA">
      <formula>NOT(ISERROR(SEARCH("SIN FACTURA",C34)))</formula>
    </cfRule>
  </conditionalFormatting>
  <conditionalFormatting sqref="C36:H36 J36:V36">
    <cfRule type="containsText" dxfId="3589" priority="16" operator="containsText" text="SIN FACTURA">
      <formula>NOT(ISERROR(SEARCH("SIN FACTURA",C36)))</formula>
    </cfRule>
  </conditionalFormatting>
  <conditionalFormatting sqref="C38:H38 J38:V38">
    <cfRule type="containsText" dxfId="3588" priority="15" operator="containsText" text="SIN FACTURA">
      <formula>NOT(ISERROR(SEARCH("SIN FACTURA",C38)))</formula>
    </cfRule>
  </conditionalFormatting>
  <conditionalFormatting sqref="C40:H40 J40:V40">
    <cfRule type="containsText" dxfId="3587" priority="14" operator="containsText" text="SIN FACTURA">
      <formula>NOT(ISERROR(SEARCH("SIN FACTURA",C40)))</formula>
    </cfRule>
  </conditionalFormatting>
  <conditionalFormatting sqref="C42:H42 J42:V42">
    <cfRule type="containsText" dxfId="3586" priority="13" operator="containsText" text="SIN FACTURA">
      <formula>NOT(ISERROR(SEARCH("SIN FACTURA",C42)))</formula>
    </cfRule>
  </conditionalFormatting>
  <conditionalFormatting sqref="A12:B12">
    <cfRule type="containsText" dxfId="3585" priority="12" operator="containsText" text="SIN FACTURA">
      <formula>NOT(ISERROR(SEARCH("SIN FACTURA",A12)))</formula>
    </cfRule>
  </conditionalFormatting>
  <conditionalFormatting sqref="A22:B22">
    <cfRule type="containsText" dxfId="3584" priority="11" operator="containsText" text="SIN FACTURA">
      <formula>NOT(ISERROR(SEARCH("SIN FACTURA",A22)))</formula>
    </cfRule>
  </conditionalFormatting>
  <conditionalFormatting sqref="A24:B24">
    <cfRule type="containsText" dxfId="3583" priority="10" operator="containsText" text="SIN FACTURA">
      <formula>NOT(ISERROR(SEARCH("SIN FACTURA",A24)))</formula>
    </cfRule>
  </conditionalFormatting>
  <conditionalFormatting sqref="A26:B26">
    <cfRule type="containsText" dxfId="3582" priority="9" operator="containsText" text="SIN FACTURA">
      <formula>NOT(ISERROR(SEARCH("SIN FACTURA",A26)))</formula>
    </cfRule>
  </conditionalFormatting>
  <conditionalFormatting sqref="A28:B28">
    <cfRule type="containsText" dxfId="3581" priority="8" operator="containsText" text="SIN FACTURA">
      <formula>NOT(ISERROR(SEARCH("SIN FACTURA",A28)))</formula>
    </cfRule>
  </conditionalFormatting>
  <conditionalFormatting sqref="A30:B30">
    <cfRule type="containsText" dxfId="3580" priority="7" operator="containsText" text="SIN FACTURA">
      <formula>NOT(ISERROR(SEARCH("SIN FACTURA",A30)))</formula>
    </cfRule>
  </conditionalFormatting>
  <conditionalFormatting sqref="A32:B32">
    <cfRule type="containsText" dxfId="3579" priority="6" operator="containsText" text="SIN FACTURA">
      <formula>NOT(ISERROR(SEARCH("SIN FACTURA",A32)))</formula>
    </cfRule>
  </conditionalFormatting>
  <conditionalFormatting sqref="A34:B34">
    <cfRule type="containsText" dxfId="3578" priority="5" operator="containsText" text="SIN FACTURA">
      <formula>NOT(ISERROR(SEARCH("SIN FACTURA",A34)))</formula>
    </cfRule>
  </conditionalFormatting>
  <conditionalFormatting sqref="A36:B36">
    <cfRule type="containsText" dxfId="3577" priority="4" operator="containsText" text="SIN FACTURA">
      <formula>NOT(ISERROR(SEARCH("SIN FACTURA",A36)))</formula>
    </cfRule>
  </conditionalFormatting>
  <conditionalFormatting sqref="A38:B38">
    <cfRule type="containsText" dxfId="3576" priority="3" operator="containsText" text="SIN FACTURA">
      <formula>NOT(ISERROR(SEARCH("SIN FACTURA",A38)))</formula>
    </cfRule>
  </conditionalFormatting>
  <conditionalFormatting sqref="A40:B40">
    <cfRule type="containsText" dxfId="3575" priority="2" operator="containsText" text="SIN FACTURA">
      <formula>NOT(ISERROR(SEARCH("SIN FACTURA",A40)))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>
  <sheetPr codeName="Hoja8"/>
  <dimension ref="A1:Y13"/>
  <sheetViews>
    <sheetView zoomScale="125" zoomScaleNormal="125" zoomScalePageLayoutView="125" workbookViewId="0">
      <pane ySplit="3" topLeftCell="A4" activePane="bottomLeft" state="frozen"/>
      <selection activeCell="B1" sqref="B1"/>
      <selection pane="bottomLeft" activeCell="B22" sqref="B22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5" width="10.875" style="1"/>
    <col min="16" max="16" width="12.625" style="1" customWidth="1"/>
    <col min="17" max="17" width="15.125" style="2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169</v>
      </c>
      <c r="B1" s="18" t="s">
        <v>33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22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47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118"/>
      <c r="R4" s="32"/>
      <c r="S4" s="32"/>
      <c r="T4" s="39"/>
    </row>
    <row r="5" spans="1:25" ht="15">
      <c r="A5" s="32"/>
      <c r="B5" s="33"/>
      <c r="C5" s="32"/>
      <c r="D5" s="33"/>
      <c r="E5" s="34"/>
      <c r="F5" s="32"/>
      <c r="G5" s="32"/>
      <c r="H5" s="32"/>
      <c r="I5" s="37"/>
      <c r="J5" s="37"/>
      <c r="K5" s="35"/>
      <c r="L5" s="35"/>
      <c r="M5" s="35"/>
      <c r="N5" s="36"/>
      <c r="O5" s="32"/>
      <c r="P5" s="37"/>
      <c r="Q5" s="248"/>
      <c r="R5" s="38"/>
      <c r="S5" s="32"/>
      <c r="T5" s="39"/>
      <c r="U5" s="6"/>
      <c r="V5" s="6"/>
    </row>
    <row r="6" spans="1:25" ht="15">
      <c r="A6" s="40"/>
      <c r="B6" s="41"/>
      <c r="C6" s="42"/>
      <c r="D6" s="40"/>
      <c r="E6" s="40"/>
      <c r="F6" s="40"/>
      <c r="G6" s="43">
        <f t="shared" ref="G6:G12" si="0">F6*6%</f>
        <v>0</v>
      </c>
      <c r="H6" s="43"/>
      <c r="I6" s="44">
        <f t="shared" ref="I6:I13" si="1">F6-G6-H6</f>
        <v>0</v>
      </c>
      <c r="J6" s="44">
        <f t="shared" ref="J6:J12" si="2">S6+T6</f>
        <v>0</v>
      </c>
      <c r="K6" s="44">
        <f t="shared" ref="K6:K12" si="3">I6-J6</f>
        <v>0</v>
      </c>
      <c r="L6" s="45"/>
      <c r="M6" s="40"/>
      <c r="N6" s="43">
        <f t="shared" ref="N6:N12" si="4">I6-J6-M6-R6</f>
        <v>0</v>
      </c>
      <c r="O6" s="43">
        <f t="shared" ref="O6:O12" si="5">R6+S6+T6</f>
        <v>0</v>
      </c>
      <c r="P6" s="46"/>
      <c r="Q6" s="67"/>
      <c r="R6" s="40"/>
      <c r="S6" s="40"/>
      <c r="T6" s="5"/>
    </row>
    <row r="7" spans="1:25" ht="15">
      <c r="A7" s="40"/>
      <c r="B7" s="41"/>
      <c r="C7" s="42"/>
      <c r="D7" s="40"/>
      <c r="E7" s="40"/>
      <c r="F7" s="40"/>
      <c r="G7" s="43">
        <f t="shared" si="0"/>
        <v>0</v>
      </c>
      <c r="H7" s="43"/>
      <c r="I7" s="44">
        <f t="shared" si="1"/>
        <v>0</v>
      </c>
      <c r="J7" s="44">
        <f t="shared" si="2"/>
        <v>0</v>
      </c>
      <c r="K7" s="44">
        <f t="shared" si="3"/>
        <v>0</v>
      </c>
      <c r="L7" s="45"/>
      <c r="M7" s="40"/>
      <c r="N7" s="43">
        <f t="shared" si="4"/>
        <v>0</v>
      </c>
      <c r="O7" s="43">
        <f t="shared" si="5"/>
        <v>0</v>
      </c>
      <c r="P7" s="46"/>
      <c r="Q7" s="67"/>
      <c r="R7" s="40"/>
      <c r="S7" s="40"/>
      <c r="T7" s="5"/>
    </row>
    <row r="8" spans="1:25" ht="15">
      <c r="A8" s="40"/>
      <c r="B8" s="41"/>
      <c r="C8" s="42"/>
      <c r="D8" s="40"/>
      <c r="E8" s="40"/>
      <c r="F8" s="40"/>
      <c r="G8" s="43">
        <f t="shared" si="0"/>
        <v>0</v>
      </c>
      <c r="H8" s="43"/>
      <c r="I8" s="44">
        <f t="shared" si="1"/>
        <v>0</v>
      </c>
      <c r="J8" s="44">
        <f t="shared" si="2"/>
        <v>0</v>
      </c>
      <c r="K8" s="44">
        <f t="shared" si="3"/>
        <v>0</v>
      </c>
      <c r="L8" s="45"/>
      <c r="M8" s="40"/>
      <c r="N8" s="43">
        <f t="shared" si="4"/>
        <v>0</v>
      </c>
      <c r="O8" s="43">
        <f t="shared" si="5"/>
        <v>0</v>
      </c>
      <c r="P8" s="46"/>
      <c r="Q8" s="67"/>
      <c r="R8" s="40"/>
      <c r="S8" s="40"/>
      <c r="T8" s="5"/>
    </row>
    <row r="9" spans="1:25" ht="15">
      <c r="A9" s="40"/>
      <c r="B9" s="41"/>
      <c r="C9" s="42"/>
      <c r="D9" s="40"/>
      <c r="E9" s="40"/>
      <c r="F9" s="40"/>
      <c r="G9" s="43">
        <f t="shared" si="0"/>
        <v>0</v>
      </c>
      <c r="H9" s="43"/>
      <c r="I9" s="44">
        <f t="shared" si="1"/>
        <v>0</v>
      </c>
      <c r="J9" s="44">
        <f t="shared" si="2"/>
        <v>0</v>
      </c>
      <c r="K9" s="44">
        <f t="shared" si="3"/>
        <v>0</v>
      </c>
      <c r="L9" s="45"/>
      <c r="M9" s="40"/>
      <c r="N9" s="43">
        <f t="shared" si="4"/>
        <v>0</v>
      </c>
      <c r="O9" s="43">
        <f t="shared" si="5"/>
        <v>0</v>
      </c>
      <c r="P9" s="46"/>
      <c r="Q9" s="67"/>
      <c r="R9" s="40"/>
      <c r="S9" s="40"/>
      <c r="T9" s="5"/>
    </row>
    <row r="10" spans="1:25" ht="15">
      <c r="A10" s="40"/>
      <c r="B10" s="41"/>
      <c r="C10" s="42"/>
      <c r="D10" s="40"/>
      <c r="E10" s="40"/>
      <c r="F10" s="40"/>
      <c r="G10" s="43">
        <f t="shared" si="0"/>
        <v>0</v>
      </c>
      <c r="H10" s="43"/>
      <c r="I10" s="44">
        <f t="shared" si="1"/>
        <v>0</v>
      </c>
      <c r="J10" s="44">
        <f t="shared" si="2"/>
        <v>0</v>
      </c>
      <c r="K10" s="44">
        <f t="shared" si="3"/>
        <v>0</v>
      </c>
      <c r="L10" s="45"/>
      <c r="M10" s="40"/>
      <c r="N10" s="43">
        <f t="shared" si="4"/>
        <v>0</v>
      </c>
      <c r="O10" s="43">
        <f t="shared" si="5"/>
        <v>0</v>
      </c>
      <c r="P10" s="46"/>
      <c r="Q10" s="67"/>
      <c r="R10" s="40"/>
      <c r="S10" s="40"/>
      <c r="T10" s="5"/>
    </row>
    <row r="11" spans="1:25" ht="15">
      <c r="A11" s="40"/>
      <c r="B11" s="41"/>
      <c r="C11" s="42"/>
      <c r="D11" s="40"/>
      <c r="E11" s="40"/>
      <c r="F11" s="40"/>
      <c r="G11" s="43">
        <f t="shared" si="0"/>
        <v>0</v>
      </c>
      <c r="H11" s="43"/>
      <c r="I11" s="44">
        <f t="shared" si="1"/>
        <v>0</v>
      </c>
      <c r="J11" s="44">
        <f t="shared" si="2"/>
        <v>0</v>
      </c>
      <c r="K11" s="44">
        <f t="shared" si="3"/>
        <v>0</v>
      </c>
      <c r="L11" s="45"/>
      <c r="M11" s="40"/>
      <c r="N11" s="43">
        <f t="shared" si="4"/>
        <v>0</v>
      </c>
      <c r="O11" s="43">
        <f t="shared" si="5"/>
        <v>0</v>
      </c>
      <c r="P11" s="46"/>
      <c r="Q11" s="67"/>
      <c r="R11" s="40"/>
      <c r="S11" s="40"/>
      <c r="T11" s="5"/>
    </row>
    <row r="12" spans="1:25" ht="15">
      <c r="A12" s="40"/>
      <c r="B12" s="41"/>
      <c r="C12" s="42"/>
      <c r="D12" s="40"/>
      <c r="E12" s="40"/>
      <c r="F12" s="40"/>
      <c r="G12" s="43">
        <f t="shared" si="0"/>
        <v>0</v>
      </c>
      <c r="H12" s="43"/>
      <c r="I12" s="44">
        <f t="shared" si="1"/>
        <v>0</v>
      </c>
      <c r="J12" s="44">
        <f t="shared" si="2"/>
        <v>0</v>
      </c>
      <c r="K12" s="44">
        <f t="shared" si="3"/>
        <v>0</v>
      </c>
      <c r="L12" s="45"/>
      <c r="M12" s="40"/>
      <c r="N12" s="43">
        <f t="shared" si="4"/>
        <v>0</v>
      </c>
      <c r="O12" s="43">
        <f t="shared" si="5"/>
        <v>0</v>
      </c>
      <c r="P12" s="46"/>
      <c r="Q12" s="67"/>
      <c r="R12" s="40"/>
      <c r="S12" s="40"/>
      <c r="T12" s="5"/>
    </row>
    <row r="13" spans="1:25">
      <c r="G13" s="7"/>
      <c r="I13" s="1">
        <f t="shared" si="1"/>
        <v>0</v>
      </c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3574" priority="28" operator="containsText" text="SIN FACTURA ">
      <formula>NOT(ISERROR(SEARCH("SIN FACTURA ",A2)))</formula>
    </cfRule>
  </conditionalFormatting>
  <conditionalFormatting sqref="A4:T4">
    <cfRule type="containsText" dxfId="3573" priority="27" operator="containsText" text="SIN FACTURA">
      <formula>NOT(ISERROR(SEARCH("SIN FACTURA",A4)))</formula>
    </cfRule>
  </conditionalFormatting>
  <conditionalFormatting sqref="A5:T12">
    <cfRule type="containsText" dxfId="3572" priority="2" operator="containsText" text="SIN FACTURA">
      <formula>NOT(ISERROR(SEARCH("SIN FACTURA",A5)))</formula>
    </cfRule>
  </conditionalFormatting>
  <conditionalFormatting sqref="A5:V5">
    <cfRule type="containsText" dxfId="3571" priority="1" operator="containsText" text="SIN FACTURA">
      <formula>NOT(ISERROR(SEARCH("SIN FACTURA",A5)))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>
  <sheetPr codeName="Hoja39"/>
  <dimension ref="A1:Y41"/>
  <sheetViews>
    <sheetView zoomScale="125" zoomScaleNormal="125" zoomScalePageLayoutView="125" workbookViewId="0">
      <pane ySplit="3" topLeftCell="A4" activePane="bottomLeft" state="frozen"/>
      <selection activeCell="D26" sqref="D26"/>
      <selection pane="bottomLeft" activeCell="A7" sqref="A4:XFD7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4">
        <v>449</v>
      </c>
      <c r="B1" s="18" t="s">
        <v>152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7"/>
      <c r="H4" s="37"/>
      <c r="I4" s="37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1" si="0">F5-G5-H5</f>
        <v>0</v>
      </c>
      <c r="J5" s="44">
        <f t="shared" ref="J5:J41" si="1">S5+T5</f>
        <v>0</v>
      </c>
      <c r="K5" s="44">
        <f t="shared" ref="K5:K41" si="2">I5-J5</f>
        <v>0</v>
      </c>
      <c r="L5" s="45"/>
      <c r="M5" s="40"/>
      <c r="N5" s="43">
        <f t="shared" ref="N5:N41" si="3">I5-J5-M5-R5</f>
        <v>0</v>
      </c>
      <c r="O5" s="43">
        <f t="shared" ref="O5:O41" si="4">R5+S5+T5</f>
        <v>0</v>
      </c>
      <c r="P5" s="46"/>
      <c r="Q5" s="40"/>
      <c r="R5" s="43"/>
      <c r="S5" s="43"/>
      <c r="T5" s="49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>I7-J7</f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>S15+T15</f>
        <v>0</v>
      </c>
      <c r="K15" s="44">
        <f t="shared" si="2"/>
        <v>0</v>
      </c>
      <c r="L15" s="45"/>
      <c r="M15" s="40"/>
      <c r="N15" s="43">
        <f>I15-J15-M15-R15</f>
        <v>0</v>
      </c>
      <c r="O15" s="43">
        <f>R15+S15+T15</f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50"/>
      <c r="B41" s="51"/>
      <c r="C41" s="52"/>
      <c r="D41" s="50"/>
      <c r="E41" s="50"/>
      <c r="F41" s="50"/>
      <c r="G41" s="43">
        <f>F41*6%</f>
        <v>0</v>
      </c>
      <c r="H41" s="53"/>
      <c r="I41" s="78">
        <f t="shared" si="0"/>
        <v>0</v>
      </c>
      <c r="J41" s="54">
        <f t="shared" si="1"/>
        <v>0</v>
      </c>
      <c r="K41" s="54">
        <f t="shared" si="2"/>
        <v>0</v>
      </c>
      <c r="L41" s="55"/>
      <c r="M41" s="50"/>
      <c r="N41" s="53">
        <f t="shared" si="3"/>
        <v>0</v>
      </c>
      <c r="O41" s="53">
        <f t="shared" si="4"/>
        <v>0</v>
      </c>
      <c r="P41" s="56"/>
      <c r="Q41" s="50"/>
      <c r="R41" s="50"/>
      <c r="S41" s="50"/>
      <c r="T41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570" priority="26" operator="containsText" text="SIN FACTURA ">
      <formula>NOT(ISERROR(SEARCH("SIN FACTURA ",A2)))</formula>
    </cfRule>
  </conditionalFormatting>
  <conditionalFormatting sqref="J41:T41 J39:T39 J37:T37 J35:T35 J33:T33 J31:T31 J29:T29 J27:T27 J25:T25 J23:T23 J21:T21 J11:T19 A11:H19 A21:H21 A23:H23 A25:H25 A27:H27 A29:H29 A31:H31 A33:H33 A35:H35 A37:H37 A39:H39 A41:H41 J4:T9 I4:I41 A4:H9">
    <cfRule type="containsText" dxfId="3569" priority="25" operator="containsText" text="SIN FACTURA">
      <formula>NOT(ISERROR(SEARCH("SIN FACTURA",A4)))</formula>
    </cfRule>
  </conditionalFormatting>
  <conditionalFormatting sqref="C10:H10 J10:V10">
    <cfRule type="containsText" dxfId="3568" priority="24" operator="containsText" text="SIN FACTURA">
      <formula>NOT(ISERROR(SEARCH("SIN FACTURA",C10)))</formula>
    </cfRule>
  </conditionalFormatting>
  <conditionalFormatting sqref="C20:H20 J20:V20">
    <cfRule type="containsText" dxfId="3567" priority="23" operator="containsText" text="SIN FACTURA">
      <formula>NOT(ISERROR(SEARCH("SIN FACTURA",C20)))</formula>
    </cfRule>
  </conditionalFormatting>
  <conditionalFormatting sqref="C22:H22 J22:V22">
    <cfRule type="containsText" dxfId="3566" priority="22" operator="containsText" text="SIN FACTURA">
      <formula>NOT(ISERROR(SEARCH("SIN FACTURA",C22)))</formula>
    </cfRule>
  </conditionalFormatting>
  <conditionalFormatting sqref="C24:H24 J24:V24">
    <cfRule type="containsText" dxfId="3565" priority="21" operator="containsText" text="SIN FACTURA">
      <formula>NOT(ISERROR(SEARCH("SIN FACTURA",C24)))</formula>
    </cfRule>
  </conditionalFormatting>
  <conditionalFormatting sqref="C26:H26 J26:V26">
    <cfRule type="containsText" dxfId="3564" priority="20" operator="containsText" text="SIN FACTURA">
      <formula>NOT(ISERROR(SEARCH("SIN FACTURA",C26)))</formula>
    </cfRule>
  </conditionalFormatting>
  <conditionalFormatting sqref="C28:H28 J28:V28">
    <cfRule type="containsText" dxfId="3563" priority="19" operator="containsText" text="SIN FACTURA">
      <formula>NOT(ISERROR(SEARCH("SIN FACTURA",C28)))</formula>
    </cfRule>
  </conditionalFormatting>
  <conditionalFormatting sqref="C30:H30 J30:V30">
    <cfRule type="containsText" dxfId="3562" priority="18" operator="containsText" text="SIN FACTURA">
      <formula>NOT(ISERROR(SEARCH("SIN FACTURA",C30)))</formula>
    </cfRule>
  </conditionalFormatting>
  <conditionalFormatting sqref="C32:H32 J32:V32">
    <cfRule type="containsText" dxfId="3561" priority="17" operator="containsText" text="SIN FACTURA">
      <formula>NOT(ISERROR(SEARCH("SIN FACTURA",C32)))</formula>
    </cfRule>
  </conditionalFormatting>
  <conditionalFormatting sqref="C34:H34 J34:V34">
    <cfRule type="containsText" dxfId="3560" priority="16" operator="containsText" text="SIN FACTURA">
      <formula>NOT(ISERROR(SEARCH("SIN FACTURA",C34)))</formula>
    </cfRule>
  </conditionalFormatting>
  <conditionalFormatting sqref="C36:H36 J36:V36">
    <cfRule type="containsText" dxfId="3559" priority="15" operator="containsText" text="SIN FACTURA">
      <formula>NOT(ISERROR(SEARCH("SIN FACTURA",C36)))</formula>
    </cfRule>
  </conditionalFormatting>
  <conditionalFormatting sqref="C38:H38 J38:V38">
    <cfRule type="containsText" dxfId="3558" priority="14" operator="containsText" text="SIN FACTURA">
      <formula>NOT(ISERROR(SEARCH("SIN FACTURA",C38)))</formula>
    </cfRule>
  </conditionalFormatting>
  <conditionalFormatting sqref="C40:H40 J40:V40">
    <cfRule type="containsText" dxfId="3557" priority="13" operator="containsText" text="SIN FACTURA">
      <formula>NOT(ISERROR(SEARCH("SIN FACTURA",C40)))</formula>
    </cfRule>
  </conditionalFormatting>
  <conditionalFormatting sqref="A10:B10">
    <cfRule type="containsText" dxfId="3556" priority="12" operator="containsText" text="SIN FACTURA">
      <formula>NOT(ISERROR(SEARCH("SIN FACTURA",A10)))</formula>
    </cfRule>
  </conditionalFormatting>
  <conditionalFormatting sqref="A20:B20">
    <cfRule type="containsText" dxfId="3555" priority="11" operator="containsText" text="SIN FACTURA">
      <formula>NOT(ISERROR(SEARCH("SIN FACTURA",A20)))</formula>
    </cfRule>
  </conditionalFormatting>
  <conditionalFormatting sqref="A22:B22">
    <cfRule type="containsText" dxfId="3554" priority="10" operator="containsText" text="SIN FACTURA">
      <formula>NOT(ISERROR(SEARCH("SIN FACTURA",A22)))</formula>
    </cfRule>
  </conditionalFormatting>
  <conditionalFormatting sqref="A24:B24">
    <cfRule type="containsText" dxfId="3553" priority="9" operator="containsText" text="SIN FACTURA">
      <formula>NOT(ISERROR(SEARCH("SIN FACTURA",A24)))</formula>
    </cfRule>
  </conditionalFormatting>
  <conditionalFormatting sqref="A26:B26">
    <cfRule type="containsText" dxfId="3552" priority="8" operator="containsText" text="SIN FACTURA">
      <formula>NOT(ISERROR(SEARCH("SIN FACTURA",A26)))</formula>
    </cfRule>
  </conditionalFormatting>
  <conditionalFormatting sqref="A28:B28">
    <cfRule type="containsText" dxfId="3551" priority="7" operator="containsText" text="SIN FACTURA">
      <formula>NOT(ISERROR(SEARCH("SIN FACTURA",A28)))</formula>
    </cfRule>
  </conditionalFormatting>
  <conditionalFormatting sqref="A40:B40">
    <cfRule type="containsText" dxfId="3550" priority="1" operator="containsText" text="SIN FACTURA">
      <formula>NOT(ISERROR(SEARCH("SIN FACTURA",A40)))</formula>
    </cfRule>
  </conditionalFormatting>
  <conditionalFormatting sqref="A30:B30">
    <cfRule type="containsText" dxfId="3549" priority="6" operator="containsText" text="SIN FACTURA">
      <formula>NOT(ISERROR(SEARCH("SIN FACTURA",A30)))</formula>
    </cfRule>
  </conditionalFormatting>
  <conditionalFormatting sqref="A32:B32">
    <cfRule type="containsText" dxfId="3548" priority="5" operator="containsText" text="SIN FACTURA">
      <formula>NOT(ISERROR(SEARCH("SIN FACTURA",A32)))</formula>
    </cfRule>
  </conditionalFormatting>
  <conditionalFormatting sqref="A34:B34">
    <cfRule type="containsText" dxfId="3547" priority="4" operator="containsText" text="SIN FACTURA">
      <formula>NOT(ISERROR(SEARCH("SIN FACTURA",A34)))</formula>
    </cfRule>
  </conditionalFormatting>
  <conditionalFormatting sqref="A36:B36">
    <cfRule type="containsText" dxfId="3546" priority="3" operator="containsText" text="SIN FACTURA">
      <formula>NOT(ISERROR(SEARCH("SIN FACTURA",A36)))</formula>
    </cfRule>
  </conditionalFormatting>
  <conditionalFormatting sqref="A38:B38">
    <cfRule type="containsText" dxfId="3545" priority="2" operator="containsText" text="SIN FACTURA">
      <formula>NOT(ISERROR(SEARCH("SIN FACTURA",A38)))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>
  <sheetPr codeName="Hoja99"/>
  <dimension ref="A1:Y30"/>
  <sheetViews>
    <sheetView zoomScale="125" zoomScaleNormal="125" zoomScalePageLayoutView="125" workbookViewId="0">
      <pane ySplit="4" topLeftCell="A10" activePane="bottomLeft" state="frozen"/>
      <selection activeCell="C52" sqref="C52"/>
      <selection pane="bottomLeft" activeCell="A4" sqref="A4:XFD30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4">
        <v>257</v>
      </c>
      <c r="B1" s="18" t="s">
        <v>57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29" si="0">F5-G5-H5</f>
        <v>0</v>
      </c>
      <c r="J5" s="44">
        <f t="shared" ref="J5:J29" si="1">S5+T5</f>
        <v>0</v>
      </c>
      <c r="K5" s="44">
        <f t="shared" ref="K5:K29" si="2">I5-J5</f>
        <v>0</v>
      </c>
      <c r="L5" s="45"/>
      <c r="M5" s="40"/>
      <c r="N5" s="43">
        <f t="shared" ref="N5:N29" si="3">I5-J5-M5-R5</f>
        <v>0</v>
      </c>
      <c r="O5" s="43">
        <f t="shared" ref="O5:O29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  <c r="U10" s="6"/>
      <c r="V10" s="6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50"/>
      <c r="B29" s="51"/>
      <c r="C29" s="52"/>
      <c r="D29" s="50"/>
      <c r="E29" s="50"/>
      <c r="F29" s="50"/>
      <c r="G29" s="43">
        <f>F29*6%</f>
        <v>0</v>
      </c>
      <c r="H29" s="53"/>
      <c r="I29" s="44">
        <f t="shared" si="0"/>
        <v>0</v>
      </c>
      <c r="J29" s="54">
        <f t="shared" si="1"/>
        <v>0</v>
      </c>
      <c r="K29" s="54">
        <f t="shared" si="2"/>
        <v>0</v>
      </c>
      <c r="L29" s="55"/>
      <c r="M29" s="50"/>
      <c r="N29" s="53">
        <f t="shared" si="3"/>
        <v>0</v>
      </c>
      <c r="O29" s="53">
        <f t="shared" si="4"/>
        <v>0</v>
      </c>
      <c r="P29" s="56"/>
      <c r="Q29" s="50"/>
      <c r="R29" s="50"/>
      <c r="S29" s="50"/>
      <c r="T29" s="57"/>
    </row>
    <row r="30" spans="1:22">
      <c r="J30" s="7" t="e">
        <f>SUM(#REF!)</f>
        <v>#REF!</v>
      </c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3544" priority="27" operator="containsText" text="SIN FACTURA ">
      <formula>NOT(ISERROR(SEARCH("SIN FACTURA ",A2)))</formula>
    </cfRule>
  </conditionalFormatting>
  <conditionalFormatting sqref="J29:T29 J27:T27 J25:T25 J23:T23 J21:T21 J19:T19 J17:T17 J15:T15 J13:T13 J11:T11 J9:T9 J8:V8 J10:V10 J12:V12 J14:V14 J16:V16 J18:V18 J20:V20 J22:V22 J24:V24 J26:V26 J28:V28 A4:T4 J5:T7 A5:I29">
    <cfRule type="containsText" dxfId="3543" priority="1" operator="containsText" text="SIN FACTURA">
      <formula>NOT(ISERROR(SEARCH("SIN FACTURA",A4)))</formula>
    </cfRule>
  </conditionalFormatting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>
  <sheetPr codeName="Hoja40"/>
  <dimension ref="A1:Y30"/>
  <sheetViews>
    <sheetView zoomScale="125" zoomScaleNormal="125" zoomScalePageLayoutView="125" workbookViewId="0">
      <pane ySplit="4" topLeftCell="A30" activePane="bottomLeft" state="frozen"/>
      <selection activeCell="G5" sqref="G5"/>
      <selection pane="bottomLeft" activeCell="A31" sqref="A31:XFD31"/>
    </sheetView>
  </sheetViews>
  <sheetFormatPr baseColWidth="10" defaultColWidth="10.875" defaultRowHeight="15.75"/>
  <cols>
    <col min="1" max="1" width="22.625" style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113</v>
      </c>
      <c r="B1" s="122" t="s">
        <v>151</v>
      </c>
      <c r="C1" s="10"/>
      <c r="D1" s="4"/>
      <c r="E1" s="4"/>
      <c r="F1" s="4"/>
      <c r="G1" s="4"/>
      <c r="H1" s="4"/>
      <c r="I1" s="5"/>
      <c r="J1" s="5"/>
      <c r="K1" s="5"/>
      <c r="L1" s="5"/>
      <c r="M1" s="5"/>
      <c r="N1" s="5"/>
      <c r="O1" s="5"/>
      <c r="P1" s="122"/>
      <c r="Q1" s="5"/>
      <c r="R1" s="5"/>
      <c r="S1" s="5"/>
      <c r="T1" s="5"/>
    </row>
    <row r="2" spans="1:25" ht="27.95" customHeight="1" thickBot="1">
      <c r="A2" s="297" t="s">
        <v>3</v>
      </c>
      <c r="B2" s="302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299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4"/>
      <c r="F4" s="32"/>
      <c r="G4" s="32"/>
      <c r="H4" s="32"/>
      <c r="I4" s="35"/>
      <c r="J4" s="35"/>
      <c r="K4" s="35"/>
      <c r="L4" s="36"/>
      <c r="M4" s="32"/>
      <c r="N4" s="37"/>
      <c r="O4" s="37"/>
      <c r="P4" s="123"/>
      <c r="Q4" s="32"/>
      <c r="R4" s="32"/>
      <c r="S4" s="32"/>
      <c r="T4" s="39"/>
    </row>
    <row r="5" spans="1:25" ht="15">
      <c r="A5" s="32"/>
      <c r="B5" s="33"/>
      <c r="C5" s="34"/>
      <c r="D5" s="32"/>
      <c r="E5" s="32"/>
      <c r="F5" s="32"/>
      <c r="G5" s="32"/>
      <c r="H5" s="32"/>
      <c r="I5" s="35"/>
      <c r="J5" s="35"/>
      <c r="K5" s="35"/>
      <c r="L5" s="36"/>
      <c r="M5" s="32"/>
      <c r="N5" s="37"/>
      <c r="O5" s="37"/>
      <c r="P5" s="38"/>
      <c r="Q5" s="32"/>
      <c r="R5" s="32"/>
      <c r="S5" s="32"/>
      <c r="T5" s="39"/>
    </row>
    <row r="6" spans="1:25" ht="15">
      <c r="A6" s="40"/>
      <c r="B6" s="41"/>
      <c r="C6" s="42"/>
      <c r="D6" s="40"/>
      <c r="E6" s="40"/>
      <c r="F6" s="40"/>
      <c r="G6" s="43">
        <f>F6*6%</f>
        <v>0</v>
      </c>
      <c r="H6" s="43"/>
      <c r="I6" s="44">
        <f t="shared" ref="I6:I30" si="0">F6-G6-H6</f>
        <v>0</v>
      </c>
      <c r="J6" s="44">
        <f t="shared" ref="J6:J30" si="1">S6+T6</f>
        <v>0</v>
      </c>
      <c r="K6" s="44">
        <f t="shared" ref="K6:K30" si="2">I6-J6</f>
        <v>0</v>
      </c>
      <c r="L6" s="45"/>
      <c r="M6" s="40"/>
      <c r="N6" s="43">
        <f t="shared" ref="N6:N30" si="3">I6-J6-M6-R6</f>
        <v>0</v>
      </c>
      <c r="O6" s="43">
        <f t="shared" ref="O6:O30" si="4">R6+S6+T6</f>
        <v>0</v>
      </c>
      <c r="P6" s="46"/>
      <c r="Q6" s="40"/>
      <c r="R6" s="47"/>
      <c r="S6" s="47"/>
      <c r="T6" s="48"/>
    </row>
    <row r="7" spans="1:25" ht="15">
      <c r="A7" s="32"/>
      <c r="B7" s="33"/>
      <c r="C7" s="34"/>
      <c r="D7" s="32"/>
      <c r="E7" s="32"/>
      <c r="F7" s="32"/>
      <c r="G7" s="37"/>
      <c r="H7" s="37"/>
      <c r="I7" s="37"/>
      <c r="J7" s="35"/>
      <c r="K7" s="35"/>
      <c r="L7" s="36"/>
      <c r="M7" s="32"/>
      <c r="N7" s="37"/>
      <c r="O7" s="37"/>
      <c r="P7" s="38"/>
      <c r="Q7" s="32"/>
      <c r="R7" s="32"/>
      <c r="S7" s="32"/>
      <c r="T7" s="39"/>
    </row>
    <row r="8" spans="1:25" ht="15">
      <c r="A8" s="40"/>
      <c r="B8" s="41"/>
      <c r="C8" s="42"/>
      <c r="D8" s="40"/>
      <c r="E8" s="40"/>
      <c r="F8" s="40"/>
      <c r="G8" s="43">
        <f>F8*6%</f>
        <v>0</v>
      </c>
      <c r="H8" s="43"/>
      <c r="I8" s="44">
        <f t="shared" si="0"/>
        <v>0</v>
      </c>
      <c r="J8" s="44">
        <f t="shared" si="1"/>
        <v>0</v>
      </c>
      <c r="K8" s="44">
        <f t="shared" si="2"/>
        <v>0</v>
      </c>
      <c r="L8" s="45"/>
      <c r="M8" s="40"/>
      <c r="N8" s="43">
        <f t="shared" si="3"/>
        <v>0</v>
      </c>
      <c r="O8" s="43">
        <f t="shared" si="4"/>
        <v>0</v>
      </c>
      <c r="P8" s="46"/>
      <c r="Q8" s="40"/>
      <c r="R8" s="40"/>
      <c r="S8" s="40"/>
      <c r="T8" s="5"/>
    </row>
    <row r="9" spans="1:25" ht="15">
      <c r="A9" s="32"/>
      <c r="B9" s="33"/>
      <c r="C9" s="32"/>
      <c r="D9" s="33"/>
      <c r="E9" s="34"/>
      <c r="F9" s="32"/>
      <c r="G9" s="32"/>
      <c r="H9" s="32"/>
      <c r="I9" s="37"/>
      <c r="J9" s="37"/>
      <c r="K9" s="35"/>
      <c r="L9" s="35"/>
      <c r="M9" s="35"/>
      <c r="N9" s="36"/>
      <c r="O9" s="32"/>
      <c r="P9" s="37"/>
      <c r="Q9" s="37"/>
      <c r="R9" s="38"/>
      <c r="S9" s="32"/>
      <c r="T9" s="39"/>
    </row>
    <row r="10" spans="1:25" ht="15">
      <c r="A10" s="40"/>
      <c r="B10" s="41"/>
      <c r="C10" s="42"/>
      <c r="D10" s="40"/>
      <c r="E10" s="40"/>
      <c r="F10" s="40"/>
      <c r="G10" s="43">
        <f>F10*6%</f>
        <v>0</v>
      </c>
      <c r="H10" s="43"/>
      <c r="I10" s="44">
        <f t="shared" si="0"/>
        <v>0</v>
      </c>
      <c r="J10" s="44">
        <f t="shared" si="1"/>
        <v>0</v>
      </c>
      <c r="K10" s="44">
        <f t="shared" si="2"/>
        <v>0</v>
      </c>
      <c r="L10" s="45"/>
      <c r="M10" s="40"/>
      <c r="N10" s="43">
        <f t="shared" si="3"/>
        <v>0</v>
      </c>
      <c r="O10" s="43">
        <f t="shared" si="4"/>
        <v>0</v>
      </c>
      <c r="P10" s="46"/>
      <c r="Q10" s="40"/>
      <c r="R10" s="40"/>
      <c r="S10" s="40"/>
      <c r="T10" s="5"/>
    </row>
    <row r="11" spans="1:25" ht="15">
      <c r="A11" s="32"/>
      <c r="B11" s="33"/>
      <c r="C11" s="32"/>
      <c r="D11" s="33"/>
      <c r="E11" s="34"/>
      <c r="F11" s="32"/>
      <c r="G11" s="32"/>
      <c r="H11" s="32"/>
      <c r="I11" s="37"/>
      <c r="J11" s="37"/>
      <c r="K11" s="35"/>
      <c r="L11" s="35"/>
      <c r="M11" s="35"/>
      <c r="N11" s="36"/>
      <c r="O11" s="32"/>
      <c r="P11" s="37"/>
      <c r="Q11" s="37"/>
      <c r="R11" s="38"/>
      <c r="S11" s="32"/>
      <c r="T11" s="39"/>
      <c r="U11" s="6"/>
      <c r="V11" s="6"/>
    </row>
    <row r="12" spans="1:25" ht="15">
      <c r="A12" s="40"/>
      <c r="B12" s="41"/>
      <c r="C12" s="42"/>
      <c r="D12" s="40"/>
      <c r="E12" s="40"/>
      <c r="F12" s="40"/>
      <c r="G12" s="43">
        <f>F12*6%</f>
        <v>0</v>
      </c>
      <c r="H12" s="43"/>
      <c r="I12" s="44">
        <f t="shared" si="0"/>
        <v>0</v>
      </c>
      <c r="J12" s="44">
        <f t="shared" si="1"/>
        <v>0</v>
      </c>
      <c r="K12" s="44">
        <f t="shared" si="2"/>
        <v>0</v>
      </c>
      <c r="L12" s="45"/>
      <c r="M12" s="40"/>
      <c r="N12" s="43">
        <f t="shared" si="3"/>
        <v>0</v>
      </c>
      <c r="O12" s="43">
        <f t="shared" si="4"/>
        <v>0</v>
      </c>
      <c r="P12" s="46"/>
      <c r="Q12" s="40"/>
      <c r="R12" s="40"/>
      <c r="S12" s="40"/>
      <c r="T12" s="5"/>
    </row>
    <row r="13" spans="1:25" ht="15">
      <c r="A13" s="32"/>
      <c r="B13" s="33"/>
      <c r="C13" s="32"/>
      <c r="D13" s="33"/>
      <c r="E13" s="34"/>
      <c r="F13" s="32"/>
      <c r="G13" s="32"/>
      <c r="H13" s="32"/>
      <c r="I13" s="37"/>
      <c r="J13" s="37"/>
      <c r="K13" s="35"/>
      <c r="L13" s="35"/>
      <c r="M13" s="35"/>
      <c r="N13" s="36"/>
      <c r="O13" s="32"/>
      <c r="P13" s="37"/>
      <c r="Q13" s="37"/>
      <c r="R13" s="38"/>
      <c r="S13" s="32"/>
      <c r="T13" s="39"/>
      <c r="U13" s="6"/>
      <c r="V13" s="6"/>
    </row>
    <row r="14" spans="1:25" ht="15">
      <c r="A14" s="40"/>
      <c r="B14" s="41"/>
      <c r="C14" s="42"/>
      <c r="D14" s="40"/>
      <c r="E14" s="40"/>
      <c r="F14" s="40"/>
      <c r="G14" s="43">
        <f>F14*6%</f>
        <v>0</v>
      </c>
      <c r="H14" s="43"/>
      <c r="I14" s="44">
        <f t="shared" si="0"/>
        <v>0</v>
      </c>
      <c r="J14" s="44">
        <f t="shared" si="1"/>
        <v>0</v>
      </c>
      <c r="K14" s="44">
        <f t="shared" si="2"/>
        <v>0</v>
      </c>
      <c r="L14" s="45"/>
      <c r="M14" s="40"/>
      <c r="N14" s="43">
        <f t="shared" si="3"/>
        <v>0</v>
      </c>
      <c r="O14" s="43">
        <f t="shared" si="4"/>
        <v>0</v>
      </c>
      <c r="P14" s="46"/>
      <c r="Q14" s="40"/>
      <c r="R14" s="40"/>
      <c r="S14" s="40"/>
      <c r="T14" s="5"/>
    </row>
    <row r="15" spans="1:25" ht="15">
      <c r="A15" s="32"/>
      <c r="B15" s="33"/>
      <c r="C15" s="32"/>
      <c r="D15" s="33"/>
      <c r="E15" s="34"/>
      <c r="F15" s="32"/>
      <c r="G15" s="32"/>
      <c r="H15" s="32"/>
      <c r="I15" s="37"/>
      <c r="J15" s="37"/>
      <c r="K15" s="35"/>
      <c r="L15" s="35"/>
      <c r="M15" s="35"/>
      <c r="N15" s="36"/>
      <c r="O15" s="32"/>
      <c r="P15" s="37"/>
      <c r="Q15" s="37"/>
      <c r="R15" s="38"/>
      <c r="S15" s="32"/>
      <c r="T15" s="39"/>
      <c r="U15" s="6"/>
      <c r="V15" s="6"/>
    </row>
    <row r="16" spans="1:25" ht="15">
      <c r="A16" s="40"/>
      <c r="B16" s="41"/>
      <c r="C16" s="42"/>
      <c r="D16" s="40"/>
      <c r="E16" s="40"/>
      <c r="F16" s="40"/>
      <c r="G16" s="43">
        <f>F16*6%</f>
        <v>0</v>
      </c>
      <c r="H16" s="43"/>
      <c r="I16" s="44">
        <f t="shared" si="0"/>
        <v>0</v>
      </c>
      <c r="J16" s="44">
        <f t="shared" si="1"/>
        <v>0</v>
      </c>
      <c r="K16" s="44">
        <f t="shared" si="2"/>
        <v>0</v>
      </c>
      <c r="L16" s="45"/>
      <c r="M16" s="40"/>
      <c r="N16" s="43">
        <f t="shared" si="3"/>
        <v>0</v>
      </c>
      <c r="O16" s="43">
        <f t="shared" si="4"/>
        <v>0</v>
      </c>
      <c r="P16" s="46"/>
      <c r="Q16" s="40"/>
      <c r="R16" s="40"/>
      <c r="S16" s="40"/>
      <c r="T16" s="5"/>
    </row>
    <row r="17" spans="1:22" ht="15">
      <c r="A17" s="32"/>
      <c r="B17" s="33"/>
      <c r="C17" s="32"/>
      <c r="D17" s="33"/>
      <c r="E17" s="34"/>
      <c r="F17" s="32"/>
      <c r="G17" s="32"/>
      <c r="H17" s="32"/>
      <c r="I17" s="37"/>
      <c r="J17" s="37"/>
      <c r="K17" s="35"/>
      <c r="L17" s="35"/>
      <c r="M17" s="35"/>
      <c r="N17" s="36"/>
      <c r="O17" s="32"/>
      <c r="P17" s="37"/>
      <c r="Q17" s="37"/>
      <c r="R17" s="38"/>
      <c r="S17" s="32"/>
      <c r="T17" s="39"/>
      <c r="U17" s="6"/>
      <c r="V17" s="6"/>
    </row>
    <row r="18" spans="1:22" ht="15">
      <c r="A18" s="40"/>
      <c r="B18" s="41"/>
      <c r="C18" s="42"/>
      <c r="D18" s="40"/>
      <c r="E18" s="40"/>
      <c r="F18" s="40"/>
      <c r="G18" s="43">
        <f>F18*6%</f>
        <v>0</v>
      </c>
      <c r="H18" s="43"/>
      <c r="I18" s="44">
        <f t="shared" si="0"/>
        <v>0</v>
      </c>
      <c r="J18" s="44">
        <f t="shared" si="1"/>
        <v>0</v>
      </c>
      <c r="K18" s="44">
        <f t="shared" si="2"/>
        <v>0</v>
      </c>
      <c r="L18" s="45"/>
      <c r="M18" s="40"/>
      <c r="N18" s="43">
        <f t="shared" si="3"/>
        <v>0</v>
      </c>
      <c r="O18" s="43">
        <f t="shared" si="4"/>
        <v>0</v>
      </c>
      <c r="P18" s="46"/>
      <c r="Q18" s="40"/>
      <c r="R18" s="40"/>
      <c r="S18" s="40"/>
      <c r="T18" s="5"/>
    </row>
    <row r="19" spans="1:22" ht="15">
      <c r="A19" s="32"/>
      <c r="B19" s="33"/>
      <c r="C19" s="32"/>
      <c r="D19" s="33"/>
      <c r="E19" s="34"/>
      <c r="F19" s="32"/>
      <c r="G19" s="32"/>
      <c r="H19" s="32"/>
      <c r="I19" s="37"/>
      <c r="J19" s="37"/>
      <c r="K19" s="35"/>
      <c r="L19" s="35"/>
      <c r="M19" s="35"/>
      <c r="N19" s="36"/>
      <c r="O19" s="32"/>
      <c r="P19" s="37"/>
      <c r="Q19" s="37"/>
      <c r="R19" s="38"/>
      <c r="S19" s="32"/>
      <c r="T19" s="39"/>
      <c r="U19" s="6"/>
      <c r="V19" s="6"/>
    </row>
    <row r="20" spans="1:22" ht="15">
      <c r="A20" s="40"/>
      <c r="B20" s="41"/>
      <c r="C20" s="42"/>
      <c r="D20" s="40"/>
      <c r="E20" s="40"/>
      <c r="F20" s="40"/>
      <c r="G20" s="43">
        <f>F20*6%</f>
        <v>0</v>
      </c>
      <c r="H20" s="43"/>
      <c r="I20" s="44">
        <f t="shared" si="0"/>
        <v>0</v>
      </c>
      <c r="J20" s="44">
        <f t="shared" si="1"/>
        <v>0</v>
      </c>
      <c r="K20" s="44">
        <f t="shared" si="2"/>
        <v>0</v>
      </c>
      <c r="L20" s="45"/>
      <c r="M20" s="40"/>
      <c r="N20" s="43">
        <f t="shared" si="3"/>
        <v>0</v>
      </c>
      <c r="O20" s="43">
        <f t="shared" si="4"/>
        <v>0</v>
      </c>
      <c r="P20" s="46"/>
      <c r="Q20" s="40"/>
      <c r="R20" s="40"/>
      <c r="S20" s="40"/>
      <c r="T20" s="5"/>
    </row>
    <row r="21" spans="1:22" ht="15">
      <c r="A21" s="32"/>
      <c r="B21" s="33"/>
      <c r="C21" s="32"/>
      <c r="D21" s="33"/>
      <c r="E21" s="34"/>
      <c r="F21" s="32"/>
      <c r="G21" s="32"/>
      <c r="H21" s="32"/>
      <c r="I21" s="37"/>
      <c r="J21" s="37"/>
      <c r="K21" s="35"/>
      <c r="L21" s="35"/>
      <c r="M21" s="35"/>
      <c r="N21" s="36"/>
      <c r="O21" s="32"/>
      <c r="P21" s="37"/>
      <c r="Q21" s="37"/>
      <c r="R21" s="38"/>
      <c r="S21" s="32"/>
      <c r="T21" s="39"/>
      <c r="U21" s="6"/>
      <c r="V21" s="6"/>
    </row>
    <row r="22" spans="1:22" ht="15">
      <c r="A22" s="40"/>
      <c r="B22" s="41"/>
      <c r="C22" s="42"/>
      <c r="D22" s="40"/>
      <c r="E22" s="40"/>
      <c r="F22" s="40"/>
      <c r="G22" s="43">
        <f>F22*6%</f>
        <v>0</v>
      </c>
      <c r="H22" s="43"/>
      <c r="I22" s="44">
        <f t="shared" si="0"/>
        <v>0</v>
      </c>
      <c r="J22" s="44">
        <f t="shared" si="1"/>
        <v>0</v>
      </c>
      <c r="K22" s="44">
        <f t="shared" si="2"/>
        <v>0</v>
      </c>
      <c r="L22" s="45"/>
      <c r="M22" s="40"/>
      <c r="N22" s="43">
        <f t="shared" si="3"/>
        <v>0</v>
      </c>
      <c r="O22" s="43">
        <f t="shared" si="4"/>
        <v>0</v>
      </c>
      <c r="P22" s="46"/>
      <c r="Q22" s="40"/>
      <c r="R22" s="40"/>
      <c r="S22" s="40"/>
      <c r="T22" s="5"/>
    </row>
    <row r="23" spans="1:22" ht="15">
      <c r="A23" s="32"/>
      <c r="B23" s="33"/>
      <c r="C23" s="32"/>
      <c r="D23" s="33"/>
      <c r="E23" s="34"/>
      <c r="F23" s="32"/>
      <c r="G23" s="32"/>
      <c r="H23" s="32"/>
      <c r="I23" s="37"/>
      <c r="J23" s="37"/>
      <c r="K23" s="35"/>
      <c r="L23" s="35"/>
      <c r="M23" s="35"/>
      <c r="N23" s="36"/>
      <c r="O23" s="32"/>
      <c r="P23" s="37"/>
      <c r="Q23" s="37"/>
      <c r="R23" s="38"/>
      <c r="S23" s="32"/>
      <c r="T23" s="39"/>
      <c r="U23" s="6"/>
      <c r="V23" s="6"/>
    </row>
    <row r="24" spans="1:22" ht="15">
      <c r="A24" s="40"/>
      <c r="B24" s="41"/>
      <c r="C24" s="42"/>
      <c r="D24" s="40"/>
      <c r="E24" s="40"/>
      <c r="F24" s="40"/>
      <c r="G24" s="43">
        <f>F24*6%</f>
        <v>0</v>
      </c>
      <c r="H24" s="43"/>
      <c r="I24" s="44">
        <f t="shared" si="0"/>
        <v>0</v>
      </c>
      <c r="J24" s="44">
        <f t="shared" si="1"/>
        <v>0</v>
      </c>
      <c r="K24" s="44">
        <f t="shared" si="2"/>
        <v>0</v>
      </c>
      <c r="L24" s="45"/>
      <c r="M24" s="40"/>
      <c r="N24" s="43">
        <f t="shared" si="3"/>
        <v>0</v>
      </c>
      <c r="O24" s="43">
        <f t="shared" si="4"/>
        <v>0</v>
      </c>
      <c r="P24" s="46"/>
      <c r="Q24" s="40"/>
      <c r="R24" s="40"/>
      <c r="S24" s="40"/>
      <c r="T24" s="5"/>
    </row>
    <row r="25" spans="1:22" ht="15">
      <c r="A25" s="32"/>
      <c r="B25" s="33"/>
      <c r="C25" s="32"/>
      <c r="D25" s="33"/>
      <c r="E25" s="34"/>
      <c r="F25" s="32"/>
      <c r="G25" s="32"/>
      <c r="H25" s="32"/>
      <c r="I25" s="37"/>
      <c r="J25" s="37"/>
      <c r="K25" s="35"/>
      <c r="L25" s="35"/>
      <c r="M25" s="35"/>
      <c r="N25" s="36"/>
      <c r="O25" s="32"/>
      <c r="P25" s="37"/>
      <c r="Q25" s="37"/>
      <c r="R25" s="38"/>
      <c r="S25" s="32"/>
      <c r="T25" s="39"/>
      <c r="U25" s="6"/>
      <c r="V25" s="6"/>
    </row>
    <row r="26" spans="1:22" ht="15">
      <c r="A26" s="40"/>
      <c r="B26" s="41"/>
      <c r="C26" s="42"/>
      <c r="D26" s="40"/>
      <c r="E26" s="40"/>
      <c r="F26" s="40"/>
      <c r="G26" s="43">
        <f>F26*6%</f>
        <v>0</v>
      </c>
      <c r="H26" s="43"/>
      <c r="I26" s="44">
        <f t="shared" si="0"/>
        <v>0</v>
      </c>
      <c r="J26" s="44">
        <f t="shared" si="1"/>
        <v>0</v>
      </c>
      <c r="K26" s="44">
        <f t="shared" si="2"/>
        <v>0</v>
      </c>
      <c r="L26" s="45"/>
      <c r="M26" s="40"/>
      <c r="N26" s="43">
        <f t="shared" si="3"/>
        <v>0</v>
      </c>
      <c r="O26" s="43">
        <f t="shared" si="4"/>
        <v>0</v>
      </c>
      <c r="P26" s="46"/>
      <c r="Q26" s="40"/>
      <c r="R26" s="40"/>
      <c r="S26" s="40"/>
      <c r="T26" s="5"/>
    </row>
    <row r="27" spans="1:22" ht="15">
      <c r="A27" s="32"/>
      <c r="B27" s="33"/>
      <c r="C27" s="32"/>
      <c r="D27" s="33"/>
      <c r="E27" s="34"/>
      <c r="F27" s="32"/>
      <c r="G27" s="32"/>
      <c r="H27" s="32"/>
      <c r="I27" s="37"/>
      <c r="J27" s="37"/>
      <c r="K27" s="35"/>
      <c r="L27" s="35"/>
      <c r="M27" s="35"/>
      <c r="N27" s="36"/>
      <c r="O27" s="32"/>
      <c r="P27" s="37"/>
      <c r="Q27" s="37"/>
      <c r="R27" s="38"/>
      <c r="S27" s="32"/>
      <c r="T27" s="39"/>
      <c r="U27" s="6"/>
      <c r="V27" s="6"/>
    </row>
    <row r="28" spans="1:22" ht="15">
      <c r="A28" s="40"/>
      <c r="B28" s="41"/>
      <c r="C28" s="42"/>
      <c r="D28" s="40"/>
      <c r="E28" s="40"/>
      <c r="F28" s="40"/>
      <c r="G28" s="43">
        <f>F28*6%</f>
        <v>0</v>
      </c>
      <c r="H28" s="43"/>
      <c r="I28" s="44">
        <f t="shared" si="0"/>
        <v>0</v>
      </c>
      <c r="J28" s="44">
        <f t="shared" si="1"/>
        <v>0</v>
      </c>
      <c r="K28" s="44">
        <f t="shared" si="2"/>
        <v>0</v>
      </c>
      <c r="L28" s="45"/>
      <c r="M28" s="40"/>
      <c r="N28" s="43">
        <f t="shared" si="3"/>
        <v>0</v>
      </c>
      <c r="O28" s="43">
        <f t="shared" si="4"/>
        <v>0</v>
      </c>
      <c r="P28" s="46"/>
      <c r="Q28" s="40"/>
      <c r="R28" s="40"/>
      <c r="S28" s="40"/>
      <c r="T28" s="5"/>
    </row>
    <row r="29" spans="1:22" ht="15">
      <c r="A29" s="32"/>
      <c r="B29" s="33"/>
      <c r="C29" s="32"/>
      <c r="D29" s="33"/>
      <c r="E29" s="34"/>
      <c r="F29" s="32"/>
      <c r="G29" s="32"/>
      <c r="H29" s="32"/>
      <c r="I29" s="37"/>
      <c r="J29" s="37"/>
      <c r="K29" s="35"/>
      <c r="L29" s="35"/>
      <c r="M29" s="35"/>
      <c r="N29" s="36"/>
      <c r="O29" s="32"/>
      <c r="P29" s="37"/>
      <c r="Q29" s="37"/>
      <c r="R29" s="38"/>
      <c r="S29" s="32"/>
      <c r="T29" s="39"/>
      <c r="U29" s="6"/>
      <c r="V29" s="6"/>
    </row>
    <row r="30" spans="1:22" ht="15">
      <c r="A30" s="50"/>
      <c r="B30" s="51"/>
      <c r="C30" s="52"/>
      <c r="D30" s="50"/>
      <c r="E30" s="50"/>
      <c r="F30" s="50"/>
      <c r="G30" s="43">
        <f>F30*6%</f>
        <v>0</v>
      </c>
      <c r="H30" s="53"/>
      <c r="I30" s="44">
        <f t="shared" si="0"/>
        <v>0</v>
      </c>
      <c r="J30" s="54">
        <f t="shared" si="1"/>
        <v>0</v>
      </c>
      <c r="K30" s="54">
        <f t="shared" si="2"/>
        <v>0</v>
      </c>
      <c r="L30" s="55"/>
      <c r="M30" s="50"/>
      <c r="N30" s="53">
        <f t="shared" si="3"/>
        <v>0</v>
      </c>
      <c r="O30" s="53">
        <f t="shared" si="4"/>
        <v>0</v>
      </c>
      <c r="P30" s="56"/>
      <c r="Q30" s="50"/>
      <c r="R30" s="50"/>
      <c r="S30" s="50"/>
      <c r="T30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542" priority="6" operator="containsText" text="SIN FACTURA ">
      <formula>NOT(ISERROR(SEARCH("SIN FACTURA ",A2)))</formula>
    </cfRule>
  </conditionalFormatting>
  <conditionalFormatting sqref="H5:H10 G5:G29 I5:K29 N5:T29 A5:F9 C30:T30 J28:T28 J26:T26 J24:T24 J22:T22 J20:T20 J18:T18 J16:T16 J14:T14 J12:T12 J10:T10 J9:V9 J11:V11 J13:V13 J15:V15 J17:V17 J19:V19 J21:V21 J23:V23 J25:V25 J27:V27 J29:V29 A4:T5 J6:T8 A6:I30">
    <cfRule type="containsText" dxfId="3541" priority="5" operator="containsText" text="SIN FACTURA">
      <formula>NOT(ISERROR(SEARCH("SIN FACTURA",A4)))</formula>
    </cfRule>
  </conditionalFormatting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>
  <sheetPr codeName="Hoja9"/>
  <dimension ref="A1:Y26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29"/>
    </sheetView>
  </sheetViews>
  <sheetFormatPr baseColWidth="10" defaultColWidth="10.875" defaultRowHeight="15.75"/>
  <cols>
    <col min="1" max="1" width="16" style="1" bestFit="1" customWidth="1"/>
    <col min="2" max="2" width="11.375" style="2" customWidth="1"/>
    <col min="4" max="4" width="9.625" style="9" customWidth="1"/>
    <col min="5" max="6" width="10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5" width="10.875" style="1"/>
    <col min="16" max="16" width="12.625" style="1" customWidth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116</v>
      </c>
      <c r="B1" s="18" t="s">
        <v>32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32"/>
      <c r="B5" s="33"/>
      <c r="C5" s="32"/>
      <c r="D5" s="33"/>
      <c r="E5" s="34"/>
      <c r="F5" s="32"/>
      <c r="G5" s="32"/>
      <c r="H5" s="32"/>
      <c r="I5" s="37"/>
      <c r="J5" s="37"/>
      <c r="K5" s="35"/>
      <c r="L5" s="35"/>
      <c r="M5" s="35"/>
      <c r="N5" s="36"/>
      <c r="O5" s="32"/>
      <c r="P5" s="37"/>
      <c r="Q5" s="37"/>
      <c r="R5" s="38"/>
      <c r="S5" s="32"/>
      <c r="T5" s="39"/>
    </row>
    <row r="6" spans="1:25" ht="15">
      <c r="A6" s="40"/>
      <c r="B6" s="41"/>
      <c r="C6" s="42"/>
      <c r="D6" s="40"/>
      <c r="E6" s="40"/>
      <c r="F6" s="40"/>
      <c r="G6" s="43">
        <f>F6*6%</f>
        <v>0</v>
      </c>
      <c r="H6" s="43"/>
      <c r="I6" s="44">
        <f t="shared" ref="I6:I26" si="0">F6-G6-H6</f>
        <v>0</v>
      </c>
      <c r="J6" s="44">
        <f t="shared" ref="J6:J26" si="1">S6+T6</f>
        <v>0</v>
      </c>
      <c r="K6" s="44">
        <f t="shared" ref="K6:K26" si="2">I6-J6</f>
        <v>0</v>
      </c>
      <c r="L6" s="45"/>
      <c r="M6" s="40"/>
      <c r="N6" s="43">
        <f t="shared" ref="N6:N26" si="3">I6-J6-M6-R6</f>
        <v>0</v>
      </c>
      <c r="O6" s="43">
        <f t="shared" ref="O6:O26" si="4">R6+S6+T6</f>
        <v>0</v>
      </c>
      <c r="P6" s="46"/>
      <c r="Q6" s="40"/>
      <c r="R6" s="40"/>
      <c r="S6" s="40"/>
      <c r="T6" s="5"/>
    </row>
    <row r="7" spans="1:25" ht="15">
      <c r="A7" s="32"/>
      <c r="B7" s="33"/>
      <c r="C7" s="32"/>
      <c r="D7" s="33"/>
      <c r="E7" s="34"/>
      <c r="F7" s="32"/>
      <c r="G7" s="37"/>
      <c r="H7" s="32"/>
      <c r="I7" s="37"/>
      <c r="J7" s="37"/>
      <c r="K7" s="35"/>
      <c r="L7" s="35"/>
      <c r="M7" s="35"/>
      <c r="N7" s="36"/>
      <c r="O7" s="32"/>
      <c r="P7" s="37"/>
      <c r="Q7" s="37"/>
      <c r="R7" s="38"/>
      <c r="S7" s="32"/>
      <c r="T7" s="39"/>
      <c r="U7" s="6"/>
      <c r="V7" s="6"/>
    </row>
    <row r="8" spans="1:25" ht="15">
      <c r="A8" s="40"/>
      <c r="B8" s="41"/>
      <c r="C8" s="42"/>
      <c r="D8" s="40"/>
      <c r="E8" s="40"/>
      <c r="F8" s="40"/>
      <c r="G8" s="43">
        <f>F8*6%</f>
        <v>0</v>
      </c>
      <c r="H8" s="43"/>
      <c r="I8" s="44">
        <f t="shared" si="0"/>
        <v>0</v>
      </c>
      <c r="J8" s="44">
        <f t="shared" si="1"/>
        <v>0</v>
      </c>
      <c r="K8" s="44">
        <f t="shared" si="2"/>
        <v>0</v>
      </c>
      <c r="L8" s="45"/>
      <c r="M8" s="40"/>
      <c r="N8" s="43">
        <f t="shared" si="3"/>
        <v>0</v>
      </c>
      <c r="O8" s="43">
        <f t="shared" si="4"/>
        <v>0</v>
      </c>
      <c r="P8" s="46"/>
      <c r="Q8" s="40"/>
      <c r="R8" s="40"/>
      <c r="S8" s="40"/>
      <c r="T8" s="5"/>
    </row>
    <row r="9" spans="1:25" ht="15">
      <c r="A9" s="32"/>
      <c r="B9" s="33"/>
      <c r="C9" s="32"/>
      <c r="D9" s="33"/>
      <c r="E9" s="34"/>
      <c r="F9" s="32"/>
      <c r="G9" s="32"/>
      <c r="H9" s="32"/>
      <c r="I9" s="37"/>
      <c r="J9" s="37"/>
      <c r="K9" s="35"/>
      <c r="L9" s="35"/>
      <c r="M9" s="35"/>
      <c r="N9" s="36"/>
      <c r="O9" s="32"/>
      <c r="P9" s="37"/>
      <c r="Q9" s="37"/>
      <c r="R9" s="38"/>
      <c r="S9" s="32"/>
      <c r="T9" s="39"/>
      <c r="U9" s="6"/>
      <c r="V9" s="6"/>
    </row>
    <row r="10" spans="1:25" ht="15">
      <c r="A10" s="40"/>
      <c r="B10" s="41"/>
      <c r="C10" s="42"/>
      <c r="D10" s="40"/>
      <c r="E10" s="40"/>
      <c r="F10" s="40"/>
      <c r="G10" s="43">
        <f>F10*6%</f>
        <v>0</v>
      </c>
      <c r="H10" s="43"/>
      <c r="I10" s="44">
        <f t="shared" si="0"/>
        <v>0</v>
      </c>
      <c r="J10" s="44">
        <f t="shared" si="1"/>
        <v>0</v>
      </c>
      <c r="K10" s="44">
        <f t="shared" si="2"/>
        <v>0</v>
      </c>
      <c r="L10" s="45"/>
      <c r="M10" s="40"/>
      <c r="N10" s="43">
        <f t="shared" si="3"/>
        <v>0</v>
      </c>
      <c r="O10" s="43">
        <f t="shared" si="4"/>
        <v>0</v>
      </c>
      <c r="P10" s="46"/>
      <c r="Q10" s="40"/>
      <c r="R10" s="40"/>
      <c r="S10" s="40"/>
      <c r="T10" s="5"/>
    </row>
    <row r="11" spans="1:25" ht="15">
      <c r="A11" s="32"/>
      <c r="B11" s="33"/>
      <c r="C11" s="32"/>
      <c r="D11" s="33"/>
      <c r="E11" s="34"/>
      <c r="F11" s="32"/>
      <c r="G11" s="32"/>
      <c r="H11" s="32"/>
      <c r="I11" s="37"/>
      <c r="J11" s="37"/>
      <c r="K11" s="35"/>
      <c r="L11" s="35"/>
      <c r="M11" s="35"/>
      <c r="N11" s="36"/>
      <c r="O11" s="32"/>
      <c r="P11" s="37"/>
      <c r="Q11" s="37"/>
      <c r="R11" s="38"/>
      <c r="S11" s="32"/>
      <c r="T11" s="39"/>
      <c r="U11" s="6"/>
      <c r="V11" s="6"/>
    </row>
    <row r="12" spans="1:25" ht="15">
      <c r="A12" s="40"/>
      <c r="B12" s="41"/>
      <c r="C12" s="42"/>
      <c r="D12" s="40"/>
      <c r="E12" s="40"/>
      <c r="F12" s="40"/>
      <c r="G12" s="43">
        <f>F12*6%</f>
        <v>0</v>
      </c>
      <c r="H12" s="43"/>
      <c r="I12" s="44">
        <f t="shared" si="0"/>
        <v>0</v>
      </c>
      <c r="J12" s="44">
        <f t="shared" si="1"/>
        <v>0</v>
      </c>
      <c r="K12" s="44">
        <f t="shared" si="2"/>
        <v>0</v>
      </c>
      <c r="L12" s="45"/>
      <c r="M12" s="40"/>
      <c r="N12" s="43">
        <f t="shared" si="3"/>
        <v>0</v>
      </c>
      <c r="O12" s="43">
        <f t="shared" si="4"/>
        <v>0</v>
      </c>
      <c r="P12" s="46"/>
      <c r="Q12" s="40"/>
      <c r="R12" s="40"/>
      <c r="S12" s="40"/>
      <c r="T12" s="5"/>
    </row>
    <row r="13" spans="1:25" ht="15">
      <c r="A13" s="32"/>
      <c r="B13" s="33"/>
      <c r="C13" s="32"/>
      <c r="D13" s="33"/>
      <c r="E13" s="34"/>
      <c r="F13" s="32"/>
      <c r="G13" s="32"/>
      <c r="H13" s="32"/>
      <c r="I13" s="37"/>
      <c r="J13" s="37"/>
      <c r="K13" s="35"/>
      <c r="L13" s="35"/>
      <c r="M13" s="35"/>
      <c r="N13" s="36"/>
      <c r="O13" s="32"/>
      <c r="P13" s="37"/>
      <c r="Q13" s="37"/>
      <c r="R13" s="38"/>
      <c r="S13" s="32"/>
      <c r="T13" s="39"/>
      <c r="U13" s="6"/>
      <c r="V13" s="6"/>
    </row>
    <row r="14" spans="1:25" ht="15">
      <c r="A14" s="40"/>
      <c r="B14" s="41"/>
      <c r="C14" s="42"/>
      <c r="D14" s="40"/>
      <c r="E14" s="40"/>
      <c r="F14" s="40"/>
      <c r="G14" s="43">
        <f>F14*6%</f>
        <v>0</v>
      </c>
      <c r="H14" s="43"/>
      <c r="I14" s="44">
        <f t="shared" si="0"/>
        <v>0</v>
      </c>
      <c r="J14" s="44">
        <f t="shared" si="1"/>
        <v>0</v>
      </c>
      <c r="K14" s="44">
        <f t="shared" si="2"/>
        <v>0</v>
      </c>
      <c r="L14" s="45"/>
      <c r="M14" s="40"/>
      <c r="N14" s="43">
        <f t="shared" si="3"/>
        <v>0</v>
      </c>
      <c r="O14" s="43">
        <f t="shared" si="4"/>
        <v>0</v>
      </c>
      <c r="P14" s="46"/>
      <c r="Q14" s="40"/>
      <c r="R14" s="40"/>
      <c r="S14" s="40"/>
      <c r="T14" s="5"/>
    </row>
    <row r="15" spans="1:25" ht="15">
      <c r="A15" s="32"/>
      <c r="B15" s="33"/>
      <c r="C15" s="32"/>
      <c r="D15" s="33"/>
      <c r="E15" s="34"/>
      <c r="F15" s="32"/>
      <c r="G15" s="32"/>
      <c r="H15" s="32"/>
      <c r="I15" s="37"/>
      <c r="J15" s="37"/>
      <c r="K15" s="35"/>
      <c r="L15" s="35"/>
      <c r="M15" s="35"/>
      <c r="N15" s="36"/>
      <c r="O15" s="32"/>
      <c r="P15" s="37"/>
      <c r="Q15" s="37"/>
      <c r="R15" s="38"/>
      <c r="S15" s="32"/>
      <c r="T15" s="39"/>
      <c r="U15" s="6"/>
      <c r="V15" s="6"/>
    </row>
    <row r="16" spans="1:25" ht="15">
      <c r="A16" s="40"/>
      <c r="B16" s="41"/>
      <c r="C16" s="42"/>
      <c r="D16" s="40"/>
      <c r="E16" s="40"/>
      <c r="F16" s="40"/>
      <c r="G16" s="43">
        <f>F16*6%</f>
        <v>0</v>
      </c>
      <c r="H16" s="43"/>
      <c r="I16" s="44">
        <f t="shared" si="0"/>
        <v>0</v>
      </c>
      <c r="J16" s="44">
        <f t="shared" si="1"/>
        <v>0</v>
      </c>
      <c r="K16" s="44">
        <f t="shared" si="2"/>
        <v>0</v>
      </c>
      <c r="L16" s="45"/>
      <c r="M16" s="40"/>
      <c r="N16" s="43">
        <f t="shared" si="3"/>
        <v>0</v>
      </c>
      <c r="O16" s="43">
        <f t="shared" si="4"/>
        <v>0</v>
      </c>
      <c r="P16" s="46"/>
      <c r="Q16" s="40"/>
      <c r="R16" s="40"/>
      <c r="S16" s="40"/>
      <c r="T16" s="5"/>
    </row>
    <row r="17" spans="1:22" ht="15">
      <c r="A17" s="32"/>
      <c r="B17" s="33"/>
      <c r="C17" s="32"/>
      <c r="D17" s="33"/>
      <c r="E17" s="34"/>
      <c r="F17" s="32"/>
      <c r="G17" s="32"/>
      <c r="H17" s="32"/>
      <c r="I17" s="37"/>
      <c r="J17" s="37"/>
      <c r="K17" s="35"/>
      <c r="L17" s="35"/>
      <c r="M17" s="35"/>
      <c r="N17" s="36"/>
      <c r="O17" s="32"/>
      <c r="P17" s="37"/>
      <c r="Q17" s="37"/>
      <c r="R17" s="38"/>
      <c r="S17" s="32"/>
      <c r="T17" s="39"/>
      <c r="U17" s="6"/>
      <c r="V17" s="6"/>
    </row>
    <row r="18" spans="1:22" ht="15">
      <c r="A18" s="40"/>
      <c r="B18" s="41"/>
      <c r="C18" s="42"/>
      <c r="D18" s="40"/>
      <c r="E18" s="40"/>
      <c r="F18" s="40"/>
      <c r="G18" s="43">
        <f>F18*6%</f>
        <v>0</v>
      </c>
      <c r="H18" s="43"/>
      <c r="I18" s="44">
        <f t="shared" si="0"/>
        <v>0</v>
      </c>
      <c r="J18" s="44">
        <f t="shared" si="1"/>
        <v>0</v>
      </c>
      <c r="K18" s="44">
        <f t="shared" si="2"/>
        <v>0</v>
      </c>
      <c r="L18" s="45"/>
      <c r="M18" s="40"/>
      <c r="N18" s="43">
        <f t="shared" si="3"/>
        <v>0</v>
      </c>
      <c r="O18" s="43">
        <f t="shared" si="4"/>
        <v>0</v>
      </c>
      <c r="P18" s="46"/>
      <c r="Q18" s="40"/>
      <c r="R18" s="40"/>
      <c r="S18" s="40"/>
      <c r="T18" s="5"/>
    </row>
    <row r="19" spans="1:22" ht="15">
      <c r="A19" s="32"/>
      <c r="B19" s="33"/>
      <c r="C19" s="32"/>
      <c r="D19" s="33"/>
      <c r="E19" s="34"/>
      <c r="F19" s="32"/>
      <c r="G19" s="32"/>
      <c r="H19" s="32"/>
      <c r="I19" s="37"/>
      <c r="J19" s="37"/>
      <c r="K19" s="35"/>
      <c r="L19" s="35"/>
      <c r="M19" s="35"/>
      <c r="N19" s="36"/>
      <c r="O19" s="32"/>
      <c r="P19" s="37"/>
      <c r="Q19" s="37"/>
      <c r="R19" s="38"/>
      <c r="S19" s="32"/>
      <c r="T19" s="39"/>
      <c r="U19" s="6"/>
      <c r="V19" s="6"/>
    </row>
    <row r="20" spans="1:22" ht="15">
      <c r="A20" s="40"/>
      <c r="B20" s="41"/>
      <c r="C20" s="42"/>
      <c r="D20" s="40"/>
      <c r="E20" s="40"/>
      <c r="F20" s="40"/>
      <c r="G20" s="43">
        <f>F20*6%</f>
        <v>0</v>
      </c>
      <c r="H20" s="43"/>
      <c r="I20" s="44">
        <f t="shared" si="0"/>
        <v>0</v>
      </c>
      <c r="J20" s="44">
        <f t="shared" si="1"/>
        <v>0</v>
      </c>
      <c r="K20" s="44">
        <f t="shared" si="2"/>
        <v>0</v>
      </c>
      <c r="L20" s="45"/>
      <c r="M20" s="40"/>
      <c r="N20" s="43">
        <f t="shared" si="3"/>
        <v>0</v>
      </c>
      <c r="O20" s="43">
        <f t="shared" si="4"/>
        <v>0</v>
      </c>
      <c r="P20" s="46"/>
      <c r="Q20" s="40"/>
      <c r="R20" s="40"/>
      <c r="S20" s="40"/>
      <c r="T20" s="5"/>
    </row>
    <row r="21" spans="1:22" ht="15">
      <c r="A21" s="32"/>
      <c r="B21" s="33"/>
      <c r="C21" s="32"/>
      <c r="D21" s="33"/>
      <c r="E21" s="34"/>
      <c r="F21" s="32"/>
      <c r="G21" s="32"/>
      <c r="H21" s="32"/>
      <c r="I21" s="37"/>
      <c r="J21" s="37"/>
      <c r="K21" s="35"/>
      <c r="L21" s="35"/>
      <c r="M21" s="35"/>
      <c r="N21" s="36"/>
      <c r="O21" s="32"/>
      <c r="P21" s="37"/>
      <c r="Q21" s="37"/>
      <c r="R21" s="38"/>
      <c r="S21" s="32"/>
      <c r="T21" s="39"/>
      <c r="U21" s="6"/>
      <c r="V21" s="6"/>
    </row>
    <row r="22" spans="1:22" ht="15">
      <c r="A22" s="40"/>
      <c r="B22" s="41"/>
      <c r="C22" s="42"/>
      <c r="D22" s="40"/>
      <c r="E22" s="40"/>
      <c r="F22" s="40"/>
      <c r="G22" s="43">
        <f>F22*6%</f>
        <v>0</v>
      </c>
      <c r="H22" s="43"/>
      <c r="I22" s="44">
        <f t="shared" si="0"/>
        <v>0</v>
      </c>
      <c r="J22" s="44">
        <f t="shared" si="1"/>
        <v>0</v>
      </c>
      <c r="K22" s="44">
        <f t="shared" si="2"/>
        <v>0</v>
      </c>
      <c r="L22" s="45"/>
      <c r="M22" s="40"/>
      <c r="N22" s="43">
        <f t="shared" si="3"/>
        <v>0</v>
      </c>
      <c r="O22" s="43">
        <f t="shared" si="4"/>
        <v>0</v>
      </c>
      <c r="P22" s="46"/>
      <c r="Q22" s="40"/>
      <c r="R22" s="40"/>
      <c r="S22" s="40"/>
      <c r="T22" s="5"/>
    </row>
    <row r="23" spans="1:22" ht="15">
      <c r="A23" s="32"/>
      <c r="B23" s="33"/>
      <c r="C23" s="32"/>
      <c r="D23" s="33"/>
      <c r="E23" s="34"/>
      <c r="F23" s="32"/>
      <c r="G23" s="32"/>
      <c r="H23" s="32"/>
      <c r="I23" s="37"/>
      <c r="J23" s="37"/>
      <c r="K23" s="35"/>
      <c r="L23" s="35"/>
      <c r="M23" s="35"/>
      <c r="N23" s="36"/>
      <c r="O23" s="32"/>
      <c r="P23" s="37"/>
      <c r="Q23" s="37"/>
      <c r="R23" s="38"/>
      <c r="S23" s="32"/>
      <c r="T23" s="39"/>
      <c r="U23" s="6"/>
      <c r="V23" s="6"/>
    </row>
    <row r="24" spans="1:22" ht="15">
      <c r="A24" s="40"/>
      <c r="B24" s="41"/>
      <c r="C24" s="42"/>
      <c r="D24" s="40"/>
      <c r="E24" s="40"/>
      <c r="F24" s="40"/>
      <c r="G24" s="43">
        <f>F24*6%</f>
        <v>0</v>
      </c>
      <c r="H24" s="43"/>
      <c r="I24" s="44">
        <f t="shared" si="0"/>
        <v>0</v>
      </c>
      <c r="J24" s="44">
        <f t="shared" si="1"/>
        <v>0</v>
      </c>
      <c r="K24" s="44">
        <f t="shared" si="2"/>
        <v>0</v>
      </c>
      <c r="L24" s="45"/>
      <c r="M24" s="40"/>
      <c r="N24" s="43">
        <f t="shared" si="3"/>
        <v>0</v>
      </c>
      <c r="O24" s="43">
        <f t="shared" si="4"/>
        <v>0</v>
      </c>
      <c r="P24" s="46"/>
      <c r="Q24" s="40"/>
      <c r="R24" s="40"/>
      <c r="S24" s="40"/>
      <c r="T24" s="5"/>
    </row>
    <row r="25" spans="1:22" ht="15">
      <c r="A25" s="32"/>
      <c r="B25" s="33"/>
      <c r="C25" s="32"/>
      <c r="D25" s="33"/>
      <c r="E25" s="34"/>
      <c r="F25" s="32"/>
      <c r="G25" s="32"/>
      <c r="H25" s="32"/>
      <c r="I25" s="37"/>
      <c r="J25" s="37"/>
      <c r="K25" s="35"/>
      <c r="L25" s="35"/>
      <c r="M25" s="35"/>
      <c r="N25" s="36"/>
      <c r="O25" s="32"/>
      <c r="P25" s="37"/>
      <c r="Q25" s="37"/>
      <c r="R25" s="38"/>
      <c r="S25" s="32"/>
      <c r="T25" s="39"/>
      <c r="U25" s="6"/>
      <c r="V25" s="6"/>
    </row>
    <row r="26" spans="1:22" ht="15">
      <c r="A26" s="40"/>
      <c r="B26" s="41"/>
      <c r="C26" s="42"/>
      <c r="D26" s="40"/>
      <c r="E26" s="40"/>
      <c r="F26" s="40"/>
      <c r="G26" s="43">
        <f>F26*6%</f>
        <v>0</v>
      </c>
      <c r="H26" s="43"/>
      <c r="I26" s="44">
        <f t="shared" si="0"/>
        <v>0</v>
      </c>
      <c r="J26" s="44">
        <f t="shared" si="1"/>
        <v>0</v>
      </c>
      <c r="K26" s="44">
        <f t="shared" si="2"/>
        <v>0</v>
      </c>
      <c r="L26" s="45"/>
      <c r="M26" s="40"/>
      <c r="N26" s="43">
        <f t="shared" si="3"/>
        <v>0</v>
      </c>
      <c r="O26" s="43">
        <f t="shared" si="4"/>
        <v>0</v>
      </c>
      <c r="P26" s="46"/>
      <c r="Q26" s="40"/>
      <c r="R26" s="40"/>
      <c r="S26" s="40"/>
      <c r="T26" s="5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3540" priority="38" operator="containsText" text="SIN FACTURA ">
      <formula>NOT(ISERROR(SEARCH("SIN FACTURA ",A2)))</formula>
    </cfRule>
  </conditionalFormatting>
  <conditionalFormatting sqref="J26:T26 J24:T24 J22:T22 J20:T20 J18:T18 J16:T16 J14:T14 J12:T12 J10:T10 J8:T8 J6:T6 J5:V5 J7:V7 J9:V9 J11:V11 J13:V13 J15:V15 J17:V17 J19:V19 J21:V21 J23:V23 J25:V25 A4:T4 A5:I26">
    <cfRule type="containsText" dxfId="3539" priority="37" operator="containsText" text="SIN FACTURA">
      <formula>NOT(ISERROR(SEARCH("SIN FACTURA",A4)))</formula>
    </cfRule>
  </conditionalFormatting>
  <pageMargins left="0.75" right="0.75" top="1" bottom="1" header="0.5" footer="0.5"/>
  <pageSetup paperSize="9" orientation="portrait" horizontalDpi="4294967292" verticalDpi="4294967292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 codeName="Hoja43"/>
  <dimension ref="A1:Y43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422</v>
      </c>
      <c r="B1" s="18" t="s">
        <v>137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78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538" priority="26" operator="containsText" text="SIN FACTURA ">
      <formula>NOT(ISERROR(SEARCH("SIN FACTURA ",A2)))</formula>
    </cfRule>
  </conditionalFormatting>
  <conditionalFormatting sqref="J43:T43 J41:T41 J39:T39 J37:T37 J35:T35 J33:T33 J31:T31 J29:T29 J27:T27 J25:T25 J23:T23 J13:T21 J12:V12 J22:V22 J24:V24 J26:V26 J28:V28 J30:V30 J32:V32 J34:V34 J36:V36 J38:V38 J40:V40 J42:V42 J5:T11 A4:T4 A5:I43">
    <cfRule type="containsText" dxfId="3537" priority="25" operator="containsText" text="SIN FACTURA">
      <formula>NOT(ISERROR(SEARCH("SIN FACTURA",A4)))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>
  <sheetPr codeName="Hoja102"/>
  <dimension ref="A1:Y43"/>
  <sheetViews>
    <sheetView zoomScale="125" zoomScaleNormal="125" zoomScalePageLayoutView="125" workbookViewId="0">
      <pane ySplit="1" topLeftCell="A2" activePane="bottomLeft" state="frozen"/>
      <selection activeCell="C52" sqref="C52"/>
      <selection pane="bottomLeft" activeCell="A5" sqref="A5:XFD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51">
        <v>279</v>
      </c>
      <c r="B1" s="152" t="s">
        <v>118</v>
      </c>
      <c r="C1" s="153"/>
      <c r="D1" s="154"/>
      <c r="E1" s="154"/>
      <c r="F1" s="154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155" t="s">
        <v>195</v>
      </c>
      <c r="B5" s="156"/>
      <c r="C5" s="157"/>
      <c r="D5" s="155" t="s">
        <v>196</v>
      </c>
      <c r="E5" s="155"/>
      <c r="F5" s="155"/>
      <c r="G5" s="155"/>
      <c r="H5" s="155"/>
      <c r="I5" s="158"/>
      <c r="J5" s="158"/>
      <c r="K5" s="158"/>
      <c r="L5" s="45"/>
      <c r="M5" s="40"/>
      <c r="N5" s="43">
        <f t="shared" ref="N5:N43" si="0">I5-J5-M5-R5</f>
        <v>0</v>
      </c>
      <c r="O5" s="43">
        <f t="shared" ref="O5:O43" si="1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ref="I7:I43" si="2">F7-G7-H7</f>
        <v>0</v>
      </c>
      <c r="J7" s="44">
        <f t="shared" ref="J7:J43" si="3">S7+T7</f>
        <v>0</v>
      </c>
      <c r="K7" s="44">
        <f t="shared" ref="K7:K43" si="4">I7-J7</f>
        <v>0</v>
      </c>
      <c r="L7" s="45"/>
      <c r="M7" s="40"/>
      <c r="N7" s="43">
        <f t="shared" si="0"/>
        <v>0</v>
      </c>
      <c r="O7" s="43">
        <f t="shared" si="1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2"/>
        <v>0</v>
      </c>
      <c r="J9" s="44">
        <f>S9+T9</f>
        <v>0</v>
      </c>
      <c r="K9" s="44">
        <f>I9-J9</f>
        <v>0</v>
      </c>
      <c r="L9" s="45"/>
      <c r="M9" s="40"/>
      <c r="N9" s="43">
        <f t="shared" si="0"/>
        <v>0</v>
      </c>
      <c r="O9" s="43">
        <f t="shared" si="1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2"/>
        <v>0</v>
      </c>
      <c r="J11" s="44">
        <f t="shared" si="3"/>
        <v>0</v>
      </c>
      <c r="K11" s="44">
        <f t="shared" si="4"/>
        <v>0</v>
      </c>
      <c r="L11" s="45"/>
      <c r="M11" s="40"/>
      <c r="N11" s="43">
        <f t="shared" si="0"/>
        <v>0</v>
      </c>
      <c r="O11" s="43">
        <f t="shared" si="1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2"/>
        <v>0</v>
      </c>
      <c r="J13" s="44">
        <f t="shared" si="3"/>
        <v>0</v>
      </c>
      <c r="K13" s="44">
        <f t="shared" si="4"/>
        <v>0</v>
      </c>
      <c r="L13" s="45"/>
      <c r="M13" s="40"/>
      <c r="N13" s="43">
        <f t="shared" si="0"/>
        <v>0</v>
      </c>
      <c r="O13" s="43">
        <f t="shared" si="1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2"/>
        <v>0</v>
      </c>
      <c r="J15" s="44">
        <f t="shared" si="3"/>
        <v>0</v>
      </c>
      <c r="K15" s="44">
        <f t="shared" si="4"/>
        <v>0</v>
      </c>
      <c r="L15" s="45"/>
      <c r="M15" s="40"/>
      <c r="N15" s="43">
        <f t="shared" si="0"/>
        <v>0</v>
      </c>
      <c r="O15" s="43">
        <f t="shared" si="1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2"/>
        <v>0</v>
      </c>
      <c r="J17" s="44">
        <f>S17+T17</f>
        <v>0</v>
      </c>
      <c r="K17" s="44">
        <f t="shared" si="4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2"/>
        <v>0</v>
      </c>
      <c r="J19" s="44">
        <f t="shared" si="3"/>
        <v>0</v>
      </c>
      <c r="K19" s="44">
        <f t="shared" si="4"/>
        <v>0</v>
      </c>
      <c r="L19" s="45"/>
      <c r="M19" s="40"/>
      <c r="N19" s="43">
        <f t="shared" si="0"/>
        <v>0</v>
      </c>
      <c r="O19" s="43">
        <f t="shared" si="1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2"/>
        <v>0</v>
      </c>
      <c r="J21" s="44">
        <f t="shared" si="3"/>
        <v>0</v>
      </c>
      <c r="K21" s="44">
        <f t="shared" si="4"/>
        <v>0</v>
      </c>
      <c r="L21" s="45"/>
      <c r="M21" s="40"/>
      <c r="N21" s="43">
        <f t="shared" si="0"/>
        <v>0</v>
      </c>
      <c r="O21" s="43">
        <f t="shared" si="1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2"/>
        <v>0</v>
      </c>
      <c r="J23" s="44">
        <f t="shared" si="3"/>
        <v>0</v>
      </c>
      <c r="K23" s="44">
        <f t="shared" si="4"/>
        <v>0</v>
      </c>
      <c r="L23" s="45"/>
      <c r="M23" s="40"/>
      <c r="N23" s="43">
        <f t="shared" si="0"/>
        <v>0</v>
      </c>
      <c r="O23" s="43">
        <f t="shared" si="1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2"/>
        <v>0</v>
      </c>
      <c r="J25" s="44">
        <f t="shared" si="3"/>
        <v>0</v>
      </c>
      <c r="K25" s="44">
        <f t="shared" si="4"/>
        <v>0</v>
      </c>
      <c r="L25" s="45"/>
      <c r="M25" s="40"/>
      <c r="N25" s="43">
        <f t="shared" si="0"/>
        <v>0</v>
      </c>
      <c r="O25" s="43">
        <f t="shared" si="1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2"/>
        <v>0</v>
      </c>
      <c r="J27" s="44">
        <f t="shared" si="3"/>
        <v>0</v>
      </c>
      <c r="K27" s="44">
        <f t="shared" si="4"/>
        <v>0</v>
      </c>
      <c r="L27" s="45"/>
      <c r="M27" s="40"/>
      <c r="N27" s="43">
        <f t="shared" si="0"/>
        <v>0</v>
      </c>
      <c r="O27" s="43">
        <f t="shared" si="1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2"/>
        <v>0</v>
      </c>
      <c r="J29" s="44">
        <f t="shared" si="3"/>
        <v>0</v>
      </c>
      <c r="K29" s="44">
        <f t="shared" si="4"/>
        <v>0</v>
      </c>
      <c r="L29" s="45"/>
      <c r="M29" s="40"/>
      <c r="N29" s="43">
        <f t="shared" si="0"/>
        <v>0</v>
      </c>
      <c r="O29" s="43">
        <f t="shared" si="1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2"/>
        <v>0</v>
      </c>
      <c r="J31" s="44">
        <f t="shared" si="3"/>
        <v>0</v>
      </c>
      <c r="K31" s="44">
        <f t="shared" si="4"/>
        <v>0</v>
      </c>
      <c r="L31" s="45"/>
      <c r="M31" s="40"/>
      <c r="N31" s="43">
        <f t="shared" si="0"/>
        <v>0</v>
      </c>
      <c r="O31" s="43">
        <f t="shared" si="1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2"/>
        <v>0</v>
      </c>
      <c r="J33" s="44">
        <f t="shared" si="3"/>
        <v>0</v>
      </c>
      <c r="K33" s="44">
        <f t="shared" si="4"/>
        <v>0</v>
      </c>
      <c r="L33" s="45"/>
      <c r="M33" s="40"/>
      <c r="N33" s="43">
        <f t="shared" si="0"/>
        <v>0</v>
      </c>
      <c r="O33" s="43">
        <f t="shared" si="1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2"/>
        <v>0</v>
      </c>
      <c r="J35" s="44">
        <f t="shared" si="3"/>
        <v>0</v>
      </c>
      <c r="K35" s="44">
        <f t="shared" si="4"/>
        <v>0</v>
      </c>
      <c r="L35" s="45"/>
      <c r="M35" s="40"/>
      <c r="N35" s="43">
        <f t="shared" si="0"/>
        <v>0</v>
      </c>
      <c r="O35" s="43">
        <f t="shared" si="1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2"/>
        <v>0</v>
      </c>
      <c r="J37" s="44">
        <f t="shared" si="3"/>
        <v>0</v>
      </c>
      <c r="K37" s="44">
        <f t="shared" si="4"/>
        <v>0</v>
      </c>
      <c r="L37" s="45"/>
      <c r="M37" s="40"/>
      <c r="N37" s="43">
        <f t="shared" si="0"/>
        <v>0</v>
      </c>
      <c r="O37" s="43">
        <f t="shared" si="1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2"/>
        <v>0</v>
      </c>
      <c r="J39" s="44">
        <f t="shared" si="3"/>
        <v>0</v>
      </c>
      <c r="K39" s="44">
        <f t="shared" si="4"/>
        <v>0</v>
      </c>
      <c r="L39" s="45"/>
      <c r="M39" s="40"/>
      <c r="N39" s="43">
        <f t="shared" si="0"/>
        <v>0</v>
      </c>
      <c r="O39" s="43">
        <f t="shared" si="1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2"/>
        <v>0</v>
      </c>
      <c r="J41" s="44">
        <f t="shared" si="3"/>
        <v>0</v>
      </c>
      <c r="K41" s="44">
        <f t="shared" si="4"/>
        <v>0</v>
      </c>
      <c r="L41" s="45"/>
      <c r="M41" s="40"/>
      <c r="N41" s="43">
        <f t="shared" si="0"/>
        <v>0</v>
      </c>
      <c r="O41" s="43">
        <f t="shared" si="1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78">
        <f t="shared" si="2"/>
        <v>0</v>
      </c>
      <c r="J43" s="54">
        <f t="shared" si="3"/>
        <v>0</v>
      </c>
      <c r="K43" s="54">
        <f t="shared" si="4"/>
        <v>0</v>
      </c>
      <c r="L43" s="55"/>
      <c r="M43" s="50"/>
      <c r="N43" s="53">
        <f t="shared" si="0"/>
        <v>0</v>
      </c>
      <c r="O43" s="53">
        <f t="shared" si="1"/>
        <v>0</v>
      </c>
      <c r="P43" s="56"/>
      <c r="Q43" s="50"/>
      <c r="R43" s="50"/>
      <c r="S43" s="50"/>
      <c r="T43" s="5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3536" priority="28" operator="containsText" text="SIN FACTURA ">
      <formula>NOT(ISERROR(SEARCH("SIN FACTURA ",A2)))</formula>
    </cfRule>
  </conditionalFormatting>
  <conditionalFormatting sqref="J43:T43 J41:T41 J39:T39 J37:T37 J35:T35 J33:T33 J31:T31 J29:T29 J27:T27 J25:T25 J23:T23 J13:T21 A13:H21 A23:H23 A25:H25 A27:H27 A29:H29 A31:H31 A33:H33 A35:H35 A37:H37 A39:H39 A41:H41 A43:H43 A6:H11 I6:I43 J6:T11 L5:T5 A4:T4">
    <cfRule type="containsText" dxfId="3535" priority="27" operator="containsText" text="SIN FACTURA">
      <formula>NOT(ISERROR(SEARCH("SIN FACTURA",A4)))</formula>
    </cfRule>
  </conditionalFormatting>
  <conditionalFormatting sqref="C12:H12 J12:V12">
    <cfRule type="containsText" dxfId="3534" priority="26" operator="containsText" text="SIN FACTURA">
      <formula>NOT(ISERROR(SEARCH("SIN FACTURA",C12)))</formula>
    </cfRule>
  </conditionalFormatting>
  <conditionalFormatting sqref="C22:H22 J22:V22">
    <cfRule type="containsText" dxfId="3533" priority="25" operator="containsText" text="SIN FACTURA">
      <formula>NOT(ISERROR(SEARCH("SIN FACTURA",C22)))</formula>
    </cfRule>
  </conditionalFormatting>
  <conditionalFormatting sqref="C24:H24 J24:V24">
    <cfRule type="containsText" dxfId="3532" priority="24" operator="containsText" text="SIN FACTURA">
      <formula>NOT(ISERROR(SEARCH("SIN FACTURA",C24)))</formula>
    </cfRule>
  </conditionalFormatting>
  <conditionalFormatting sqref="C26:H26 J26:V26">
    <cfRule type="containsText" dxfId="3531" priority="23" operator="containsText" text="SIN FACTURA">
      <formula>NOT(ISERROR(SEARCH("SIN FACTURA",C26)))</formula>
    </cfRule>
  </conditionalFormatting>
  <conditionalFormatting sqref="C28:H28 J28:V28">
    <cfRule type="containsText" dxfId="3530" priority="22" operator="containsText" text="SIN FACTURA">
      <formula>NOT(ISERROR(SEARCH("SIN FACTURA",C28)))</formula>
    </cfRule>
  </conditionalFormatting>
  <conditionalFormatting sqref="C30:H30 J30:V30">
    <cfRule type="containsText" dxfId="3529" priority="21" operator="containsText" text="SIN FACTURA">
      <formula>NOT(ISERROR(SEARCH("SIN FACTURA",C30)))</formula>
    </cfRule>
  </conditionalFormatting>
  <conditionalFormatting sqref="C32:H32 J32:V32">
    <cfRule type="containsText" dxfId="3528" priority="20" operator="containsText" text="SIN FACTURA">
      <formula>NOT(ISERROR(SEARCH("SIN FACTURA",C32)))</formula>
    </cfRule>
  </conditionalFormatting>
  <conditionalFormatting sqref="C34:H34 J34:V34">
    <cfRule type="containsText" dxfId="3527" priority="19" operator="containsText" text="SIN FACTURA">
      <formula>NOT(ISERROR(SEARCH("SIN FACTURA",C34)))</formula>
    </cfRule>
  </conditionalFormatting>
  <conditionalFormatting sqref="C36:H36 J36:V36">
    <cfRule type="containsText" dxfId="3526" priority="18" operator="containsText" text="SIN FACTURA">
      <formula>NOT(ISERROR(SEARCH("SIN FACTURA",C36)))</formula>
    </cfRule>
  </conditionalFormatting>
  <conditionalFormatting sqref="C38:H38 J38:V38">
    <cfRule type="containsText" dxfId="3525" priority="17" operator="containsText" text="SIN FACTURA">
      <formula>NOT(ISERROR(SEARCH("SIN FACTURA",C38)))</formula>
    </cfRule>
  </conditionalFormatting>
  <conditionalFormatting sqref="C40:H40 J40:V40">
    <cfRule type="containsText" dxfId="3524" priority="16" operator="containsText" text="SIN FACTURA">
      <formula>NOT(ISERROR(SEARCH("SIN FACTURA",C40)))</formula>
    </cfRule>
  </conditionalFormatting>
  <conditionalFormatting sqref="C42:H42 J42:V42">
    <cfRule type="containsText" dxfId="3523" priority="15" operator="containsText" text="SIN FACTURA">
      <formula>NOT(ISERROR(SEARCH("SIN FACTURA",C42)))</formula>
    </cfRule>
  </conditionalFormatting>
  <conditionalFormatting sqref="A12:B12">
    <cfRule type="containsText" dxfId="3522" priority="14" operator="containsText" text="SIN FACTURA">
      <formula>NOT(ISERROR(SEARCH("SIN FACTURA",A12)))</formula>
    </cfRule>
  </conditionalFormatting>
  <conditionalFormatting sqref="A22:B22">
    <cfRule type="containsText" dxfId="3521" priority="13" operator="containsText" text="SIN FACTURA">
      <formula>NOT(ISERROR(SEARCH("SIN FACTURA",A22)))</formula>
    </cfRule>
  </conditionalFormatting>
  <conditionalFormatting sqref="A24:B24">
    <cfRule type="containsText" dxfId="3520" priority="12" operator="containsText" text="SIN FACTURA">
      <formula>NOT(ISERROR(SEARCH("SIN FACTURA",A24)))</formula>
    </cfRule>
  </conditionalFormatting>
  <conditionalFormatting sqref="A26:B26">
    <cfRule type="containsText" dxfId="3519" priority="11" operator="containsText" text="SIN FACTURA">
      <formula>NOT(ISERROR(SEARCH("SIN FACTURA",A26)))</formula>
    </cfRule>
  </conditionalFormatting>
  <conditionalFormatting sqref="A28:B28">
    <cfRule type="containsText" dxfId="3518" priority="10" operator="containsText" text="SIN FACTURA">
      <formula>NOT(ISERROR(SEARCH("SIN FACTURA",A28)))</formula>
    </cfRule>
  </conditionalFormatting>
  <conditionalFormatting sqref="A30:B30">
    <cfRule type="containsText" dxfId="3517" priority="9" operator="containsText" text="SIN FACTURA">
      <formula>NOT(ISERROR(SEARCH("SIN FACTURA",A30)))</formula>
    </cfRule>
  </conditionalFormatting>
  <conditionalFormatting sqref="A42:B42">
    <cfRule type="containsText" dxfId="3516" priority="3" operator="containsText" text="SIN FACTURA">
      <formula>NOT(ISERROR(SEARCH("SIN FACTURA",A42)))</formula>
    </cfRule>
  </conditionalFormatting>
  <conditionalFormatting sqref="A32:B32">
    <cfRule type="containsText" dxfId="3515" priority="8" operator="containsText" text="SIN FACTURA">
      <formula>NOT(ISERROR(SEARCH("SIN FACTURA",A32)))</formula>
    </cfRule>
  </conditionalFormatting>
  <conditionalFormatting sqref="A34:B34">
    <cfRule type="containsText" dxfId="3514" priority="7" operator="containsText" text="SIN FACTURA">
      <formula>NOT(ISERROR(SEARCH("SIN FACTURA",A34)))</formula>
    </cfRule>
  </conditionalFormatting>
  <conditionalFormatting sqref="A36:B36">
    <cfRule type="containsText" dxfId="3513" priority="6" operator="containsText" text="SIN FACTURA">
      <formula>NOT(ISERROR(SEARCH("SIN FACTURA",A36)))</formula>
    </cfRule>
  </conditionalFormatting>
  <conditionalFormatting sqref="A38:B38">
    <cfRule type="containsText" dxfId="3512" priority="5" operator="containsText" text="SIN FACTURA">
      <formula>NOT(ISERROR(SEARCH("SIN FACTURA",A38)))</formula>
    </cfRule>
  </conditionalFormatting>
  <conditionalFormatting sqref="A40:B40">
    <cfRule type="containsText" dxfId="3511" priority="4" operator="containsText" text="SIN FACTURA">
      <formula>NOT(ISERROR(SEARCH("SIN FACTURA",A40)))</formula>
    </cfRule>
  </conditionalFormatting>
  <conditionalFormatting sqref="A5:K5">
    <cfRule type="containsText" dxfId="3510" priority="1" operator="containsText" text="SIN FACTURA">
      <formula>NOT(ISERROR(SEARCH("SIN FACTURA",A5)))</formula>
    </cfRule>
  </conditionalFormatting>
  <pageMargins left="0.75" right="0.75" top="1" bottom="1" header="0.5" footer="0.5"/>
  <pageSetup paperSize="9" orientation="portrait" horizontalDpi="4294967292" verticalDpi="4294967292"/>
</worksheet>
</file>

<file path=xl/worksheets/sheet25.xml><?xml version="1.0" encoding="utf-8"?>
<worksheet xmlns="http://schemas.openxmlformats.org/spreadsheetml/2006/main" xmlns:r="http://schemas.openxmlformats.org/officeDocument/2006/relationships">
  <sheetPr codeName="Hoja104"/>
  <dimension ref="A1:Y45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B1" sqref="B1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380</v>
      </c>
      <c r="B1" s="18" t="s">
        <v>103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3"/>
      <c r="E5" s="43"/>
      <c r="F5" s="43"/>
      <c r="G5" s="43">
        <f t="shared" ref="G5" si="0">F5*6%</f>
        <v>0</v>
      </c>
      <c r="H5" s="43"/>
      <c r="I5" s="44">
        <f t="shared" ref="I5" si="1">F5-G5-H5</f>
        <v>0</v>
      </c>
      <c r="J5" s="44">
        <f t="shared" ref="J5" si="2">S5+T5</f>
        <v>0</v>
      </c>
      <c r="K5" s="44">
        <f t="shared" ref="K5" si="3">I5-J5</f>
        <v>0</v>
      </c>
      <c r="L5" s="45"/>
      <c r="M5" s="40"/>
      <c r="N5" s="43">
        <f t="shared" ref="N5" si="4">I5-J5-M5-R5</f>
        <v>0</v>
      </c>
      <c r="O5" s="43">
        <f t="shared" ref="O5" si="5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ref="I7:I45" si="6">F7-G7-H7</f>
        <v>0</v>
      </c>
      <c r="J7" s="44">
        <f t="shared" ref="J7:J45" si="7">S7+T7</f>
        <v>0</v>
      </c>
      <c r="K7" s="44">
        <f t="shared" ref="K7:K45" si="8">I7-J7</f>
        <v>0</v>
      </c>
      <c r="L7" s="45"/>
      <c r="M7" s="40"/>
      <c r="N7" s="43">
        <f t="shared" ref="N7:N45" si="9">I7-J7-M7-R7</f>
        <v>0</v>
      </c>
      <c r="O7" s="43">
        <f t="shared" ref="O7:O45" si="10">R7+S7+T7</f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6"/>
        <v>0</v>
      </c>
      <c r="J9" s="44">
        <f t="shared" si="7"/>
        <v>0</v>
      </c>
      <c r="K9" s="44">
        <f t="shared" si="8"/>
        <v>0</v>
      </c>
      <c r="L9" s="45"/>
      <c r="M9" s="40"/>
      <c r="N9" s="43">
        <f t="shared" si="9"/>
        <v>0</v>
      </c>
      <c r="O9" s="43">
        <f t="shared" si="10"/>
        <v>0</v>
      </c>
      <c r="P9" s="46"/>
      <c r="Q9" s="40"/>
      <c r="R9" s="43"/>
      <c r="S9" s="43"/>
      <c r="T9" s="49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6"/>
        <v>0</v>
      </c>
      <c r="J11" s="44">
        <f>S11+T11</f>
        <v>0</v>
      </c>
      <c r="K11" s="44">
        <f>I11-J11</f>
        <v>0</v>
      </c>
      <c r="L11" s="45"/>
      <c r="M11" s="40"/>
      <c r="N11" s="43">
        <f t="shared" si="9"/>
        <v>0</v>
      </c>
      <c r="O11" s="43">
        <f t="shared" si="10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6"/>
        <v>0</v>
      </c>
      <c r="J13" s="44">
        <f t="shared" si="7"/>
        <v>0</v>
      </c>
      <c r="K13" s="44">
        <f t="shared" si="8"/>
        <v>0</v>
      </c>
      <c r="L13" s="45"/>
      <c r="M13" s="40"/>
      <c r="N13" s="43">
        <f t="shared" si="9"/>
        <v>0</v>
      </c>
      <c r="O13" s="43">
        <f t="shared" si="10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6"/>
        <v>0</v>
      </c>
      <c r="J15" s="44">
        <f t="shared" si="7"/>
        <v>0</v>
      </c>
      <c r="K15" s="44">
        <f t="shared" si="8"/>
        <v>0</v>
      </c>
      <c r="L15" s="45"/>
      <c r="M15" s="40"/>
      <c r="N15" s="43">
        <f t="shared" si="9"/>
        <v>0</v>
      </c>
      <c r="O15" s="43">
        <f t="shared" si="10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6"/>
        <v>0</v>
      </c>
      <c r="J17" s="44">
        <f t="shared" si="7"/>
        <v>0</v>
      </c>
      <c r="K17" s="44">
        <f t="shared" si="8"/>
        <v>0</v>
      </c>
      <c r="L17" s="45"/>
      <c r="M17" s="40"/>
      <c r="N17" s="43">
        <f t="shared" si="9"/>
        <v>0</v>
      </c>
      <c r="O17" s="43">
        <f t="shared" si="10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6"/>
        <v>0</v>
      </c>
      <c r="J19" s="44">
        <f>S19+T19</f>
        <v>0</v>
      </c>
      <c r="K19" s="44">
        <f t="shared" si="8"/>
        <v>0</v>
      </c>
      <c r="L19" s="45"/>
      <c r="M19" s="40"/>
      <c r="N19" s="43">
        <f>I19-J19-M19-R19</f>
        <v>0</v>
      </c>
      <c r="O19" s="43">
        <f>R19+S19+T19</f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6"/>
        <v>0</v>
      </c>
      <c r="J21" s="44">
        <f t="shared" si="7"/>
        <v>0</v>
      </c>
      <c r="K21" s="44">
        <f t="shared" si="8"/>
        <v>0</v>
      </c>
      <c r="L21" s="45"/>
      <c r="M21" s="40"/>
      <c r="N21" s="43">
        <f t="shared" si="9"/>
        <v>0</v>
      </c>
      <c r="O21" s="43">
        <f t="shared" si="10"/>
        <v>0</v>
      </c>
      <c r="P21" s="46"/>
      <c r="Q21" s="40"/>
      <c r="R21" s="47"/>
      <c r="S21" s="47"/>
      <c r="T21" s="48"/>
    </row>
    <row r="22" spans="1:22" ht="15">
      <c r="A22" s="32"/>
      <c r="B22" s="33"/>
      <c r="C22" s="34"/>
      <c r="D22" s="32"/>
      <c r="E22" s="32"/>
      <c r="F22" s="32"/>
      <c r="G22" s="37"/>
      <c r="H22" s="37"/>
      <c r="I22" s="37"/>
      <c r="J22" s="35"/>
      <c r="K22" s="35"/>
      <c r="L22" s="36"/>
      <c r="M22" s="32"/>
      <c r="N22" s="37"/>
      <c r="O22" s="37"/>
      <c r="P22" s="38"/>
      <c r="Q22" s="32"/>
      <c r="R22" s="32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6"/>
        <v>0</v>
      </c>
      <c r="J23" s="44">
        <f t="shared" si="7"/>
        <v>0</v>
      </c>
      <c r="K23" s="44">
        <f t="shared" si="8"/>
        <v>0</v>
      </c>
      <c r="L23" s="45"/>
      <c r="M23" s="40"/>
      <c r="N23" s="43">
        <f t="shared" si="9"/>
        <v>0</v>
      </c>
      <c r="O23" s="43">
        <f t="shared" si="10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6"/>
        <v>0</v>
      </c>
      <c r="J25" s="44">
        <f t="shared" si="7"/>
        <v>0</v>
      </c>
      <c r="K25" s="44">
        <f t="shared" si="8"/>
        <v>0</v>
      </c>
      <c r="L25" s="45"/>
      <c r="M25" s="40"/>
      <c r="N25" s="43">
        <f t="shared" si="9"/>
        <v>0</v>
      </c>
      <c r="O25" s="43">
        <f t="shared" si="10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6"/>
        <v>0</v>
      </c>
      <c r="J27" s="44">
        <f t="shared" si="7"/>
        <v>0</v>
      </c>
      <c r="K27" s="44">
        <f t="shared" si="8"/>
        <v>0</v>
      </c>
      <c r="L27" s="45"/>
      <c r="M27" s="40"/>
      <c r="N27" s="43">
        <f t="shared" si="9"/>
        <v>0</v>
      </c>
      <c r="O27" s="43">
        <f t="shared" si="10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6"/>
        <v>0</v>
      </c>
      <c r="J29" s="44">
        <f t="shared" si="7"/>
        <v>0</v>
      </c>
      <c r="K29" s="44">
        <f t="shared" si="8"/>
        <v>0</v>
      </c>
      <c r="L29" s="45"/>
      <c r="M29" s="40"/>
      <c r="N29" s="43">
        <f t="shared" si="9"/>
        <v>0</v>
      </c>
      <c r="O29" s="43">
        <f t="shared" si="10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6"/>
        <v>0</v>
      </c>
      <c r="J31" s="44">
        <f t="shared" si="7"/>
        <v>0</v>
      </c>
      <c r="K31" s="44">
        <f t="shared" si="8"/>
        <v>0</v>
      </c>
      <c r="L31" s="45"/>
      <c r="M31" s="40"/>
      <c r="N31" s="43">
        <f t="shared" si="9"/>
        <v>0</v>
      </c>
      <c r="O31" s="43">
        <f t="shared" si="10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6"/>
        <v>0</v>
      </c>
      <c r="J33" s="44">
        <f t="shared" si="7"/>
        <v>0</v>
      </c>
      <c r="K33" s="44">
        <f t="shared" si="8"/>
        <v>0</v>
      </c>
      <c r="L33" s="45"/>
      <c r="M33" s="40"/>
      <c r="N33" s="43">
        <f t="shared" si="9"/>
        <v>0</v>
      </c>
      <c r="O33" s="43">
        <f t="shared" si="10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6"/>
        <v>0</v>
      </c>
      <c r="J35" s="44">
        <f t="shared" si="7"/>
        <v>0</v>
      </c>
      <c r="K35" s="44">
        <f t="shared" si="8"/>
        <v>0</v>
      </c>
      <c r="L35" s="45"/>
      <c r="M35" s="40"/>
      <c r="N35" s="43">
        <f t="shared" si="9"/>
        <v>0</v>
      </c>
      <c r="O35" s="43">
        <f t="shared" si="10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6"/>
        <v>0</v>
      </c>
      <c r="J37" s="44">
        <f t="shared" si="7"/>
        <v>0</v>
      </c>
      <c r="K37" s="44">
        <f t="shared" si="8"/>
        <v>0</v>
      </c>
      <c r="L37" s="45"/>
      <c r="M37" s="40"/>
      <c r="N37" s="43">
        <f t="shared" si="9"/>
        <v>0</v>
      </c>
      <c r="O37" s="43">
        <f t="shared" si="10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6"/>
        <v>0</v>
      </c>
      <c r="J39" s="44">
        <f t="shared" si="7"/>
        <v>0</v>
      </c>
      <c r="K39" s="44">
        <f t="shared" si="8"/>
        <v>0</v>
      </c>
      <c r="L39" s="45"/>
      <c r="M39" s="40"/>
      <c r="N39" s="43">
        <f t="shared" si="9"/>
        <v>0</v>
      </c>
      <c r="O39" s="43">
        <f t="shared" si="10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6"/>
        <v>0</v>
      </c>
      <c r="J41" s="44">
        <f t="shared" si="7"/>
        <v>0</v>
      </c>
      <c r="K41" s="44">
        <f t="shared" si="8"/>
        <v>0</v>
      </c>
      <c r="L41" s="45"/>
      <c r="M41" s="40"/>
      <c r="N41" s="43">
        <f t="shared" si="9"/>
        <v>0</v>
      </c>
      <c r="O41" s="43">
        <f t="shared" si="10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40"/>
      <c r="B43" s="41"/>
      <c r="C43" s="42"/>
      <c r="D43" s="40"/>
      <c r="E43" s="40"/>
      <c r="F43" s="40"/>
      <c r="G43" s="43">
        <f>F43*6%</f>
        <v>0</v>
      </c>
      <c r="H43" s="43"/>
      <c r="I43" s="44">
        <f t="shared" si="6"/>
        <v>0</v>
      </c>
      <c r="J43" s="44">
        <f t="shared" si="7"/>
        <v>0</v>
      </c>
      <c r="K43" s="44">
        <f t="shared" si="8"/>
        <v>0</v>
      </c>
      <c r="L43" s="45"/>
      <c r="M43" s="40"/>
      <c r="N43" s="43">
        <f t="shared" si="9"/>
        <v>0</v>
      </c>
      <c r="O43" s="43">
        <f t="shared" si="10"/>
        <v>0</v>
      </c>
      <c r="P43" s="46"/>
      <c r="Q43" s="40"/>
      <c r="R43" s="40"/>
      <c r="S43" s="40"/>
      <c r="T43" s="5"/>
    </row>
    <row r="44" spans="1:22" ht="15">
      <c r="A44" s="32"/>
      <c r="B44" s="33"/>
      <c r="C44" s="32"/>
      <c r="D44" s="33"/>
      <c r="E44" s="34"/>
      <c r="F44" s="32"/>
      <c r="G44" s="32"/>
      <c r="H44" s="32"/>
      <c r="I44" s="37"/>
      <c r="J44" s="37"/>
      <c r="K44" s="35"/>
      <c r="L44" s="35"/>
      <c r="M44" s="35"/>
      <c r="N44" s="36"/>
      <c r="O44" s="32"/>
      <c r="P44" s="37"/>
      <c r="Q44" s="37"/>
      <c r="R44" s="38"/>
      <c r="S44" s="32"/>
      <c r="T44" s="39"/>
      <c r="U44" s="6"/>
      <c r="V44" s="6"/>
    </row>
    <row r="45" spans="1:22" ht="15">
      <c r="A45" s="50"/>
      <c r="B45" s="51"/>
      <c r="C45" s="52"/>
      <c r="D45" s="50"/>
      <c r="E45" s="50"/>
      <c r="F45" s="50"/>
      <c r="G45" s="43">
        <f>F45*6%</f>
        <v>0</v>
      </c>
      <c r="H45" s="53"/>
      <c r="I45" s="44">
        <f t="shared" si="6"/>
        <v>0</v>
      </c>
      <c r="J45" s="54">
        <f t="shared" si="7"/>
        <v>0</v>
      </c>
      <c r="K45" s="54">
        <f t="shared" si="8"/>
        <v>0</v>
      </c>
      <c r="L45" s="55"/>
      <c r="M45" s="50"/>
      <c r="N45" s="53">
        <f t="shared" si="9"/>
        <v>0</v>
      </c>
      <c r="O45" s="53">
        <f t="shared" si="10"/>
        <v>0</v>
      </c>
      <c r="P45" s="56"/>
      <c r="Q45" s="50"/>
      <c r="R45" s="50"/>
      <c r="S45" s="50"/>
      <c r="T45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509" priority="27" operator="containsText" text="SIN FACTURA ">
      <formula>NOT(ISERROR(SEARCH("SIN FACTURA ",A2)))</formula>
    </cfRule>
  </conditionalFormatting>
  <conditionalFormatting sqref="A44:B44 A4:T5">
    <cfRule type="containsText" dxfId="3508" priority="1" operator="containsText" text="SIN FACTURA">
      <formula>NOT(ISERROR(SEARCH("SIN FACTURA",A4)))</formula>
    </cfRule>
  </conditionalFormatting>
  <conditionalFormatting sqref="J45:T45 J43:T43 J41:T41 J39:T39 J37:T37 J35:T35 J33:T33 J31:T31 J29:T29 J27:T27 J25:T25 J15:T23 J6:T13 I6:I45 A6:H13 A15:H23 A25:H25 A27:H27 A29:H29 A31:H31 A33:H33 A35:H35 A37:H37 A39:H39 A41:H41 A43:H43 A45:H45">
    <cfRule type="containsText" dxfId="3507" priority="25" operator="containsText" text="SIN FACTURA">
      <formula>NOT(ISERROR(SEARCH("SIN FACTURA",A6)))</formula>
    </cfRule>
  </conditionalFormatting>
  <conditionalFormatting sqref="C14:H14 J14:V14">
    <cfRule type="containsText" dxfId="3506" priority="24" operator="containsText" text="SIN FACTURA">
      <formula>NOT(ISERROR(SEARCH("SIN FACTURA",C14)))</formula>
    </cfRule>
  </conditionalFormatting>
  <conditionalFormatting sqref="C24:H24 J24:V24">
    <cfRule type="containsText" dxfId="3505" priority="23" operator="containsText" text="SIN FACTURA">
      <formula>NOT(ISERROR(SEARCH("SIN FACTURA",C24)))</formula>
    </cfRule>
  </conditionalFormatting>
  <conditionalFormatting sqref="C26:H26 J26:V26">
    <cfRule type="containsText" dxfId="3504" priority="22" operator="containsText" text="SIN FACTURA">
      <formula>NOT(ISERROR(SEARCH("SIN FACTURA",C26)))</formula>
    </cfRule>
  </conditionalFormatting>
  <conditionalFormatting sqref="C28:H28 J28:V28">
    <cfRule type="containsText" dxfId="3503" priority="21" operator="containsText" text="SIN FACTURA">
      <formula>NOT(ISERROR(SEARCH("SIN FACTURA",C28)))</formula>
    </cfRule>
  </conditionalFormatting>
  <conditionalFormatting sqref="C30:H30 J30:V30">
    <cfRule type="containsText" dxfId="3502" priority="20" operator="containsText" text="SIN FACTURA">
      <formula>NOT(ISERROR(SEARCH("SIN FACTURA",C30)))</formula>
    </cfRule>
  </conditionalFormatting>
  <conditionalFormatting sqref="C32:H32 J32:V32">
    <cfRule type="containsText" dxfId="3501" priority="19" operator="containsText" text="SIN FACTURA">
      <formula>NOT(ISERROR(SEARCH("SIN FACTURA",C32)))</formula>
    </cfRule>
  </conditionalFormatting>
  <conditionalFormatting sqref="C34:H34 J34:V34">
    <cfRule type="containsText" dxfId="3500" priority="18" operator="containsText" text="SIN FACTURA">
      <formula>NOT(ISERROR(SEARCH("SIN FACTURA",C34)))</formula>
    </cfRule>
  </conditionalFormatting>
  <conditionalFormatting sqref="C36:H36 J36:V36">
    <cfRule type="containsText" dxfId="3499" priority="17" operator="containsText" text="SIN FACTURA">
      <formula>NOT(ISERROR(SEARCH("SIN FACTURA",C36)))</formula>
    </cfRule>
  </conditionalFormatting>
  <conditionalFormatting sqref="C38:H38 J38:V38">
    <cfRule type="containsText" dxfId="3498" priority="16" operator="containsText" text="SIN FACTURA">
      <formula>NOT(ISERROR(SEARCH("SIN FACTURA",C38)))</formula>
    </cfRule>
  </conditionalFormatting>
  <conditionalFormatting sqref="C40:H40 J40:V40">
    <cfRule type="containsText" dxfId="3497" priority="15" operator="containsText" text="SIN FACTURA">
      <formula>NOT(ISERROR(SEARCH("SIN FACTURA",C40)))</formula>
    </cfRule>
  </conditionalFormatting>
  <conditionalFormatting sqref="C42:H42 J42:V42">
    <cfRule type="containsText" dxfId="3496" priority="14" operator="containsText" text="SIN FACTURA">
      <formula>NOT(ISERROR(SEARCH("SIN FACTURA",C42)))</formula>
    </cfRule>
  </conditionalFormatting>
  <conditionalFormatting sqref="C44:H44 J44:V44">
    <cfRule type="containsText" dxfId="3495" priority="13" operator="containsText" text="SIN FACTURA">
      <formula>NOT(ISERROR(SEARCH("SIN FACTURA",C44)))</formula>
    </cfRule>
  </conditionalFormatting>
  <conditionalFormatting sqref="A14:B14">
    <cfRule type="containsText" dxfId="3494" priority="12" operator="containsText" text="SIN FACTURA">
      <formula>NOT(ISERROR(SEARCH("SIN FACTURA",A14)))</formula>
    </cfRule>
  </conditionalFormatting>
  <conditionalFormatting sqref="A24:B24">
    <cfRule type="containsText" dxfId="3493" priority="11" operator="containsText" text="SIN FACTURA">
      <formula>NOT(ISERROR(SEARCH("SIN FACTURA",A24)))</formula>
    </cfRule>
  </conditionalFormatting>
  <conditionalFormatting sqref="A26:B26">
    <cfRule type="containsText" dxfId="3492" priority="10" operator="containsText" text="SIN FACTURA">
      <formula>NOT(ISERROR(SEARCH("SIN FACTURA",A26)))</formula>
    </cfRule>
  </conditionalFormatting>
  <conditionalFormatting sqref="A28:B28">
    <cfRule type="containsText" dxfId="3491" priority="9" operator="containsText" text="SIN FACTURA">
      <formula>NOT(ISERROR(SEARCH("SIN FACTURA",A28)))</formula>
    </cfRule>
  </conditionalFormatting>
  <conditionalFormatting sqref="A30:B30">
    <cfRule type="containsText" dxfId="3490" priority="8" operator="containsText" text="SIN FACTURA">
      <formula>NOT(ISERROR(SEARCH("SIN FACTURA",A30)))</formula>
    </cfRule>
  </conditionalFormatting>
  <conditionalFormatting sqref="A32:B32">
    <cfRule type="containsText" dxfId="3489" priority="7" operator="containsText" text="SIN FACTURA">
      <formula>NOT(ISERROR(SEARCH("SIN FACTURA",A32)))</formula>
    </cfRule>
  </conditionalFormatting>
  <conditionalFormatting sqref="A34:B34">
    <cfRule type="containsText" dxfId="3488" priority="6" operator="containsText" text="SIN FACTURA">
      <formula>NOT(ISERROR(SEARCH("SIN FACTURA",A34)))</formula>
    </cfRule>
  </conditionalFormatting>
  <conditionalFormatting sqref="A36:B36">
    <cfRule type="containsText" dxfId="3487" priority="5" operator="containsText" text="SIN FACTURA">
      <formula>NOT(ISERROR(SEARCH("SIN FACTURA",A36)))</formula>
    </cfRule>
  </conditionalFormatting>
  <conditionalFormatting sqref="A38:B38">
    <cfRule type="containsText" dxfId="3486" priority="4" operator="containsText" text="SIN FACTURA">
      <formula>NOT(ISERROR(SEARCH("SIN FACTURA",A38)))</formula>
    </cfRule>
  </conditionalFormatting>
  <conditionalFormatting sqref="A40:B40">
    <cfRule type="containsText" dxfId="3485" priority="3" operator="containsText" text="SIN FACTURA">
      <formula>NOT(ISERROR(SEARCH("SIN FACTURA",A40)))</formula>
    </cfRule>
  </conditionalFormatting>
  <conditionalFormatting sqref="A42:B42">
    <cfRule type="containsText" dxfId="3484" priority="2" operator="containsText" text="SIN FACTURA">
      <formula>NOT(ISERROR(SEARCH("SIN FACTURA",A42)))</formula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>
  <dimension ref="A1:Y35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17" sqref="A5:XFD17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231</v>
      </c>
      <c r="B1" s="18"/>
      <c r="C1" s="20">
        <v>490</v>
      </c>
      <c r="D1" s="5"/>
      <c r="E1" s="5"/>
      <c r="F1" s="5"/>
      <c r="G1" s="5"/>
      <c r="H1" s="5"/>
      <c r="I1" s="5"/>
      <c r="J1" s="5">
        <v>50</v>
      </c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5" si="0">F5-G5-H5</f>
        <v>0</v>
      </c>
      <c r="J5" s="44">
        <f t="shared" ref="J5:J35" si="1">S5+T5</f>
        <v>0</v>
      </c>
      <c r="K5" s="44">
        <f t="shared" ref="K5:K35" si="2">I5-J5</f>
        <v>0</v>
      </c>
      <c r="L5" s="45"/>
      <c r="M5" s="40"/>
      <c r="N5" s="43">
        <f t="shared" ref="N5:N35" si="3">I5-J5-M5-R5</f>
        <v>0</v>
      </c>
      <c r="O5" s="43">
        <f t="shared" ref="O5:O35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 t="shared" si="2"/>
        <v>0</v>
      </c>
      <c r="L9" s="45"/>
      <c r="M9" s="40"/>
      <c r="N9" s="43">
        <f>I9-J9-M9-R9</f>
        <v>0</v>
      </c>
      <c r="O9" s="43">
        <f>R9+S9+T9</f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50"/>
      <c r="B35" s="51"/>
      <c r="C35" s="52"/>
      <c r="D35" s="50"/>
      <c r="E35" s="50"/>
      <c r="F35" s="50"/>
      <c r="G35" s="43">
        <f>F35*6%</f>
        <v>0</v>
      </c>
      <c r="H35" s="53"/>
      <c r="I35" s="78">
        <f t="shared" si="0"/>
        <v>0</v>
      </c>
      <c r="J35" s="54">
        <f t="shared" si="1"/>
        <v>0</v>
      </c>
      <c r="K35" s="54">
        <f t="shared" si="2"/>
        <v>0</v>
      </c>
      <c r="L35" s="55"/>
      <c r="M35" s="50"/>
      <c r="N35" s="53">
        <f t="shared" si="3"/>
        <v>0</v>
      </c>
      <c r="O35" s="53">
        <f t="shared" si="4"/>
        <v>0</v>
      </c>
      <c r="P35" s="56"/>
      <c r="Q35" s="50"/>
      <c r="R35" s="50"/>
      <c r="S35" s="50"/>
      <c r="T35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483" priority="26" operator="containsText" text="SIN FACTURA ">
      <formula>NOT(ISERROR(SEARCH("SIN FACTURA ",A2)))</formula>
    </cfRule>
  </conditionalFormatting>
  <conditionalFormatting sqref="J35:T35 J33:T33 J31:T31 J29:T29 J27:T27 J25:T25 J23:T23 J21:T21 J19:T19 J17:T17 J15:T15 J5:T13 A5:H13 A15:H15 A17:H17 A19:H19 A21:H21 A23:H23 A25:H25 A27:H27 A29:H29 A31:H31 A33:H33 A35:H35 A4:T4 I5:I35">
    <cfRule type="containsText" dxfId="3482" priority="25" operator="containsText" text="SIN FACTURA">
      <formula>NOT(ISERROR(SEARCH("SIN FACTURA",A4)))</formula>
    </cfRule>
  </conditionalFormatting>
  <conditionalFormatting sqref="C14:H14 J14:V14">
    <cfRule type="containsText" dxfId="3481" priority="23" operator="containsText" text="SIN FACTURA">
      <formula>NOT(ISERROR(SEARCH("SIN FACTURA",C14)))</formula>
    </cfRule>
  </conditionalFormatting>
  <conditionalFormatting sqref="C16:H16 J16:V16">
    <cfRule type="containsText" dxfId="3480" priority="22" operator="containsText" text="SIN FACTURA">
      <formula>NOT(ISERROR(SEARCH("SIN FACTURA",C16)))</formula>
    </cfRule>
  </conditionalFormatting>
  <conditionalFormatting sqref="C18:H18 J18:V18">
    <cfRule type="containsText" dxfId="3479" priority="21" operator="containsText" text="SIN FACTURA">
      <formula>NOT(ISERROR(SEARCH("SIN FACTURA",C18)))</formula>
    </cfRule>
  </conditionalFormatting>
  <conditionalFormatting sqref="C20:H20 J20:V20">
    <cfRule type="containsText" dxfId="3478" priority="20" operator="containsText" text="SIN FACTURA">
      <formula>NOT(ISERROR(SEARCH("SIN FACTURA",C20)))</formula>
    </cfRule>
  </conditionalFormatting>
  <conditionalFormatting sqref="C22:H22 J22:V22">
    <cfRule type="containsText" dxfId="3477" priority="19" operator="containsText" text="SIN FACTURA">
      <formula>NOT(ISERROR(SEARCH("SIN FACTURA",C22)))</formula>
    </cfRule>
  </conditionalFormatting>
  <conditionalFormatting sqref="C24:H24 J24:V24">
    <cfRule type="containsText" dxfId="3476" priority="18" operator="containsText" text="SIN FACTURA">
      <formula>NOT(ISERROR(SEARCH("SIN FACTURA",C24)))</formula>
    </cfRule>
  </conditionalFormatting>
  <conditionalFormatting sqref="C26:H26 J26:V26">
    <cfRule type="containsText" dxfId="3475" priority="17" operator="containsText" text="SIN FACTURA">
      <formula>NOT(ISERROR(SEARCH("SIN FACTURA",C26)))</formula>
    </cfRule>
  </conditionalFormatting>
  <conditionalFormatting sqref="C28:H28 J28:V28">
    <cfRule type="containsText" dxfId="3474" priority="16" operator="containsText" text="SIN FACTURA">
      <formula>NOT(ISERROR(SEARCH("SIN FACTURA",C28)))</formula>
    </cfRule>
  </conditionalFormatting>
  <conditionalFormatting sqref="C30:H30 J30:V30">
    <cfRule type="containsText" dxfId="3473" priority="15" operator="containsText" text="SIN FACTURA">
      <formula>NOT(ISERROR(SEARCH("SIN FACTURA",C30)))</formula>
    </cfRule>
  </conditionalFormatting>
  <conditionalFormatting sqref="C32:H32 J32:V32">
    <cfRule type="containsText" dxfId="3472" priority="14" operator="containsText" text="SIN FACTURA">
      <formula>NOT(ISERROR(SEARCH("SIN FACTURA",C32)))</formula>
    </cfRule>
  </conditionalFormatting>
  <conditionalFormatting sqref="C34:H34 J34:V34">
    <cfRule type="containsText" dxfId="3471" priority="13" operator="containsText" text="SIN FACTURA">
      <formula>NOT(ISERROR(SEARCH("SIN FACTURA",C34)))</formula>
    </cfRule>
  </conditionalFormatting>
  <conditionalFormatting sqref="A14:B14">
    <cfRule type="containsText" dxfId="3470" priority="11" operator="containsText" text="SIN FACTURA">
      <formula>NOT(ISERROR(SEARCH("SIN FACTURA",A14)))</formula>
    </cfRule>
  </conditionalFormatting>
  <conditionalFormatting sqref="A16:B16">
    <cfRule type="containsText" dxfId="3469" priority="10" operator="containsText" text="SIN FACTURA">
      <formula>NOT(ISERROR(SEARCH("SIN FACTURA",A16)))</formula>
    </cfRule>
  </conditionalFormatting>
  <conditionalFormatting sqref="A18:B18">
    <cfRule type="containsText" dxfId="3468" priority="9" operator="containsText" text="SIN FACTURA">
      <formula>NOT(ISERROR(SEARCH("SIN FACTURA",A18)))</formula>
    </cfRule>
  </conditionalFormatting>
  <conditionalFormatting sqref="A20:B20">
    <cfRule type="containsText" dxfId="3467" priority="8" operator="containsText" text="SIN FACTURA">
      <formula>NOT(ISERROR(SEARCH("SIN FACTURA",A20)))</formula>
    </cfRule>
  </conditionalFormatting>
  <conditionalFormatting sqref="A22:B22">
    <cfRule type="containsText" dxfId="3466" priority="7" operator="containsText" text="SIN FACTURA">
      <formula>NOT(ISERROR(SEARCH("SIN FACTURA",A22)))</formula>
    </cfRule>
  </conditionalFormatting>
  <conditionalFormatting sqref="A34:B34">
    <cfRule type="containsText" dxfId="3465" priority="1" operator="containsText" text="SIN FACTURA">
      <formula>NOT(ISERROR(SEARCH("SIN FACTURA",A34)))</formula>
    </cfRule>
  </conditionalFormatting>
  <conditionalFormatting sqref="A24:B24">
    <cfRule type="containsText" dxfId="3464" priority="6" operator="containsText" text="SIN FACTURA">
      <formula>NOT(ISERROR(SEARCH("SIN FACTURA",A24)))</formula>
    </cfRule>
  </conditionalFormatting>
  <conditionalFormatting sqref="A26:B26">
    <cfRule type="containsText" dxfId="3463" priority="5" operator="containsText" text="SIN FACTURA">
      <formula>NOT(ISERROR(SEARCH("SIN FACTURA",A26)))</formula>
    </cfRule>
  </conditionalFormatting>
  <conditionalFormatting sqref="A28:B28">
    <cfRule type="containsText" dxfId="3462" priority="4" operator="containsText" text="SIN FACTURA">
      <formula>NOT(ISERROR(SEARCH("SIN FACTURA",A28)))</formula>
    </cfRule>
  </conditionalFormatting>
  <conditionalFormatting sqref="A30:B30">
    <cfRule type="containsText" dxfId="3461" priority="3" operator="containsText" text="SIN FACTURA">
      <formula>NOT(ISERROR(SEARCH("SIN FACTURA",A30)))</formula>
    </cfRule>
  </conditionalFormatting>
  <conditionalFormatting sqref="A32:B32">
    <cfRule type="containsText" dxfId="3460" priority="2" operator="containsText" text="SIN FACTURA">
      <formula>NOT(ISERROR(SEARCH("SIN FACTURA",A32)))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>
  <dimension ref="A1:Y39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10" sqref="A5:XFD10"/>
    </sheetView>
  </sheetViews>
  <sheetFormatPr baseColWidth="10" defaultColWidth="10.875" defaultRowHeight="15.75"/>
  <cols>
    <col min="1" max="1" width="19.625" style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0">
        <v>509</v>
      </c>
      <c r="B1" s="18" t="s">
        <v>296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9" si="0">F5-G5-H5</f>
        <v>0</v>
      </c>
      <c r="J5" s="44">
        <f>S5+T5</f>
        <v>0</v>
      </c>
      <c r="K5" s="44">
        <f>I5-J5</f>
        <v>0</v>
      </c>
      <c r="L5" s="45"/>
      <c r="M5" s="40"/>
      <c r="N5" s="43">
        <f t="shared" ref="N5:N39" si="1">I5-J5-M5-R5</f>
        <v>0</v>
      </c>
      <c r="O5" s="43">
        <f t="shared" ref="O5:O39" si="2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ref="J7:J39" si="3">S7+T7</f>
        <v>0</v>
      </c>
      <c r="K7" s="44">
        <f t="shared" ref="K7:K39" si="4">I7-J7</f>
        <v>0</v>
      </c>
      <c r="L7" s="45"/>
      <c r="M7" s="40"/>
      <c r="N7" s="43">
        <f t="shared" si="1"/>
        <v>0</v>
      </c>
      <c r="O7" s="43">
        <f t="shared" si="2"/>
        <v>0</v>
      </c>
      <c r="P7" s="46"/>
      <c r="Q7" s="40"/>
      <c r="R7" s="47"/>
      <c r="S7" s="47"/>
      <c r="T7" s="48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3"/>
        <v>0</v>
      </c>
      <c r="K9" s="44">
        <f t="shared" si="4"/>
        <v>0</v>
      </c>
      <c r="L9" s="45"/>
      <c r="M9" s="40"/>
      <c r="N9" s="43">
        <f t="shared" si="1"/>
        <v>0</v>
      </c>
      <c r="O9" s="43">
        <f t="shared" si="2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3"/>
        <v>0</v>
      </c>
      <c r="K11" s="44">
        <f t="shared" si="4"/>
        <v>0</v>
      </c>
      <c r="L11" s="45"/>
      <c r="M11" s="40"/>
      <c r="N11" s="43">
        <f t="shared" si="1"/>
        <v>0</v>
      </c>
      <c r="O11" s="43">
        <f t="shared" si="2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>S13+T13</f>
        <v>0</v>
      </c>
      <c r="K13" s="44">
        <f t="shared" si="4"/>
        <v>0</v>
      </c>
      <c r="L13" s="45"/>
      <c r="M13" s="40"/>
      <c r="N13" s="43">
        <f>I13-J13-M13-R13</f>
        <v>0</v>
      </c>
      <c r="O13" s="43">
        <f>R13+S13+T13</f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3"/>
        <v>0</v>
      </c>
      <c r="K15" s="44">
        <f t="shared" si="4"/>
        <v>0</v>
      </c>
      <c r="L15" s="45"/>
      <c r="M15" s="40"/>
      <c r="N15" s="43">
        <f t="shared" si="1"/>
        <v>0</v>
      </c>
      <c r="O15" s="43">
        <f t="shared" si="2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3"/>
        <v>0</v>
      </c>
      <c r="K17" s="44">
        <f t="shared" si="4"/>
        <v>0</v>
      </c>
      <c r="L17" s="45"/>
      <c r="M17" s="40"/>
      <c r="N17" s="43">
        <f t="shared" si="1"/>
        <v>0</v>
      </c>
      <c r="O17" s="43">
        <f t="shared" si="2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3"/>
        <v>0</v>
      </c>
      <c r="K19" s="44">
        <f t="shared" si="4"/>
        <v>0</v>
      </c>
      <c r="L19" s="45"/>
      <c r="M19" s="40"/>
      <c r="N19" s="43">
        <f t="shared" si="1"/>
        <v>0</v>
      </c>
      <c r="O19" s="43">
        <f t="shared" si="2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3"/>
        <v>0</v>
      </c>
      <c r="K21" s="44">
        <f t="shared" si="4"/>
        <v>0</v>
      </c>
      <c r="L21" s="45"/>
      <c r="M21" s="40"/>
      <c r="N21" s="43">
        <f t="shared" si="1"/>
        <v>0</v>
      </c>
      <c r="O21" s="43">
        <f t="shared" si="2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3"/>
        <v>0</v>
      </c>
      <c r="K23" s="44">
        <f t="shared" si="4"/>
        <v>0</v>
      </c>
      <c r="L23" s="45"/>
      <c r="M23" s="40"/>
      <c r="N23" s="43">
        <f t="shared" si="1"/>
        <v>0</v>
      </c>
      <c r="O23" s="43">
        <f t="shared" si="2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3"/>
        <v>0</v>
      </c>
      <c r="K25" s="44">
        <f t="shared" si="4"/>
        <v>0</v>
      </c>
      <c r="L25" s="45"/>
      <c r="M25" s="40"/>
      <c r="N25" s="43">
        <f t="shared" si="1"/>
        <v>0</v>
      </c>
      <c r="O25" s="43">
        <f t="shared" si="2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3"/>
        <v>0</v>
      </c>
      <c r="K27" s="44">
        <f t="shared" si="4"/>
        <v>0</v>
      </c>
      <c r="L27" s="45"/>
      <c r="M27" s="40"/>
      <c r="N27" s="43">
        <f t="shared" si="1"/>
        <v>0</v>
      </c>
      <c r="O27" s="43">
        <f t="shared" si="2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3"/>
        <v>0</v>
      </c>
      <c r="K29" s="44">
        <f t="shared" si="4"/>
        <v>0</v>
      </c>
      <c r="L29" s="45"/>
      <c r="M29" s="40"/>
      <c r="N29" s="43">
        <f t="shared" si="1"/>
        <v>0</v>
      </c>
      <c r="O29" s="43">
        <f t="shared" si="2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3"/>
        <v>0</v>
      </c>
      <c r="K31" s="44">
        <f t="shared" si="4"/>
        <v>0</v>
      </c>
      <c r="L31" s="45"/>
      <c r="M31" s="40"/>
      <c r="N31" s="43">
        <f t="shared" si="1"/>
        <v>0</v>
      </c>
      <c r="O31" s="43">
        <f t="shared" si="2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3"/>
        <v>0</v>
      </c>
      <c r="K33" s="44">
        <f t="shared" si="4"/>
        <v>0</v>
      </c>
      <c r="L33" s="45"/>
      <c r="M33" s="40"/>
      <c r="N33" s="43">
        <f t="shared" si="1"/>
        <v>0</v>
      </c>
      <c r="O33" s="43">
        <f t="shared" si="2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3"/>
        <v>0</v>
      </c>
      <c r="K35" s="44">
        <f t="shared" si="4"/>
        <v>0</v>
      </c>
      <c r="L35" s="45"/>
      <c r="M35" s="40"/>
      <c r="N35" s="43">
        <f t="shared" si="1"/>
        <v>0</v>
      </c>
      <c r="O35" s="43">
        <f t="shared" si="2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3"/>
        <v>0</v>
      </c>
      <c r="K37" s="44">
        <f t="shared" si="4"/>
        <v>0</v>
      </c>
      <c r="L37" s="45"/>
      <c r="M37" s="40"/>
      <c r="N37" s="43">
        <f t="shared" si="1"/>
        <v>0</v>
      </c>
      <c r="O37" s="43">
        <f t="shared" si="2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50"/>
      <c r="B39" s="51"/>
      <c r="C39" s="52"/>
      <c r="D39" s="50"/>
      <c r="E39" s="50"/>
      <c r="F39" s="50"/>
      <c r="G39" s="43">
        <f>F39*6%</f>
        <v>0</v>
      </c>
      <c r="H39" s="53"/>
      <c r="I39" s="78">
        <f t="shared" si="0"/>
        <v>0</v>
      </c>
      <c r="J39" s="54">
        <f t="shared" si="3"/>
        <v>0</v>
      </c>
      <c r="K39" s="54">
        <f t="shared" si="4"/>
        <v>0</v>
      </c>
      <c r="L39" s="55"/>
      <c r="M39" s="50"/>
      <c r="N39" s="53">
        <f t="shared" si="1"/>
        <v>0</v>
      </c>
      <c r="O39" s="53">
        <f t="shared" si="2"/>
        <v>0</v>
      </c>
      <c r="P39" s="56"/>
      <c r="Q39" s="50"/>
      <c r="R39" s="50"/>
      <c r="S39" s="50"/>
      <c r="T39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459" priority="26" operator="containsText" text="SIN FACTURA ">
      <formula>NOT(ISERROR(SEARCH("SIN FACTURA ",A2)))</formula>
    </cfRule>
  </conditionalFormatting>
  <conditionalFormatting sqref="J39:T39 J37:T37 J35:T35 J33:T33 J31:T31 J29:T29 J27:T27 J25:T25 J23:T23 J21:T21 J19:T19 J9:T17 A9:H17 A19:H19 A21:H21 A23:H23 A25:H25 A27:H27 A29:H29 A31:H31 A33:H33 A35:H35 A37:H37 A39:H39 A4:T4 J5:T7 I5:I39 A5:H7">
    <cfRule type="containsText" dxfId="3458" priority="25" operator="containsText" text="SIN FACTURA">
      <formula>NOT(ISERROR(SEARCH("SIN FACTURA",A4)))</formula>
    </cfRule>
  </conditionalFormatting>
  <conditionalFormatting sqref="C8:H8 J8:V8">
    <cfRule type="containsText" dxfId="3457" priority="24" operator="containsText" text="SIN FACTURA">
      <formula>NOT(ISERROR(SEARCH("SIN FACTURA",C8)))</formula>
    </cfRule>
  </conditionalFormatting>
  <conditionalFormatting sqref="C18:H18 J18:V18">
    <cfRule type="containsText" dxfId="3456" priority="23" operator="containsText" text="SIN FACTURA">
      <formula>NOT(ISERROR(SEARCH("SIN FACTURA",C18)))</formula>
    </cfRule>
  </conditionalFormatting>
  <conditionalFormatting sqref="C20:H20 J20:V20">
    <cfRule type="containsText" dxfId="3455" priority="22" operator="containsText" text="SIN FACTURA">
      <formula>NOT(ISERROR(SEARCH("SIN FACTURA",C20)))</formula>
    </cfRule>
  </conditionalFormatting>
  <conditionalFormatting sqref="C22:H22 J22:V22">
    <cfRule type="containsText" dxfId="3454" priority="21" operator="containsText" text="SIN FACTURA">
      <formula>NOT(ISERROR(SEARCH("SIN FACTURA",C22)))</formula>
    </cfRule>
  </conditionalFormatting>
  <conditionalFormatting sqref="C24:H24 J24:V24">
    <cfRule type="containsText" dxfId="3453" priority="20" operator="containsText" text="SIN FACTURA">
      <formula>NOT(ISERROR(SEARCH("SIN FACTURA",C24)))</formula>
    </cfRule>
  </conditionalFormatting>
  <conditionalFormatting sqref="C26:H26 J26:V26">
    <cfRule type="containsText" dxfId="3452" priority="19" operator="containsText" text="SIN FACTURA">
      <formula>NOT(ISERROR(SEARCH("SIN FACTURA",C26)))</formula>
    </cfRule>
  </conditionalFormatting>
  <conditionalFormatting sqref="C28:H28 J28:V28">
    <cfRule type="containsText" dxfId="3451" priority="18" operator="containsText" text="SIN FACTURA">
      <formula>NOT(ISERROR(SEARCH("SIN FACTURA",C28)))</formula>
    </cfRule>
  </conditionalFormatting>
  <conditionalFormatting sqref="C30:H30 J30:V30">
    <cfRule type="containsText" dxfId="3450" priority="17" operator="containsText" text="SIN FACTURA">
      <formula>NOT(ISERROR(SEARCH("SIN FACTURA",C30)))</formula>
    </cfRule>
  </conditionalFormatting>
  <conditionalFormatting sqref="C32:H32 J32:V32">
    <cfRule type="containsText" dxfId="3449" priority="16" operator="containsText" text="SIN FACTURA">
      <formula>NOT(ISERROR(SEARCH("SIN FACTURA",C32)))</formula>
    </cfRule>
  </conditionalFormatting>
  <conditionalFormatting sqref="C34:H34 J34:V34">
    <cfRule type="containsText" dxfId="3448" priority="15" operator="containsText" text="SIN FACTURA">
      <formula>NOT(ISERROR(SEARCH("SIN FACTURA",C34)))</formula>
    </cfRule>
  </conditionalFormatting>
  <conditionalFormatting sqref="C36:H36 J36:V36">
    <cfRule type="containsText" dxfId="3447" priority="14" operator="containsText" text="SIN FACTURA">
      <formula>NOT(ISERROR(SEARCH("SIN FACTURA",C36)))</formula>
    </cfRule>
  </conditionalFormatting>
  <conditionalFormatting sqref="C38:H38 J38:V38">
    <cfRule type="containsText" dxfId="3446" priority="13" operator="containsText" text="SIN FACTURA">
      <formula>NOT(ISERROR(SEARCH("SIN FACTURA",C38)))</formula>
    </cfRule>
  </conditionalFormatting>
  <conditionalFormatting sqref="A8:B8">
    <cfRule type="containsText" dxfId="3445" priority="12" operator="containsText" text="SIN FACTURA">
      <formula>NOT(ISERROR(SEARCH("SIN FACTURA",A8)))</formula>
    </cfRule>
  </conditionalFormatting>
  <conditionalFormatting sqref="A18:B18">
    <cfRule type="containsText" dxfId="3444" priority="11" operator="containsText" text="SIN FACTURA">
      <formula>NOT(ISERROR(SEARCH("SIN FACTURA",A18)))</formula>
    </cfRule>
  </conditionalFormatting>
  <conditionalFormatting sqref="A20:B20">
    <cfRule type="containsText" dxfId="3443" priority="10" operator="containsText" text="SIN FACTURA">
      <formula>NOT(ISERROR(SEARCH("SIN FACTURA",A20)))</formula>
    </cfRule>
  </conditionalFormatting>
  <conditionalFormatting sqref="A22:B22">
    <cfRule type="containsText" dxfId="3442" priority="9" operator="containsText" text="SIN FACTURA">
      <formula>NOT(ISERROR(SEARCH("SIN FACTURA",A22)))</formula>
    </cfRule>
  </conditionalFormatting>
  <conditionalFormatting sqref="A24:B24">
    <cfRule type="containsText" dxfId="3441" priority="8" operator="containsText" text="SIN FACTURA">
      <formula>NOT(ISERROR(SEARCH("SIN FACTURA",A24)))</formula>
    </cfRule>
  </conditionalFormatting>
  <conditionalFormatting sqref="A26:B26">
    <cfRule type="containsText" dxfId="3440" priority="7" operator="containsText" text="SIN FACTURA">
      <formula>NOT(ISERROR(SEARCH("SIN FACTURA",A26)))</formula>
    </cfRule>
  </conditionalFormatting>
  <conditionalFormatting sqref="A38:B38">
    <cfRule type="containsText" dxfId="3439" priority="6" operator="containsText" text="SIN FACTURA">
      <formula>NOT(ISERROR(SEARCH("SIN FACTURA",A38)))</formula>
    </cfRule>
  </conditionalFormatting>
  <conditionalFormatting sqref="A28:B28">
    <cfRule type="containsText" dxfId="3438" priority="5" operator="containsText" text="SIN FACTURA">
      <formula>NOT(ISERROR(SEARCH("SIN FACTURA",A28)))</formula>
    </cfRule>
  </conditionalFormatting>
  <conditionalFormatting sqref="A30:B30">
    <cfRule type="containsText" dxfId="3437" priority="4" operator="containsText" text="SIN FACTURA">
      <formula>NOT(ISERROR(SEARCH("SIN FACTURA",A30)))</formula>
    </cfRule>
  </conditionalFormatting>
  <conditionalFormatting sqref="A32:B32">
    <cfRule type="containsText" dxfId="3436" priority="3" operator="containsText" text="SIN FACTURA">
      <formula>NOT(ISERROR(SEARCH("SIN FACTURA",A32)))</formula>
    </cfRule>
  </conditionalFormatting>
  <conditionalFormatting sqref="A34:B34">
    <cfRule type="containsText" dxfId="3435" priority="2" operator="containsText" text="SIN FACTURA">
      <formula>NOT(ISERROR(SEARCH("SIN FACTURA",A34)))</formula>
    </cfRule>
  </conditionalFormatting>
  <conditionalFormatting sqref="A36:B36">
    <cfRule type="containsText" dxfId="3434" priority="1" operator="containsText" text="SIN FACTURA">
      <formula>NOT(ISERROR(SEARCH("SIN FACTURA",A36)))</formula>
    </cfRule>
  </conditionalFormatting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>
  <dimension ref="A1:Y41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B3" sqref="B3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294">
        <v>511</v>
      </c>
      <c r="B1" s="18" t="s">
        <v>298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1" si="0">F5-G5-H5</f>
        <v>0</v>
      </c>
      <c r="J5" s="44">
        <f t="shared" ref="J5:J41" si="1">S5+T5</f>
        <v>0</v>
      </c>
      <c r="K5" s="44">
        <f t="shared" ref="K5:K41" si="2">I5-J5</f>
        <v>0</v>
      </c>
      <c r="L5" s="45"/>
      <c r="M5" s="40"/>
      <c r="N5" s="43">
        <f t="shared" ref="N5:N41" si="3">I5-J5-M5-R5</f>
        <v>0</v>
      </c>
      <c r="O5" s="43">
        <f t="shared" ref="O5:O41" si="4">R5+S5+T5</f>
        <v>0</v>
      </c>
      <c r="P5" s="46"/>
      <c r="Q5" s="40"/>
      <c r="R5" s="43"/>
      <c r="S5" s="43"/>
      <c r="T5" s="49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>I7-J7</f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>S15+T15</f>
        <v>0</v>
      </c>
      <c r="K15" s="44">
        <f t="shared" si="2"/>
        <v>0</v>
      </c>
      <c r="L15" s="45"/>
      <c r="M15" s="40"/>
      <c r="N15" s="43">
        <f>I15-J15-M15-R15</f>
        <v>0</v>
      </c>
      <c r="O15" s="43">
        <f>R15+S15+T15</f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50"/>
      <c r="B41" s="51"/>
      <c r="C41" s="52"/>
      <c r="D41" s="50"/>
      <c r="E41" s="50"/>
      <c r="F41" s="50"/>
      <c r="G41" s="43">
        <f>F41*6%</f>
        <v>0</v>
      </c>
      <c r="H41" s="53"/>
      <c r="I41" s="78">
        <f t="shared" si="0"/>
        <v>0</v>
      </c>
      <c r="J41" s="54">
        <f t="shared" si="1"/>
        <v>0</v>
      </c>
      <c r="K41" s="54">
        <f t="shared" si="2"/>
        <v>0</v>
      </c>
      <c r="L41" s="55"/>
      <c r="M41" s="50"/>
      <c r="N41" s="53">
        <f t="shared" si="3"/>
        <v>0</v>
      </c>
      <c r="O41" s="53">
        <f t="shared" si="4"/>
        <v>0</v>
      </c>
      <c r="P41" s="56"/>
      <c r="Q41" s="50"/>
      <c r="R41" s="50"/>
      <c r="S41" s="50"/>
      <c r="T41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433" priority="26" operator="containsText" text="SIN FACTURA ">
      <formula>NOT(ISERROR(SEARCH("SIN FACTURA ",A2)))</formula>
    </cfRule>
  </conditionalFormatting>
  <conditionalFormatting sqref="J41:T41 J39:T39 J37:T37 J35:T35 J33:T33 J31:T31 J29:T29 J27:T27 J25:T25 J23:T23 J21:T21 J11:T19 A11:H19 A21:H21 A23:H23 A25:H25 A27:H27 A29:H29 A31:H31 A33:H33 A35:H35 A37:H37 A39:H39 A41:H41 A4:T4 J5:T9 I5:I41 A5:H9">
    <cfRule type="containsText" dxfId="3432" priority="25" operator="containsText" text="SIN FACTURA">
      <formula>NOT(ISERROR(SEARCH("SIN FACTURA",A4)))</formula>
    </cfRule>
  </conditionalFormatting>
  <conditionalFormatting sqref="C10:H10 J10:V10">
    <cfRule type="containsText" dxfId="3431" priority="24" operator="containsText" text="SIN FACTURA">
      <formula>NOT(ISERROR(SEARCH("SIN FACTURA",C10)))</formula>
    </cfRule>
  </conditionalFormatting>
  <conditionalFormatting sqref="C20:H20 J20:V20">
    <cfRule type="containsText" dxfId="3430" priority="23" operator="containsText" text="SIN FACTURA">
      <formula>NOT(ISERROR(SEARCH("SIN FACTURA",C20)))</formula>
    </cfRule>
  </conditionalFormatting>
  <conditionalFormatting sqref="C22:H22 J22:V22">
    <cfRule type="containsText" dxfId="3429" priority="22" operator="containsText" text="SIN FACTURA">
      <formula>NOT(ISERROR(SEARCH("SIN FACTURA",C22)))</formula>
    </cfRule>
  </conditionalFormatting>
  <conditionalFormatting sqref="C24:H24 J24:V24">
    <cfRule type="containsText" dxfId="3428" priority="21" operator="containsText" text="SIN FACTURA">
      <formula>NOT(ISERROR(SEARCH("SIN FACTURA",C24)))</formula>
    </cfRule>
  </conditionalFormatting>
  <conditionalFormatting sqref="C26:H26 J26:V26">
    <cfRule type="containsText" dxfId="3427" priority="20" operator="containsText" text="SIN FACTURA">
      <formula>NOT(ISERROR(SEARCH("SIN FACTURA",C26)))</formula>
    </cfRule>
  </conditionalFormatting>
  <conditionalFormatting sqref="C28:H28 J28:V28">
    <cfRule type="containsText" dxfId="3426" priority="19" operator="containsText" text="SIN FACTURA">
      <formula>NOT(ISERROR(SEARCH("SIN FACTURA",C28)))</formula>
    </cfRule>
  </conditionalFormatting>
  <conditionalFormatting sqref="C30:H30 J30:V30">
    <cfRule type="containsText" dxfId="3425" priority="18" operator="containsText" text="SIN FACTURA">
      <formula>NOT(ISERROR(SEARCH("SIN FACTURA",C30)))</formula>
    </cfRule>
  </conditionalFormatting>
  <conditionalFormatting sqref="C32:H32 J32:V32">
    <cfRule type="containsText" dxfId="3424" priority="17" operator="containsText" text="SIN FACTURA">
      <formula>NOT(ISERROR(SEARCH("SIN FACTURA",C32)))</formula>
    </cfRule>
  </conditionalFormatting>
  <conditionalFormatting sqref="C34:H34 J34:V34">
    <cfRule type="containsText" dxfId="3423" priority="16" operator="containsText" text="SIN FACTURA">
      <formula>NOT(ISERROR(SEARCH("SIN FACTURA",C34)))</formula>
    </cfRule>
  </conditionalFormatting>
  <conditionalFormatting sqref="C36:H36 J36:V36">
    <cfRule type="containsText" dxfId="3422" priority="15" operator="containsText" text="SIN FACTURA">
      <formula>NOT(ISERROR(SEARCH("SIN FACTURA",C36)))</formula>
    </cfRule>
  </conditionalFormatting>
  <conditionalFormatting sqref="C38:H38 J38:V38">
    <cfRule type="containsText" dxfId="3421" priority="14" operator="containsText" text="SIN FACTURA">
      <formula>NOT(ISERROR(SEARCH("SIN FACTURA",C38)))</formula>
    </cfRule>
  </conditionalFormatting>
  <conditionalFormatting sqref="C40:H40 J40:V40">
    <cfRule type="containsText" dxfId="3420" priority="13" operator="containsText" text="SIN FACTURA">
      <formula>NOT(ISERROR(SEARCH("SIN FACTURA",C40)))</formula>
    </cfRule>
  </conditionalFormatting>
  <conditionalFormatting sqref="A10:B10">
    <cfRule type="containsText" dxfId="3419" priority="12" operator="containsText" text="SIN FACTURA">
      <formula>NOT(ISERROR(SEARCH("SIN FACTURA",A10)))</formula>
    </cfRule>
  </conditionalFormatting>
  <conditionalFormatting sqref="A20:B20">
    <cfRule type="containsText" dxfId="3418" priority="11" operator="containsText" text="SIN FACTURA">
      <formula>NOT(ISERROR(SEARCH("SIN FACTURA",A20)))</formula>
    </cfRule>
  </conditionalFormatting>
  <conditionalFormatting sqref="A22:B22">
    <cfRule type="containsText" dxfId="3417" priority="10" operator="containsText" text="SIN FACTURA">
      <formula>NOT(ISERROR(SEARCH("SIN FACTURA",A22)))</formula>
    </cfRule>
  </conditionalFormatting>
  <conditionalFormatting sqref="A24:B24">
    <cfRule type="containsText" dxfId="3416" priority="9" operator="containsText" text="SIN FACTURA">
      <formula>NOT(ISERROR(SEARCH("SIN FACTURA",A24)))</formula>
    </cfRule>
  </conditionalFormatting>
  <conditionalFormatting sqref="A26:B26">
    <cfRule type="containsText" dxfId="3415" priority="8" operator="containsText" text="SIN FACTURA">
      <formula>NOT(ISERROR(SEARCH("SIN FACTURA",A26)))</formula>
    </cfRule>
  </conditionalFormatting>
  <conditionalFormatting sqref="A28:B28">
    <cfRule type="containsText" dxfId="3414" priority="7" operator="containsText" text="SIN FACTURA">
      <formula>NOT(ISERROR(SEARCH("SIN FACTURA",A28)))</formula>
    </cfRule>
  </conditionalFormatting>
  <conditionalFormatting sqref="A40:B40">
    <cfRule type="containsText" dxfId="3413" priority="6" operator="containsText" text="SIN FACTURA">
      <formula>NOT(ISERROR(SEARCH("SIN FACTURA",A40)))</formula>
    </cfRule>
  </conditionalFormatting>
  <conditionalFormatting sqref="A30:B30">
    <cfRule type="containsText" dxfId="3412" priority="5" operator="containsText" text="SIN FACTURA">
      <formula>NOT(ISERROR(SEARCH("SIN FACTURA",A30)))</formula>
    </cfRule>
  </conditionalFormatting>
  <conditionalFormatting sqref="A32:B32">
    <cfRule type="containsText" dxfId="3411" priority="4" operator="containsText" text="SIN FACTURA">
      <formula>NOT(ISERROR(SEARCH("SIN FACTURA",A32)))</formula>
    </cfRule>
  </conditionalFormatting>
  <conditionalFormatting sqref="A34:B34">
    <cfRule type="containsText" dxfId="3410" priority="3" operator="containsText" text="SIN FACTURA">
      <formula>NOT(ISERROR(SEARCH("SIN FACTURA",A34)))</formula>
    </cfRule>
  </conditionalFormatting>
  <conditionalFormatting sqref="A36:B36">
    <cfRule type="containsText" dxfId="3409" priority="2" operator="containsText" text="SIN FACTURA">
      <formula>NOT(ISERROR(SEARCH("SIN FACTURA",A36)))</formula>
    </cfRule>
  </conditionalFormatting>
  <conditionalFormatting sqref="A38:B38">
    <cfRule type="containsText" dxfId="3408" priority="1" operator="containsText" text="SIN FACTURA">
      <formula>NOT(ISERROR(SEARCH("SIN FACTURA",A38)))</formula>
    </cfRule>
  </conditionalFormatting>
  <pageMargins left="0.75" right="0.75" top="1" bottom="1" header="0.5" footer="0.5"/>
  <pageSetup paperSize="9"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 codeName="Hoja106"/>
  <dimension ref="A1:Y27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22" sqref="A5:XFD22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1177</v>
      </c>
      <c r="B1" s="18" t="s">
        <v>108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27" si="0">F5-G5-H5</f>
        <v>0</v>
      </c>
      <c r="J5" s="44">
        <f t="shared" ref="J5:J27" si="1">S5+T5</f>
        <v>0</v>
      </c>
      <c r="K5" s="44">
        <f t="shared" ref="K5:K27" si="2">I5-J5</f>
        <v>0</v>
      </c>
      <c r="L5" s="45"/>
      <c r="M5" s="40"/>
      <c r="N5" s="43">
        <f t="shared" ref="N5:N27" si="3">I5-J5-M5-R5</f>
        <v>0</v>
      </c>
      <c r="O5" s="43">
        <f t="shared" ref="O5:O27" si="4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2"/>
      <c r="D6" s="33"/>
      <c r="E6" s="34"/>
      <c r="F6" s="32"/>
      <c r="G6" s="32"/>
      <c r="H6" s="32"/>
      <c r="I6" s="37"/>
      <c r="J6" s="37"/>
      <c r="K6" s="35"/>
      <c r="L6" s="35"/>
      <c r="M6" s="35"/>
      <c r="N6" s="36"/>
      <c r="O6" s="32"/>
      <c r="P6" s="37"/>
      <c r="Q6" s="37"/>
      <c r="R6" s="38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  <c r="U8" s="6"/>
      <c r="V8" s="6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  <c r="U10" s="6"/>
      <c r="V10" s="6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50"/>
      <c r="B27" s="51"/>
      <c r="C27" s="52"/>
      <c r="D27" s="50"/>
      <c r="E27" s="50"/>
      <c r="F27" s="50"/>
      <c r="G27" s="43">
        <f>F27*6%</f>
        <v>0</v>
      </c>
      <c r="H27" s="53"/>
      <c r="I27" s="44">
        <f t="shared" si="0"/>
        <v>0</v>
      </c>
      <c r="J27" s="54">
        <f t="shared" si="1"/>
        <v>0</v>
      </c>
      <c r="K27" s="54">
        <f t="shared" si="2"/>
        <v>0</v>
      </c>
      <c r="L27" s="55"/>
      <c r="M27" s="50"/>
      <c r="N27" s="53">
        <f t="shared" si="3"/>
        <v>0</v>
      </c>
      <c r="O27" s="53">
        <f t="shared" si="4"/>
        <v>0</v>
      </c>
      <c r="P27" s="56"/>
      <c r="Q27" s="50"/>
      <c r="R27" s="50"/>
      <c r="S27" s="50"/>
      <c r="T27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407" priority="28" operator="containsText" text="SIN FACTURA ">
      <formula>NOT(ISERROR(SEARCH("SIN FACTURA ",A2)))</formula>
    </cfRule>
  </conditionalFormatting>
  <conditionalFormatting sqref="A26:B26 I5:I27 J5:T5 A5:H5 A4:T4">
    <cfRule type="containsText" dxfId="3406" priority="2" operator="containsText" text="SIN FACTURA">
      <formula>NOT(ISERROR(SEARCH("SIN FACTURA",A4)))</formula>
    </cfRule>
  </conditionalFormatting>
  <conditionalFormatting sqref="J27:T27 J25:T25 J23:T23 J21:T21 J19:T19 J17:T17 J15:T15 J13:T13 J11:T11 J9:T9 J7:T7 A7:H7 A9:H9 A11:H11 A13:H13 A15:H15 A17:H17 A19:H19 A21:H21 A23:H23 A25:H25 A27:H27">
    <cfRule type="containsText" dxfId="3405" priority="26" operator="containsText" text="SIN FACTURA">
      <formula>NOT(ISERROR(SEARCH("SIN FACTURA",A7)))</formula>
    </cfRule>
  </conditionalFormatting>
  <conditionalFormatting sqref="C6:H6 J6:V6">
    <cfRule type="containsText" dxfId="3404" priority="24" operator="containsText" text="SIN FACTURA">
      <formula>NOT(ISERROR(SEARCH("SIN FACTURA",C6)))</formula>
    </cfRule>
  </conditionalFormatting>
  <conditionalFormatting sqref="C8:H8 J8:V8">
    <cfRule type="containsText" dxfId="3403" priority="23" operator="containsText" text="SIN FACTURA">
      <formula>NOT(ISERROR(SEARCH("SIN FACTURA",C8)))</formula>
    </cfRule>
  </conditionalFormatting>
  <conditionalFormatting sqref="C10:H10 J10:V10">
    <cfRule type="containsText" dxfId="3402" priority="22" operator="containsText" text="SIN FACTURA">
      <formula>NOT(ISERROR(SEARCH("SIN FACTURA",C10)))</formula>
    </cfRule>
  </conditionalFormatting>
  <conditionalFormatting sqref="C12:H12 J12:V12">
    <cfRule type="containsText" dxfId="3401" priority="21" operator="containsText" text="SIN FACTURA">
      <formula>NOT(ISERROR(SEARCH("SIN FACTURA",C12)))</formula>
    </cfRule>
  </conditionalFormatting>
  <conditionalFormatting sqref="C14:H14 J14:V14">
    <cfRule type="containsText" dxfId="3400" priority="20" operator="containsText" text="SIN FACTURA">
      <formula>NOT(ISERROR(SEARCH("SIN FACTURA",C14)))</formula>
    </cfRule>
  </conditionalFormatting>
  <conditionalFormatting sqref="C16:H16 J16:V16">
    <cfRule type="containsText" dxfId="3399" priority="19" operator="containsText" text="SIN FACTURA">
      <formula>NOT(ISERROR(SEARCH("SIN FACTURA",C16)))</formula>
    </cfRule>
  </conditionalFormatting>
  <conditionalFormatting sqref="C18:H18 J18:V18">
    <cfRule type="containsText" dxfId="3398" priority="18" operator="containsText" text="SIN FACTURA">
      <formula>NOT(ISERROR(SEARCH("SIN FACTURA",C18)))</formula>
    </cfRule>
  </conditionalFormatting>
  <conditionalFormatting sqref="C20:H20 J20:V20">
    <cfRule type="containsText" dxfId="3397" priority="17" operator="containsText" text="SIN FACTURA">
      <formula>NOT(ISERROR(SEARCH("SIN FACTURA",C20)))</formula>
    </cfRule>
  </conditionalFormatting>
  <conditionalFormatting sqref="C22:H22 J22:V22">
    <cfRule type="containsText" dxfId="3396" priority="16" operator="containsText" text="SIN FACTURA">
      <formula>NOT(ISERROR(SEARCH("SIN FACTURA",C22)))</formula>
    </cfRule>
  </conditionalFormatting>
  <conditionalFormatting sqref="C24:H24 J24:V24">
    <cfRule type="containsText" dxfId="3395" priority="15" operator="containsText" text="SIN FACTURA">
      <formula>NOT(ISERROR(SEARCH("SIN FACTURA",C24)))</formula>
    </cfRule>
  </conditionalFormatting>
  <conditionalFormatting sqref="C26:H26 J26:V26">
    <cfRule type="containsText" dxfId="3394" priority="14" operator="containsText" text="SIN FACTURA">
      <formula>NOT(ISERROR(SEARCH("SIN FACTURA",C26)))</formula>
    </cfRule>
  </conditionalFormatting>
  <conditionalFormatting sqref="A6:B6">
    <cfRule type="containsText" dxfId="3393" priority="12" operator="containsText" text="SIN FACTURA">
      <formula>NOT(ISERROR(SEARCH("SIN FACTURA",A6)))</formula>
    </cfRule>
  </conditionalFormatting>
  <conditionalFormatting sqref="A8:B8">
    <cfRule type="containsText" dxfId="3392" priority="11" operator="containsText" text="SIN FACTURA">
      <formula>NOT(ISERROR(SEARCH("SIN FACTURA",A8)))</formula>
    </cfRule>
  </conditionalFormatting>
  <conditionalFormatting sqref="A10:B10">
    <cfRule type="containsText" dxfId="3391" priority="10" operator="containsText" text="SIN FACTURA">
      <formula>NOT(ISERROR(SEARCH("SIN FACTURA",A10)))</formula>
    </cfRule>
  </conditionalFormatting>
  <conditionalFormatting sqref="A12:B12">
    <cfRule type="containsText" dxfId="3390" priority="9" operator="containsText" text="SIN FACTURA">
      <formula>NOT(ISERROR(SEARCH("SIN FACTURA",A12)))</formula>
    </cfRule>
  </conditionalFormatting>
  <conditionalFormatting sqref="A14:B14">
    <cfRule type="containsText" dxfId="3389" priority="8" operator="containsText" text="SIN FACTURA">
      <formula>NOT(ISERROR(SEARCH("SIN FACTURA",A14)))</formula>
    </cfRule>
  </conditionalFormatting>
  <conditionalFormatting sqref="A16:B16">
    <cfRule type="containsText" dxfId="3388" priority="7" operator="containsText" text="SIN FACTURA">
      <formula>NOT(ISERROR(SEARCH("SIN FACTURA",A16)))</formula>
    </cfRule>
  </conditionalFormatting>
  <conditionalFormatting sqref="A18:B18">
    <cfRule type="containsText" dxfId="3387" priority="6" operator="containsText" text="SIN FACTURA">
      <formula>NOT(ISERROR(SEARCH("SIN FACTURA",A18)))</formula>
    </cfRule>
  </conditionalFormatting>
  <conditionalFormatting sqref="A20:B20">
    <cfRule type="containsText" dxfId="3386" priority="5" operator="containsText" text="SIN FACTURA">
      <formula>NOT(ISERROR(SEARCH("SIN FACTURA",A20)))</formula>
    </cfRule>
  </conditionalFormatting>
  <conditionalFormatting sqref="A22:B22">
    <cfRule type="containsText" dxfId="3385" priority="4" operator="containsText" text="SIN FACTURA">
      <formula>NOT(ISERROR(SEARCH("SIN FACTURA",A22)))</formula>
    </cfRule>
  </conditionalFormatting>
  <conditionalFormatting sqref="A24:B24">
    <cfRule type="containsText" dxfId="3384" priority="3" operator="containsText" text="SIN FACTURA">
      <formula>NOT(ISERROR(SEARCH("SIN FACTURA",A24)))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30.xml><?xml version="1.0" encoding="utf-8"?>
<worksheet xmlns="http://schemas.openxmlformats.org/spreadsheetml/2006/main" xmlns:r="http://schemas.openxmlformats.org/officeDocument/2006/relationships">
  <dimension ref="A1:Y43"/>
  <sheetViews>
    <sheetView zoomScale="125" zoomScaleNormal="125" zoomScalePageLayoutView="125" workbookViewId="0">
      <pane ySplit="4" topLeftCell="A11" activePane="bottomLeft" state="frozen"/>
      <selection activeCell="D26" sqref="D26"/>
      <selection pane="bottomLeft" activeCell="A11" sqref="A11:XFD12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497</v>
      </c>
      <c r="B1" s="18" t="s">
        <v>303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>F5-G5-H5</f>
        <v>0</v>
      </c>
      <c r="J5" s="44">
        <f t="shared" ref="J5:J43" si="0">S5+T5</f>
        <v>0</v>
      </c>
      <c r="K5" s="44">
        <f t="shared" ref="K5:K43" si="1">I5-J5</f>
        <v>0</v>
      </c>
      <c r="L5" s="45"/>
      <c r="M5" s="40"/>
      <c r="N5" s="43">
        <f t="shared" ref="N5:N43" si="2">I5-J5-M5-R5</f>
        <v>0</v>
      </c>
      <c r="O5" s="43">
        <f t="shared" ref="O5:O43" si="3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ref="I7:I43" si="4">F7-G7-H7</f>
        <v>0</v>
      </c>
      <c r="J7" s="44">
        <f t="shared" si="0"/>
        <v>0</v>
      </c>
      <c r="K7" s="44">
        <f t="shared" si="1"/>
        <v>0</v>
      </c>
      <c r="L7" s="45"/>
      <c r="M7" s="40"/>
      <c r="N7" s="43">
        <f t="shared" si="2"/>
        <v>0</v>
      </c>
      <c r="O7" s="43">
        <f t="shared" si="3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4"/>
        <v>0</v>
      </c>
      <c r="J9" s="44">
        <f t="shared" si="0"/>
        <v>0</v>
      </c>
      <c r="K9" s="44">
        <f t="shared" si="1"/>
        <v>0</v>
      </c>
      <c r="L9" s="45"/>
      <c r="M9" s="40"/>
      <c r="N9" s="43">
        <f t="shared" si="2"/>
        <v>0</v>
      </c>
      <c r="O9" s="43">
        <f t="shared" si="3"/>
        <v>0</v>
      </c>
      <c r="P9" s="46"/>
      <c r="Q9" s="40"/>
      <c r="R9" s="43"/>
      <c r="S9" s="43"/>
      <c r="T9" s="49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4"/>
        <v>0</v>
      </c>
      <c r="J11" s="44">
        <f t="shared" si="0"/>
        <v>0</v>
      </c>
      <c r="K11" s="44">
        <f t="shared" si="1"/>
        <v>0</v>
      </c>
      <c r="L11" s="45"/>
      <c r="M11" s="40"/>
      <c r="N11" s="43">
        <f t="shared" si="2"/>
        <v>0</v>
      </c>
      <c r="O11" s="43">
        <f t="shared" si="3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4"/>
        <v>0</v>
      </c>
      <c r="J13" s="44">
        <f t="shared" si="0"/>
        <v>0</v>
      </c>
      <c r="K13" s="44">
        <f t="shared" si="1"/>
        <v>0</v>
      </c>
      <c r="L13" s="45"/>
      <c r="M13" s="40"/>
      <c r="N13" s="43">
        <f t="shared" si="2"/>
        <v>0</v>
      </c>
      <c r="O13" s="43">
        <f t="shared" si="3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4"/>
        <v>0</v>
      </c>
      <c r="J15" s="44">
        <f t="shared" si="0"/>
        <v>0</v>
      </c>
      <c r="K15" s="44">
        <f t="shared" si="1"/>
        <v>0</v>
      </c>
      <c r="L15" s="45"/>
      <c r="M15" s="40"/>
      <c r="N15" s="43">
        <f t="shared" si="2"/>
        <v>0</v>
      </c>
      <c r="O15" s="43">
        <f t="shared" si="3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4"/>
        <v>0</v>
      </c>
      <c r="J17" s="44">
        <f>S17+T17</f>
        <v>0</v>
      </c>
      <c r="K17" s="44">
        <f t="shared" si="1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4"/>
        <v>0</v>
      </c>
      <c r="J19" s="44">
        <f t="shared" si="0"/>
        <v>0</v>
      </c>
      <c r="K19" s="44">
        <f t="shared" si="1"/>
        <v>0</v>
      </c>
      <c r="L19" s="45"/>
      <c r="M19" s="40"/>
      <c r="N19" s="43">
        <f t="shared" si="2"/>
        <v>0</v>
      </c>
      <c r="O19" s="43">
        <f t="shared" si="3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4"/>
        <v>0</v>
      </c>
      <c r="J21" s="44">
        <f t="shared" si="0"/>
        <v>0</v>
      </c>
      <c r="K21" s="44">
        <f t="shared" si="1"/>
        <v>0</v>
      </c>
      <c r="L21" s="45"/>
      <c r="M21" s="40"/>
      <c r="N21" s="43">
        <f t="shared" si="2"/>
        <v>0</v>
      </c>
      <c r="O21" s="43">
        <f t="shared" si="3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4"/>
        <v>0</v>
      </c>
      <c r="J23" s="44">
        <f t="shared" si="0"/>
        <v>0</v>
      </c>
      <c r="K23" s="44">
        <f t="shared" si="1"/>
        <v>0</v>
      </c>
      <c r="L23" s="45"/>
      <c r="M23" s="40"/>
      <c r="N23" s="43">
        <f t="shared" si="2"/>
        <v>0</v>
      </c>
      <c r="O23" s="43">
        <f t="shared" si="3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4"/>
        <v>0</v>
      </c>
      <c r="J25" s="44">
        <f t="shared" si="0"/>
        <v>0</v>
      </c>
      <c r="K25" s="44">
        <f t="shared" si="1"/>
        <v>0</v>
      </c>
      <c r="L25" s="45"/>
      <c r="M25" s="40"/>
      <c r="N25" s="43">
        <f t="shared" si="2"/>
        <v>0</v>
      </c>
      <c r="O25" s="43">
        <f t="shared" si="3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4"/>
        <v>0</v>
      </c>
      <c r="J27" s="44">
        <f t="shared" si="0"/>
        <v>0</v>
      </c>
      <c r="K27" s="44">
        <f t="shared" si="1"/>
        <v>0</v>
      </c>
      <c r="L27" s="45"/>
      <c r="M27" s="40"/>
      <c r="N27" s="43">
        <f t="shared" si="2"/>
        <v>0</v>
      </c>
      <c r="O27" s="43">
        <f t="shared" si="3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4"/>
        <v>0</v>
      </c>
      <c r="J29" s="44">
        <f t="shared" si="0"/>
        <v>0</v>
      </c>
      <c r="K29" s="44">
        <f t="shared" si="1"/>
        <v>0</v>
      </c>
      <c r="L29" s="45"/>
      <c r="M29" s="40"/>
      <c r="N29" s="43">
        <f t="shared" si="2"/>
        <v>0</v>
      </c>
      <c r="O29" s="43">
        <f t="shared" si="3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4"/>
        <v>0</v>
      </c>
      <c r="J31" s="44">
        <f t="shared" si="0"/>
        <v>0</v>
      </c>
      <c r="K31" s="44">
        <f t="shared" si="1"/>
        <v>0</v>
      </c>
      <c r="L31" s="45"/>
      <c r="M31" s="40"/>
      <c r="N31" s="43">
        <f t="shared" si="2"/>
        <v>0</v>
      </c>
      <c r="O31" s="43">
        <f t="shared" si="3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4"/>
        <v>0</v>
      </c>
      <c r="J33" s="44">
        <f t="shared" si="0"/>
        <v>0</v>
      </c>
      <c r="K33" s="44">
        <f t="shared" si="1"/>
        <v>0</v>
      </c>
      <c r="L33" s="45"/>
      <c r="M33" s="40"/>
      <c r="N33" s="43">
        <f t="shared" si="2"/>
        <v>0</v>
      </c>
      <c r="O33" s="43">
        <f t="shared" si="3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4"/>
        <v>0</v>
      </c>
      <c r="J35" s="44">
        <f t="shared" si="0"/>
        <v>0</v>
      </c>
      <c r="K35" s="44">
        <f t="shared" si="1"/>
        <v>0</v>
      </c>
      <c r="L35" s="45"/>
      <c r="M35" s="40"/>
      <c r="N35" s="43">
        <f t="shared" si="2"/>
        <v>0</v>
      </c>
      <c r="O35" s="43">
        <f t="shared" si="3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4"/>
        <v>0</v>
      </c>
      <c r="J37" s="44">
        <f t="shared" si="0"/>
        <v>0</v>
      </c>
      <c r="K37" s="44">
        <f t="shared" si="1"/>
        <v>0</v>
      </c>
      <c r="L37" s="45"/>
      <c r="M37" s="40"/>
      <c r="N37" s="43">
        <f t="shared" si="2"/>
        <v>0</v>
      </c>
      <c r="O37" s="43">
        <f t="shared" si="3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4"/>
        <v>0</v>
      </c>
      <c r="J39" s="44">
        <f t="shared" si="0"/>
        <v>0</v>
      </c>
      <c r="K39" s="44">
        <f t="shared" si="1"/>
        <v>0</v>
      </c>
      <c r="L39" s="45"/>
      <c r="M39" s="40"/>
      <c r="N39" s="43">
        <f t="shared" si="2"/>
        <v>0</v>
      </c>
      <c r="O39" s="43">
        <f t="shared" si="3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4"/>
        <v>0</v>
      </c>
      <c r="J41" s="44">
        <f t="shared" si="0"/>
        <v>0</v>
      </c>
      <c r="K41" s="44">
        <f t="shared" si="1"/>
        <v>0</v>
      </c>
      <c r="L41" s="45"/>
      <c r="M41" s="40"/>
      <c r="N41" s="43">
        <f t="shared" si="2"/>
        <v>0</v>
      </c>
      <c r="O41" s="43">
        <f t="shared" si="3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78">
        <f t="shared" si="4"/>
        <v>0</v>
      </c>
      <c r="J43" s="54">
        <f t="shared" si="0"/>
        <v>0</v>
      </c>
      <c r="K43" s="54">
        <f t="shared" si="1"/>
        <v>0</v>
      </c>
      <c r="L43" s="55"/>
      <c r="M43" s="50"/>
      <c r="N43" s="53">
        <f t="shared" si="2"/>
        <v>0</v>
      </c>
      <c r="O43" s="53">
        <f t="shared" si="3"/>
        <v>0</v>
      </c>
      <c r="P43" s="56"/>
      <c r="Q43" s="50"/>
      <c r="R43" s="50"/>
      <c r="S43" s="50"/>
      <c r="T4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383" priority="26" operator="containsText" text="SIN FACTURA ">
      <formula>NOT(ISERROR(SEARCH("SIN FACTURA ",A2)))</formula>
    </cfRule>
  </conditionalFormatting>
  <conditionalFormatting sqref="J43:T43 J41:T41 J39:T39 J37:T37 J35:T35 J33:T33 J31:T31 J29:T29 J27:T27 J25:T25 J23:T23 J13:T21 A13:H21 A23:H23 A25:H25 A27:H27 A29:H29 A31:H31 A33:H33 A35:H35 A37:H37 A39:H39 A41:H41 A43:H43 A4:T5 J6:T11 I6:I43 A6:H11">
    <cfRule type="containsText" dxfId="3382" priority="25" operator="containsText" text="SIN FACTURA">
      <formula>NOT(ISERROR(SEARCH("SIN FACTURA",A4)))</formula>
    </cfRule>
  </conditionalFormatting>
  <conditionalFormatting sqref="C12:H12 J12:V12">
    <cfRule type="containsText" dxfId="3381" priority="24" operator="containsText" text="SIN FACTURA">
      <formula>NOT(ISERROR(SEARCH("SIN FACTURA",C12)))</formula>
    </cfRule>
  </conditionalFormatting>
  <conditionalFormatting sqref="C22:H22 J22:V22">
    <cfRule type="containsText" dxfId="3380" priority="23" operator="containsText" text="SIN FACTURA">
      <formula>NOT(ISERROR(SEARCH("SIN FACTURA",C22)))</formula>
    </cfRule>
  </conditionalFormatting>
  <conditionalFormatting sqref="C24:H24 J24:V24">
    <cfRule type="containsText" dxfId="3379" priority="22" operator="containsText" text="SIN FACTURA">
      <formula>NOT(ISERROR(SEARCH("SIN FACTURA",C24)))</formula>
    </cfRule>
  </conditionalFormatting>
  <conditionalFormatting sqref="C26:H26 J26:V26">
    <cfRule type="containsText" dxfId="3378" priority="21" operator="containsText" text="SIN FACTURA">
      <formula>NOT(ISERROR(SEARCH("SIN FACTURA",C26)))</formula>
    </cfRule>
  </conditionalFormatting>
  <conditionalFormatting sqref="C28:H28 J28:V28">
    <cfRule type="containsText" dxfId="3377" priority="20" operator="containsText" text="SIN FACTURA">
      <formula>NOT(ISERROR(SEARCH("SIN FACTURA",C28)))</formula>
    </cfRule>
  </conditionalFormatting>
  <conditionalFormatting sqref="C30:H30 J30:V30">
    <cfRule type="containsText" dxfId="3376" priority="19" operator="containsText" text="SIN FACTURA">
      <formula>NOT(ISERROR(SEARCH("SIN FACTURA",C30)))</formula>
    </cfRule>
  </conditionalFormatting>
  <conditionalFormatting sqref="C32:H32 J32:V32">
    <cfRule type="containsText" dxfId="3375" priority="18" operator="containsText" text="SIN FACTURA">
      <formula>NOT(ISERROR(SEARCH("SIN FACTURA",C32)))</formula>
    </cfRule>
  </conditionalFormatting>
  <conditionalFormatting sqref="C34:H34 J34:V34">
    <cfRule type="containsText" dxfId="3374" priority="17" operator="containsText" text="SIN FACTURA">
      <formula>NOT(ISERROR(SEARCH("SIN FACTURA",C34)))</formula>
    </cfRule>
  </conditionalFormatting>
  <conditionalFormatting sqref="C36:H36 J36:V36">
    <cfRule type="containsText" dxfId="3373" priority="16" operator="containsText" text="SIN FACTURA">
      <formula>NOT(ISERROR(SEARCH("SIN FACTURA",C36)))</formula>
    </cfRule>
  </conditionalFormatting>
  <conditionalFormatting sqref="C38:H38 J38:V38">
    <cfRule type="containsText" dxfId="3372" priority="15" operator="containsText" text="SIN FACTURA">
      <formula>NOT(ISERROR(SEARCH("SIN FACTURA",C38)))</formula>
    </cfRule>
  </conditionalFormatting>
  <conditionalFormatting sqref="C40:H40 J40:V40">
    <cfRule type="containsText" dxfId="3371" priority="14" operator="containsText" text="SIN FACTURA">
      <formula>NOT(ISERROR(SEARCH("SIN FACTURA",C40)))</formula>
    </cfRule>
  </conditionalFormatting>
  <conditionalFormatting sqref="C42:H42 J42:V42">
    <cfRule type="containsText" dxfId="3370" priority="13" operator="containsText" text="SIN FACTURA">
      <formula>NOT(ISERROR(SEARCH("SIN FACTURA",C42)))</formula>
    </cfRule>
  </conditionalFormatting>
  <conditionalFormatting sqref="A12:B12">
    <cfRule type="containsText" dxfId="3369" priority="12" operator="containsText" text="SIN FACTURA">
      <formula>NOT(ISERROR(SEARCH("SIN FACTURA",A12)))</formula>
    </cfRule>
  </conditionalFormatting>
  <conditionalFormatting sqref="A22:B22">
    <cfRule type="containsText" dxfId="3368" priority="11" operator="containsText" text="SIN FACTURA">
      <formula>NOT(ISERROR(SEARCH("SIN FACTURA",A22)))</formula>
    </cfRule>
  </conditionalFormatting>
  <conditionalFormatting sqref="A24:B24">
    <cfRule type="containsText" dxfId="3367" priority="10" operator="containsText" text="SIN FACTURA">
      <formula>NOT(ISERROR(SEARCH("SIN FACTURA",A24)))</formula>
    </cfRule>
  </conditionalFormatting>
  <conditionalFormatting sqref="A26:B26">
    <cfRule type="containsText" dxfId="3366" priority="9" operator="containsText" text="SIN FACTURA">
      <formula>NOT(ISERROR(SEARCH("SIN FACTURA",A26)))</formula>
    </cfRule>
  </conditionalFormatting>
  <conditionalFormatting sqref="A28:B28">
    <cfRule type="containsText" dxfId="3365" priority="8" operator="containsText" text="SIN FACTURA">
      <formula>NOT(ISERROR(SEARCH("SIN FACTURA",A28)))</formula>
    </cfRule>
  </conditionalFormatting>
  <conditionalFormatting sqref="A30:B30">
    <cfRule type="containsText" dxfId="3364" priority="7" operator="containsText" text="SIN FACTURA">
      <formula>NOT(ISERROR(SEARCH("SIN FACTURA",A30)))</formula>
    </cfRule>
  </conditionalFormatting>
  <conditionalFormatting sqref="A42:B42">
    <cfRule type="containsText" dxfId="3363" priority="6" operator="containsText" text="SIN FACTURA">
      <formula>NOT(ISERROR(SEARCH("SIN FACTURA",A42)))</formula>
    </cfRule>
  </conditionalFormatting>
  <conditionalFormatting sqref="A32:B32">
    <cfRule type="containsText" dxfId="3362" priority="5" operator="containsText" text="SIN FACTURA">
      <formula>NOT(ISERROR(SEARCH("SIN FACTURA",A32)))</formula>
    </cfRule>
  </conditionalFormatting>
  <conditionalFormatting sqref="A34:B34">
    <cfRule type="containsText" dxfId="3361" priority="4" operator="containsText" text="SIN FACTURA">
      <formula>NOT(ISERROR(SEARCH("SIN FACTURA",A34)))</formula>
    </cfRule>
  </conditionalFormatting>
  <conditionalFormatting sqref="A36:B36">
    <cfRule type="containsText" dxfId="3360" priority="3" operator="containsText" text="SIN FACTURA">
      <formula>NOT(ISERROR(SEARCH("SIN FACTURA",A36)))</formula>
    </cfRule>
  </conditionalFormatting>
  <conditionalFormatting sqref="A38:B38">
    <cfRule type="containsText" dxfId="3359" priority="2" operator="containsText" text="SIN FACTURA">
      <formula>NOT(ISERROR(SEARCH("SIN FACTURA",A38)))</formula>
    </cfRule>
  </conditionalFormatting>
  <conditionalFormatting sqref="A40:B40">
    <cfRule type="containsText" dxfId="3358" priority="1" operator="containsText" text="SIN FACTURA">
      <formula>NOT(ISERROR(SEARCH("SIN FACTURA",A40)))</formula>
    </cfRule>
  </conditionalFormatting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>
  <dimension ref="A1:Y41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8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264</v>
      </c>
      <c r="B1" s="18"/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1" si="0">F5-G5-H5</f>
        <v>0</v>
      </c>
      <c r="J5" s="44">
        <f t="shared" ref="J5:J41" si="1">S5+T5</f>
        <v>0</v>
      </c>
      <c r="K5" s="44">
        <f t="shared" ref="K5:K41" si="2">I5-J5</f>
        <v>0</v>
      </c>
      <c r="L5" s="45"/>
      <c r="M5" s="40"/>
      <c r="N5" s="43">
        <f t="shared" ref="N5:N41" si="3">I5-J5-M5-R5</f>
        <v>0</v>
      </c>
      <c r="O5" s="43">
        <f t="shared" ref="O5:O41" si="4">R5+S5+T5</f>
        <v>0</v>
      </c>
      <c r="P5" s="46"/>
      <c r="Q5" s="40"/>
      <c r="R5" s="43"/>
      <c r="S5" s="43"/>
      <c r="T5" s="49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>I7-J7</f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>S15+T15</f>
        <v>0</v>
      </c>
      <c r="K15" s="44">
        <f t="shared" si="2"/>
        <v>0</v>
      </c>
      <c r="L15" s="45"/>
      <c r="M15" s="40"/>
      <c r="N15" s="43">
        <f>I15-J15-M15-R15</f>
        <v>0</v>
      </c>
      <c r="O15" s="43">
        <f>R15+S15+T15</f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50"/>
      <c r="B41" s="51"/>
      <c r="C41" s="52"/>
      <c r="D41" s="50"/>
      <c r="E41" s="50"/>
      <c r="F41" s="50"/>
      <c r="G41" s="43">
        <f>F41*6%</f>
        <v>0</v>
      </c>
      <c r="H41" s="53"/>
      <c r="I41" s="78">
        <f t="shared" si="0"/>
        <v>0</v>
      </c>
      <c r="J41" s="54">
        <f t="shared" si="1"/>
        <v>0</v>
      </c>
      <c r="K41" s="54">
        <f t="shared" si="2"/>
        <v>0</v>
      </c>
      <c r="L41" s="55"/>
      <c r="M41" s="50"/>
      <c r="N41" s="53">
        <f t="shared" si="3"/>
        <v>0</v>
      </c>
      <c r="O41" s="53">
        <f t="shared" si="4"/>
        <v>0</v>
      </c>
      <c r="P41" s="56"/>
      <c r="Q41" s="50"/>
      <c r="R41" s="50"/>
      <c r="S41" s="50"/>
      <c r="T41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357" priority="26" operator="containsText" text="SIN FACTURA ">
      <formula>NOT(ISERROR(SEARCH("SIN FACTURA ",A2)))</formula>
    </cfRule>
  </conditionalFormatting>
  <conditionalFormatting sqref="J41:T41 J39:T39 J37:T37 J35:T35 J33:T33 J31:T31 J29:T29 J27:T27 J25:T25 J23:T23 J21:T21 J11:T19 A11:H19 A21:H21 A23:H23 A25:H25 A27:H27 A29:H29 A31:H31 A33:H33 A35:H35 A37:H37 A39:H39 A41:H41 A4:T4 J5:T9 I5:I41 A5:H9">
    <cfRule type="containsText" dxfId="3356" priority="25" operator="containsText" text="SIN FACTURA">
      <formula>NOT(ISERROR(SEARCH("SIN FACTURA",A4)))</formula>
    </cfRule>
  </conditionalFormatting>
  <conditionalFormatting sqref="C10:H10 J10:V10">
    <cfRule type="containsText" dxfId="3355" priority="24" operator="containsText" text="SIN FACTURA">
      <formula>NOT(ISERROR(SEARCH("SIN FACTURA",C10)))</formula>
    </cfRule>
  </conditionalFormatting>
  <conditionalFormatting sqref="C20:H20 J20:V20">
    <cfRule type="containsText" dxfId="3354" priority="23" operator="containsText" text="SIN FACTURA">
      <formula>NOT(ISERROR(SEARCH("SIN FACTURA",C20)))</formula>
    </cfRule>
  </conditionalFormatting>
  <conditionalFormatting sqref="C22:H22 J22:V22">
    <cfRule type="containsText" dxfId="3353" priority="22" operator="containsText" text="SIN FACTURA">
      <formula>NOT(ISERROR(SEARCH("SIN FACTURA",C22)))</formula>
    </cfRule>
  </conditionalFormatting>
  <conditionalFormatting sqref="C24:H24 J24:V24">
    <cfRule type="containsText" dxfId="3352" priority="21" operator="containsText" text="SIN FACTURA">
      <formula>NOT(ISERROR(SEARCH("SIN FACTURA",C24)))</formula>
    </cfRule>
  </conditionalFormatting>
  <conditionalFormatting sqref="C26:H26 J26:V26">
    <cfRule type="containsText" dxfId="3351" priority="20" operator="containsText" text="SIN FACTURA">
      <formula>NOT(ISERROR(SEARCH("SIN FACTURA",C26)))</formula>
    </cfRule>
  </conditionalFormatting>
  <conditionalFormatting sqref="C28:H28 J28:V28">
    <cfRule type="containsText" dxfId="3350" priority="19" operator="containsText" text="SIN FACTURA">
      <formula>NOT(ISERROR(SEARCH("SIN FACTURA",C28)))</formula>
    </cfRule>
  </conditionalFormatting>
  <conditionalFormatting sqref="C30:H30 J30:V30">
    <cfRule type="containsText" dxfId="3349" priority="18" operator="containsText" text="SIN FACTURA">
      <formula>NOT(ISERROR(SEARCH("SIN FACTURA",C30)))</formula>
    </cfRule>
  </conditionalFormatting>
  <conditionalFormatting sqref="C32:H32 J32:V32">
    <cfRule type="containsText" dxfId="3348" priority="17" operator="containsText" text="SIN FACTURA">
      <formula>NOT(ISERROR(SEARCH("SIN FACTURA",C32)))</formula>
    </cfRule>
  </conditionalFormatting>
  <conditionalFormatting sqref="C34:H34 J34:V34">
    <cfRule type="containsText" dxfId="3347" priority="16" operator="containsText" text="SIN FACTURA">
      <formula>NOT(ISERROR(SEARCH("SIN FACTURA",C34)))</formula>
    </cfRule>
  </conditionalFormatting>
  <conditionalFormatting sqref="C36:H36 J36:V36">
    <cfRule type="containsText" dxfId="3346" priority="15" operator="containsText" text="SIN FACTURA">
      <formula>NOT(ISERROR(SEARCH("SIN FACTURA",C36)))</formula>
    </cfRule>
  </conditionalFormatting>
  <conditionalFormatting sqref="C38:H38 J38:V38">
    <cfRule type="containsText" dxfId="3345" priority="14" operator="containsText" text="SIN FACTURA">
      <formula>NOT(ISERROR(SEARCH("SIN FACTURA",C38)))</formula>
    </cfRule>
  </conditionalFormatting>
  <conditionalFormatting sqref="C40:H40 J40:V40">
    <cfRule type="containsText" dxfId="3344" priority="13" operator="containsText" text="SIN FACTURA">
      <formula>NOT(ISERROR(SEARCH("SIN FACTURA",C40)))</formula>
    </cfRule>
  </conditionalFormatting>
  <conditionalFormatting sqref="A10:B10">
    <cfRule type="containsText" dxfId="3343" priority="12" operator="containsText" text="SIN FACTURA">
      <formula>NOT(ISERROR(SEARCH("SIN FACTURA",A10)))</formula>
    </cfRule>
  </conditionalFormatting>
  <conditionalFormatting sqref="A20:B20">
    <cfRule type="containsText" dxfId="3342" priority="11" operator="containsText" text="SIN FACTURA">
      <formula>NOT(ISERROR(SEARCH("SIN FACTURA",A20)))</formula>
    </cfRule>
  </conditionalFormatting>
  <conditionalFormatting sqref="A22:B22">
    <cfRule type="containsText" dxfId="3341" priority="10" operator="containsText" text="SIN FACTURA">
      <formula>NOT(ISERROR(SEARCH("SIN FACTURA",A22)))</formula>
    </cfRule>
  </conditionalFormatting>
  <conditionalFormatting sqref="A24:B24">
    <cfRule type="containsText" dxfId="3340" priority="9" operator="containsText" text="SIN FACTURA">
      <formula>NOT(ISERROR(SEARCH("SIN FACTURA",A24)))</formula>
    </cfRule>
  </conditionalFormatting>
  <conditionalFormatting sqref="A26:B26">
    <cfRule type="containsText" dxfId="3339" priority="8" operator="containsText" text="SIN FACTURA">
      <formula>NOT(ISERROR(SEARCH("SIN FACTURA",A26)))</formula>
    </cfRule>
  </conditionalFormatting>
  <conditionalFormatting sqref="A28:B28">
    <cfRule type="containsText" dxfId="3338" priority="7" operator="containsText" text="SIN FACTURA">
      <formula>NOT(ISERROR(SEARCH("SIN FACTURA",A28)))</formula>
    </cfRule>
  </conditionalFormatting>
  <conditionalFormatting sqref="A40:B40">
    <cfRule type="containsText" dxfId="3337" priority="1" operator="containsText" text="SIN FACTURA">
      <formula>NOT(ISERROR(SEARCH("SIN FACTURA",A40)))</formula>
    </cfRule>
  </conditionalFormatting>
  <conditionalFormatting sqref="A30:B30">
    <cfRule type="containsText" dxfId="3336" priority="6" operator="containsText" text="SIN FACTURA">
      <formula>NOT(ISERROR(SEARCH("SIN FACTURA",A30)))</formula>
    </cfRule>
  </conditionalFormatting>
  <conditionalFormatting sqref="A32:B32">
    <cfRule type="containsText" dxfId="3335" priority="5" operator="containsText" text="SIN FACTURA">
      <formula>NOT(ISERROR(SEARCH("SIN FACTURA",A32)))</formula>
    </cfRule>
  </conditionalFormatting>
  <conditionalFormatting sqref="A34:B34">
    <cfRule type="containsText" dxfId="3334" priority="4" operator="containsText" text="SIN FACTURA">
      <formula>NOT(ISERROR(SEARCH("SIN FACTURA",A34)))</formula>
    </cfRule>
  </conditionalFormatting>
  <conditionalFormatting sqref="A36:B36">
    <cfRule type="containsText" dxfId="3333" priority="3" operator="containsText" text="SIN FACTURA">
      <formula>NOT(ISERROR(SEARCH("SIN FACTURA",A36)))</formula>
    </cfRule>
  </conditionalFormatting>
  <conditionalFormatting sqref="A38:B38">
    <cfRule type="containsText" dxfId="3332" priority="2" operator="containsText" text="SIN FACTURA">
      <formula>NOT(ISERROR(SEARCH("SIN FACTURA",A38)))</formula>
    </cfRule>
  </conditionalFormatting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>
  <sheetPr codeName="Hoja45"/>
  <dimension ref="A1:Y43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205</v>
      </c>
      <c r="B1" s="18"/>
      <c r="C1" s="20">
        <v>486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78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331" priority="26" operator="containsText" text="SIN FACTURA ">
      <formula>NOT(ISERROR(SEARCH("SIN FACTURA ",A2)))</formula>
    </cfRule>
  </conditionalFormatting>
  <conditionalFormatting sqref="J43:T43 J41:T41 J39:T39 J37:T37 J35:T35 J33:T33 J31:T31 J29:T29 J27:T27 J25:T25 J23:T23 J13:T21 A13:H21 A23:H23 A25:H25 A27:H27 A29:H29 A31:H31 A33:H33 A35:H35 A37:H37 A39:H39 A41:H41 A43:H43 A4:T4 J5:T11 I5:I43 A5:H11">
    <cfRule type="containsText" dxfId="3330" priority="25" operator="containsText" text="SIN FACTURA">
      <formula>NOT(ISERROR(SEARCH("SIN FACTURA",A4)))</formula>
    </cfRule>
  </conditionalFormatting>
  <conditionalFormatting sqref="C12:H12 J12:V12">
    <cfRule type="containsText" dxfId="3329" priority="24" operator="containsText" text="SIN FACTURA">
      <formula>NOT(ISERROR(SEARCH("SIN FACTURA",C12)))</formula>
    </cfRule>
  </conditionalFormatting>
  <conditionalFormatting sqref="C22:H22 J22:V22">
    <cfRule type="containsText" dxfId="3328" priority="23" operator="containsText" text="SIN FACTURA">
      <formula>NOT(ISERROR(SEARCH("SIN FACTURA",C22)))</formula>
    </cfRule>
  </conditionalFormatting>
  <conditionalFormatting sqref="C24:H24 J24:V24">
    <cfRule type="containsText" dxfId="3327" priority="22" operator="containsText" text="SIN FACTURA">
      <formula>NOT(ISERROR(SEARCH("SIN FACTURA",C24)))</formula>
    </cfRule>
  </conditionalFormatting>
  <conditionalFormatting sqref="C26:H26 J26:V26">
    <cfRule type="containsText" dxfId="3326" priority="21" operator="containsText" text="SIN FACTURA">
      <formula>NOT(ISERROR(SEARCH("SIN FACTURA",C26)))</formula>
    </cfRule>
  </conditionalFormatting>
  <conditionalFormatting sqref="C28:H28 J28:V28">
    <cfRule type="containsText" dxfId="3325" priority="20" operator="containsText" text="SIN FACTURA">
      <formula>NOT(ISERROR(SEARCH("SIN FACTURA",C28)))</formula>
    </cfRule>
  </conditionalFormatting>
  <conditionalFormatting sqref="C30:H30 J30:V30">
    <cfRule type="containsText" dxfId="3324" priority="19" operator="containsText" text="SIN FACTURA">
      <formula>NOT(ISERROR(SEARCH("SIN FACTURA",C30)))</formula>
    </cfRule>
  </conditionalFormatting>
  <conditionalFormatting sqref="C32:H32 J32:V32">
    <cfRule type="containsText" dxfId="3323" priority="18" operator="containsText" text="SIN FACTURA">
      <formula>NOT(ISERROR(SEARCH("SIN FACTURA",C32)))</formula>
    </cfRule>
  </conditionalFormatting>
  <conditionalFormatting sqref="C34:H34 J34:V34">
    <cfRule type="containsText" dxfId="3322" priority="17" operator="containsText" text="SIN FACTURA">
      <formula>NOT(ISERROR(SEARCH("SIN FACTURA",C34)))</formula>
    </cfRule>
  </conditionalFormatting>
  <conditionalFormatting sqref="C36:H36 J36:V36">
    <cfRule type="containsText" dxfId="3321" priority="16" operator="containsText" text="SIN FACTURA">
      <formula>NOT(ISERROR(SEARCH("SIN FACTURA",C36)))</formula>
    </cfRule>
  </conditionalFormatting>
  <conditionalFormatting sqref="C38:H38 J38:V38">
    <cfRule type="containsText" dxfId="3320" priority="15" operator="containsText" text="SIN FACTURA">
      <formula>NOT(ISERROR(SEARCH("SIN FACTURA",C38)))</formula>
    </cfRule>
  </conditionalFormatting>
  <conditionalFormatting sqref="C40:H40 J40:V40">
    <cfRule type="containsText" dxfId="3319" priority="14" operator="containsText" text="SIN FACTURA">
      <formula>NOT(ISERROR(SEARCH("SIN FACTURA",C40)))</formula>
    </cfRule>
  </conditionalFormatting>
  <conditionalFormatting sqref="C42:H42 J42:V42">
    <cfRule type="containsText" dxfId="3318" priority="13" operator="containsText" text="SIN FACTURA">
      <formula>NOT(ISERROR(SEARCH("SIN FACTURA",C42)))</formula>
    </cfRule>
  </conditionalFormatting>
  <conditionalFormatting sqref="A12:B12">
    <cfRule type="containsText" dxfId="3317" priority="12" operator="containsText" text="SIN FACTURA">
      <formula>NOT(ISERROR(SEARCH("SIN FACTURA",A12)))</formula>
    </cfRule>
  </conditionalFormatting>
  <conditionalFormatting sqref="A22:B22">
    <cfRule type="containsText" dxfId="3316" priority="11" operator="containsText" text="SIN FACTURA">
      <formula>NOT(ISERROR(SEARCH("SIN FACTURA",A22)))</formula>
    </cfRule>
  </conditionalFormatting>
  <conditionalFormatting sqref="A24:B24">
    <cfRule type="containsText" dxfId="3315" priority="10" operator="containsText" text="SIN FACTURA">
      <formula>NOT(ISERROR(SEARCH("SIN FACTURA",A24)))</formula>
    </cfRule>
  </conditionalFormatting>
  <conditionalFormatting sqref="A26:B26">
    <cfRule type="containsText" dxfId="3314" priority="9" operator="containsText" text="SIN FACTURA">
      <formula>NOT(ISERROR(SEARCH("SIN FACTURA",A26)))</formula>
    </cfRule>
  </conditionalFormatting>
  <conditionalFormatting sqref="A28:B28">
    <cfRule type="containsText" dxfId="3313" priority="8" operator="containsText" text="SIN FACTURA">
      <formula>NOT(ISERROR(SEARCH("SIN FACTURA",A28)))</formula>
    </cfRule>
  </conditionalFormatting>
  <conditionalFormatting sqref="A30:B30">
    <cfRule type="containsText" dxfId="3312" priority="7" operator="containsText" text="SIN FACTURA">
      <formula>NOT(ISERROR(SEARCH("SIN FACTURA",A30)))</formula>
    </cfRule>
  </conditionalFormatting>
  <conditionalFormatting sqref="A42:B42">
    <cfRule type="containsText" dxfId="3311" priority="1" operator="containsText" text="SIN FACTURA">
      <formula>NOT(ISERROR(SEARCH("SIN FACTURA",A42)))</formula>
    </cfRule>
  </conditionalFormatting>
  <conditionalFormatting sqref="A32:B32">
    <cfRule type="containsText" dxfId="3310" priority="6" operator="containsText" text="SIN FACTURA">
      <formula>NOT(ISERROR(SEARCH("SIN FACTURA",A32)))</formula>
    </cfRule>
  </conditionalFormatting>
  <conditionalFormatting sqref="A34:B34">
    <cfRule type="containsText" dxfId="3309" priority="5" operator="containsText" text="SIN FACTURA">
      <formula>NOT(ISERROR(SEARCH("SIN FACTURA",A34)))</formula>
    </cfRule>
  </conditionalFormatting>
  <conditionalFormatting sqref="A36:B36">
    <cfRule type="containsText" dxfId="3308" priority="4" operator="containsText" text="SIN FACTURA">
      <formula>NOT(ISERROR(SEARCH("SIN FACTURA",A36)))</formula>
    </cfRule>
  </conditionalFormatting>
  <conditionalFormatting sqref="A38:B38">
    <cfRule type="containsText" dxfId="3307" priority="3" operator="containsText" text="SIN FACTURA">
      <formula>NOT(ISERROR(SEARCH("SIN FACTURA",A38)))</formula>
    </cfRule>
  </conditionalFormatting>
  <conditionalFormatting sqref="A40:B40">
    <cfRule type="containsText" dxfId="3306" priority="2" operator="containsText" text="SIN FACTURA">
      <formula>NOT(ISERROR(SEARCH("SIN FACTURA",A40)))</formula>
    </cfRule>
  </conditionalFormatting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>
  <sheetPr codeName="Hoja109"/>
  <dimension ref="A1:Y43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7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4">
        <v>280</v>
      </c>
      <c r="B1" s="15" t="s">
        <v>73</v>
      </c>
      <c r="C1" s="1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6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124"/>
      <c r="Q5" s="125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44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305" priority="27" operator="containsText" text="SIN FACTURA ">
      <formula>NOT(ISERROR(SEARCH("SIN FACTURA ",A2)))</formula>
    </cfRule>
  </conditionalFormatting>
  <conditionalFormatting sqref="A42:B42 J5:T11 I5:I43 A5:H11 A4:T4">
    <cfRule type="containsText" dxfId="3304" priority="1" operator="containsText" text="SIN FACTURA">
      <formula>NOT(ISERROR(SEARCH("SIN FACTURA",A4)))</formula>
    </cfRule>
  </conditionalFormatting>
  <conditionalFormatting sqref="J43:T43 J41:T41 J39:T39 J37:T37 J35:T35 J33:T33 J31:T31 J29:T29 J27:T27 J25:T25 J23:T23 J13:T21 A13:H21 A23:H23 A25:H25 A27:H27 A29:H29 A31:H31 A33:H33 A35:H35 A37:H37 A39:H39 A41:H41 A43:H43">
    <cfRule type="containsText" dxfId="3303" priority="25" operator="containsText" text="SIN FACTURA">
      <formula>NOT(ISERROR(SEARCH("SIN FACTURA",A13)))</formula>
    </cfRule>
  </conditionalFormatting>
  <conditionalFormatting sqref="C12:H12 J12:V12">
    <cfRule type="containsText" dxfId="3302" priority="24" operator="containsText" text="SIN FACTURA">
      <formula>NOT(ISERROR(SEARCH("SIN FACTURA",C12)))</formula>
    </cfRule>
  </conditionalFormatting>
  <conditionalFormatting sqref="C22:H22 J22:V22">
    <cfRule type="containsText" dxfId="3301" priority="23" operator="containsText" text="SIN FACTURA">
      <formula>NOT(ISERROR(SEARCH("SIN FACTURA",C22)))</formula>
    </cfRule>
  </conditionalFormatting>
  <conditionalFormatting sqref="C24:H24 J24:V24">
    <cfRule type="containsText" dxfId="3300" priority="22" operator="containsText" text="SIN FACTURA">
      <formula>NOT(ISERROR(SEARCH("SIN FACTURA",C24)))</formula>
    </cfRule>
  </conditionalFormatting>
  <conditionalFormatting sqref="C26:H26 J26:V26">
    <cfRule type="containsText" dxfId="3299" priority="21" operator="containsText" text="SIN FACTURA">
      <formula>NOT(ISERROR(SEARCH("SIN FACTURA",C26)))</formula>
    </cfRule>
  </conditionalFormatting>
  <conditionalFormatting sqref="C28:H28 J28:V28">
    <cfRule type="containsText" dxfId="3298" priority="20" operator="containsText" text="SIN FACTURA">
      <formula>NOT(ISERROR(SEARCH("SIN FACTURA",C28)))</formula>
    </cfRule>
  </conditionalFormatting>
  <conditionalFormatting sqref="C30:H30 J30:V30">
    <cfRule type="containsText" dxfId="3297" priority="19" operator="containsText" text="SIN FACTURA">
      <formula>NOT(ISERROR(SEARCH("SIN FACTURA",C30)))</formula>
    </cfRule>
  </conditionalFormatting>
  <conditionalFormatting sqref="C32:H32 J32:V32">
    <cfRule type="containsText" dxfId="3296" priority="18" operator="containsText" text="SIN FACTURA">
      <formula>NOT(ISERROR(SEARCH("SIN FACTURA",C32)))</formula>
    </cfRule>
  </conditionalFormatting>
  <conditionalFormatting sqref="C34:H34 J34:V34">
    <cfRule type="containsText" dxfId="3295" priority="17" operator="containsText" text="SIN FACTURA">
      <formula>NOT(ISERROR(SEARCH("SIN FACTURA",C34)))</formula>
    </cfRule>
  </conditionalFormatting>
  <conditionalFormatting sqref="C36:H36 J36:V36">
    <cfRule type="containsText" dxfId="3294" priority="16" operator="containsText" text="SIN FACTURA">
      <formula>NOT(ISERROR(SEARCH("SIN FACTURA",C36)))</formula>
    </cfRule>
  </conditionalFormatting>
  <conditionalFormatting sqref="C38:H38 J38:V38">
    <cfRule type="containsText" dxfId="3293" priority="15" operator="containsText" text="SIN FACTURA">
      <formula>NOT(ISERROR(SEARCH("SIN FACTURA",C38)))</formula>
    </cfRule>
  </conditionalFormatting>
  <conditionalFormatting sqref="C40:H40 J40:V40">
    <cfRule type="containsText" dxfId="3292" priority="14" operator="containsText" text="SIN FACTURA">
      <formula>NOT(ISERROR(SEARCH("SIN FACTURA",C40)))</formula>
    </cfRule>
  </conditionalFormatting>
  <conditionalFormatting sqref="C42:H42 J42:V42">
    <cfRule type="containsText" dxfId="3291" priority="13" operator="containsText" text="SIN FACTURA">
      <formula>NOT(ISERROR(SEARCH("SIN FACTURA",C42)))</formula>
    </cfRule>
  </conditionalFormatting>
  <conditionalFormatting sqref="A12:B12">
    <cfRule type="containsText" dxfId="3290" priority="12" operator="containsText" text="SIN FACTURA">
      <formula>NOT(ISERROR(SEARCH("SIN FACTURA",A12)))</formula>
    </cfRule>
  </conditionalFormatting>
  <conditionalFormatting sqref="A22:B22">
    <cfRule type="containsText" dxfId="3289" priority="11" operator="containsText" text="SIN FACTURA">
      <formula>NOT(ISERROR(SEARCH("SIN FACTURA",A22)))</formula>
    </cfRule>
  </conditionalFormatting>
  <conditionalFormatting sqref="A24:B24">
    <cfRule type="containsText" dxfId="3288" priority="10" operator="containsText" text="SIN FACTURA">
      <formula>NOT(ISERROR(SEARCH("SIN FACTURA",A24)))</formula>
    </cfRule>
  </conditionalFormatting>
  <conditionalFormatting sqref="A26:B26">
    <cfRule type="containsText" dxfId="3287" priority="9" operator="containsText" text="SIN FACTURA">
      <formula>NOT(ISERROR(SEARCH("SIN FACTURA",A26)))</formula>
    </cfRule>
  </conditionalFormatting>
  <conditionalFormatting sqref="A28:B28">
    <cfRule type="containsText" dxfId="3286" priority="8" operator="containsText" text="SIN FACTURA">
      <formula>NOT(ISERROR(SEARCH("SIN FACTURA",A28)))</formula>
    </cfRule>
  </conditionalFormatting>
  <conditionalFormatting sqref="A30:B30">
    <cfRule type="containsText" dxfId="3285" priority="7" operator="containsText" text="SIN FACTURA">
      <formula>NOT(ISERROR(SEARCH("SIN FACTURA",A30)))</formula>
    </cfRule>
  </conditionalFormatting>
  <conditionalFormatting sqref="A32:B32">
    <cfRule type="containsText" dxfId="3284" priority="6" operator="containsText" text="SIN FACTURA">
      <formula>NOT(ISERROR(SEARCH("SIN FACTURA",A32)))</formula>
    </cfRule>
  </conditionalFormatting>
  <conditionalFormatting sqref="A34:B34">
    <cfRule type="containsText" dxfId="3283" priority="5" operator="containsText" text="SIN FACTURA">
      <formula>NOT(ISERROR(SEARCH("SIN FACTURA",A34)))</formula>
    </cfRule>
  </conditionalFormatting>
  <conditionalFormatting sqref="A36:B36">
    <cfRule type="containsText" dxfId="3282" priority="4" operator="containsText" text="SIN FACTURA">
      <formula>NOT(ISERROR(SEARCH("SIN FACTURA",A36)))</formula>
    </cfRule>
  </conditionalFormatting>
  <conditionalFormatting sqref="A38:B38">
    <cfRule type="containsText" dxfId="3281" priority="3" operator="containsText" text="SIN FACTURA">
      <formula>NOT(ISERROR(SEARCH("SIN FACTURA",A38)))</formula>
    </cfRule>
  </conditionalFormatting>
  <conditionalFormatting sqref="A40:B40">
    <cfRule type="containsText" dxfId="3280" priority="2" operator="containsText" text="SIN FACTURA">
      <formula>NOT(ISERROR(SEARCH("SIN FACTURA",A40)))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34.xml><?xml version="1.0" encoding="utf-8"?>
<worksheet xmlns="http://schemas.openxmlformats.org/spreadsheetml/2006/main" xmlns:r="http://schemas.openxmlformats.org/officeDocument/2006/relationships">
  <dimension ref="A1:Y37"/>
  <sheetViews>
    <sheetView zoomScale="125" zoomScaleNormal="125" zoomScalePageLayoutView="125" workbookViewId="0">
      <pane ySplit="3" topLeftCell="A4" activePane="bottomLeft" state="frozen"/>
      <selection activeCell="D26" sqref="D26"/>
      <selection pane="bottomLeft" activeCell="A11" sqref="A4:XFD11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295">
        <v>514</v>
      </c>
      <c r="B1" s="18" t="s">
        <v>301</v>
      </c>
      <c r="C1" s="20"/>
      <c r="D1" s="5"/>
      <c r="E1" s="5" t="s">
        <v>304</v>
      </c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7"/>
      <c r="H4" s="37"/>
      <c r="I4" s="37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7" si="0">F5-G5-H5</f>
        <v>0</v>
      </c>
      <c r="J5" s="44">
        <f t="shared" ref="J5:J37" si="1">S5+T5</f>
        <v>0</v>
      </c>
      <c r="K5" s="44">
        <f t="shared" ref="K5:K37" si="2">I5-J5</f>
        <v>0</v>
      </c>
      <c r="L5" s="45"/>
      <c r="M5" s="40"/>
      <c r="N5" s="43">
        <f t="shared" ref="N5:N37" si="3">I5-J5-M5-R5</f>
        <v>0</v>
      </c>
      <c r="O5" s="43">
        <f t="shared" ref="O5:O37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2"/>
      <c r="D6" s="33"/>
      <c r="E6" s="34"/>
      <c r="F6" s="32"/>
      <c r="G6" s="32"/>
      <c r="H6" s="32"/>
      <c r="I6" s="37"/>
      <c r="J6" s="37"/>
      <c r="K6" s="35"/>
      <c r="L6" s="35"/>
      <c r="M6" s="35"/>
      <c r="N6" s="36"/>
      <c r="O6" s="32"/>
      <c r="P6" s="37"/>
      <c r="Q6" s="37"/>
      <c r="R6" s="38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>S11+T11</f>
        <v>0</v>
      </c>
      <c r="K11" s="44">
        <f t="shared" si="2"/>
        <v>0</v>
      </c>
      <c r="L11" s="45"/>
      <c r="M11" s="40"/>
      <c r="N11" s="43">
        <f>I11-J11-M11-R11</f>
        <v>0</v>
      </c>
      <c r="O11" s="43">
        <f>R11+S11+T11</f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10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50"/>
      <c r="B37" s="51"/>
      <c r="C37" s="52"/>
      <c r="D37" s="50"/>
      <c r="E37" s="50"/>
      <c r="F37" s="50"/>
      <c r="G37" s="43">
        <f>F37*6%</f>
        <v>0</v>
      </c>
      <c r="H37" s="53"/>
      <c r="I37" s="78">
        <f t="shared" si="0"/>
        <v>0</v>
      </c>
      <c r="J37" s="54">
        <f t="shared" si="1"/>
        <v>0</v>
      </c>
      <c r="K37" s="54">
        <f t="shared" si="2"/>
        <v>0</v>
      </c>
      <c r="L37" s="55"/>
      <c r="M37" s="50"/>
      <c r="N37" s="53">
        <f t="shared" si="3"/>
        <v>0</v>
      </c>
      <c r="O37" s="53">
        <f t="shared" si="4"/>
        <v>0</v>
      </c>
      <c r="P37" s="56"/>
      <c r="Q37" s="50"/>
      <c r="R37" s="50"/>
      <c r="S37" s="50"/>
      <c r="T37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279" priority="28" operator="containsText" text="SIN FACTURA ">
      <formula>NOT(ISERROR(SEARCH("SIN FACTURA ",A2)))</formula>
    </cfRule>
  </conditionalFormatting>
  <conditionalFormatting sqref="J37:T37 J35:T35 J33:T33 J31:T31 J29:T29 J27:T27 J25:T25 J23:T23 J21:T21 J19:T19 J17:T17 J7:T15 J6:V6 J16:V16 J18:V18 J20:V20 J22:V22 J24:V24 J26:V26 J28:V28 J30:V30 J32:V32 J34:V34 J36:V36 J5:T5 A5:I37 A4:T4">
    <cfRule type="containsText" dxfId="3278" priority="27" operator="containsText" text="SIN FACTURA">
      <formula>NOT(ISERROR(SEARCH("SIN FACTURA",A4)))</formula>
    </cfRule>
  </conditionalFormatting>
  <pageMargins left="0.75" right="0.75" top="1" bottom="1" header="0.5" footer="0.5"/>
  <pageSetup paperSize="9" orientation="portrait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 codeName="Hoja111"/>
  <dimension ref="A1:Y43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4">
        <v>286</v>
      </c>
      <c r="B1" s="4" t="s">
        <v>71</v>
      </c>
      <c r="C1" s="5"/>
      <c r="D1" s="5"/>
      <c r="G1" s="5"/>
      <c r="H1" s="5"/>
      <c r="I1" s="5"/>
      <c r="J1" s="5"/>
      <c r="K1" s="5"/>
      <c r="L1" s="5"/>
      <c r="M1" s="5"/>
      <c r="N1" s="5"/>
      <c r="O1" s="5"/>
      <c r="P1" s="16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44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277" priority="27" operator="containsText" text="SIN FACTURA ">
      <formula>NOT(ISERROR(SEARCH("SIN FACTURA ",A2)))</formula>
    </cfRule>
  </conditionalFormatting>
  <conditionalFormatting sqref="A42:B42 A4:T4 J5:T11 I5:I43 A5:H11">
    <cfRule type="containsText" dxfId="3276" priority="1" operator="containsText" text="SIN FACTURA">
      <formula>NOT(ISERROR(SEARCH("SIN FACTURA",A4)))</formula>
    </cfRule>
  </conditionalFormatting>
  <conditionalFormatting sqref="J43:T43 J41:T41 J39:T39 J37:T37 J35:T35 J33:T33 J31:T31 J29:T29 J27:T27 J25:T25 J23:T23 J13:T21 A13:H21 A23:H23 A25:H25 A27:H27 A29:H29 A31:H31 A33:H33 A35:H35 A37:H37 A39:H39 A41:H41 A43:H43">
    <cfRule type="containsText" dxfId="3275" priority="25" operator="containsText" text="SIN FACTURA">
      <formula>NOT(ISERROR(SEARCH("SIN FACTURA",A13)))</formula>
    </cfRule>
  </conditionalFormatting>
  <conditionalFormatting sqref="C12:H12 J12:V12">
    <cfRule type="containsText" dxfId="3274" priority="24" operator="containsText" text="SIN FACTURA">
      <formula>NOT(ISERROR(SEARCH("SIN FACTURA",C12)))</formula>
    </cfRule>
  </conditionalFormatting>
  <conditionalFormatting sqref="C22:H22 J22:V22">
    <cfRule type="containsText" dxfId="3273" priority="23" operator="containsText" text="SIN FACTURA">
      <formula>NOT(ISERROR(SEARCH("SIN FACTURA",C22)))</formula>
    </cfRule>
  </conditionalFormatting>
  <conditionalFormatting sqref="C24:H24 J24:V24">
    <cfRule type="containsText" dxfId="3272" priority="22" operator="containsText" text="SIN FACTURA">
      <formula>NOT(ISERROR(SEARCH("SIN FACTURA",C24)))</formula>
    </cfRule>
  </conditionalFormatting>
  <conditionalFormatting sqref="C26:H26 J26:V26">
    <cfRule type="containsText" dxfId="3271" priority="21" operator="containsText" text="SIN FACTURA">
      <formula>NOT(ISERROR(SEARCH("SIN FACTURA",C26)))</formula>
    </cfRule>
  </conditionalFormatting>
  <conditionalFormatting sqref="C28:H28 J28:V28">
    <cfRule type="containsText" dxfId="3270" priority="20" operator="containsText" text="SIN FACTURA">
      <formula>NOT(ISERROR(SEARCH("SIN FACTURA",C28)))</formula>
    </cfRule>
  </conditionalFormatting>
  <conditionalFormatting sqref="C30:H30 J30:V30">
    <cfRule type="containsText" dxfId="3269" priority="19" operator="containsText" text="SIN FACTURA">
      <formula>NOT(ISERROR(SEARCH("SIN FACTURA",C30)))</formula>
    </cfRule>
  </conditionalFormatting>
  <conditionalFormatting sqref="C32:H32 J32:V32">
    <cfRule type="containsText" dxfId="3268" priority="18" operator="containsText" text="SIN FACTURA">
      <formula>NOT(ISERROR(SEARCH("SIN FACTURA",C32)))</formula>
    </cfRule>
  </conditionalFormatting>
  <conditionalFormatting sqref="C34:H34 J34:V34">
    <cfRule type="containsText" dxfId="3267" priority="17" operator="containsText" text="SIN FACTURA">
      <formula>NOT(ISERROR(SEARCH("SIN FACTURA",C34)))</formula>
    </cfRule>
  </conditionalFormatting>
  <conditionalFormatting sqref="C36:H36 J36:V36">
    <cfRule type="containsText" dxfId="3266" priority="16" operator="containsText" text="SIN FACTURA">
      <formula>NOT(ISERROR(SEARCH("SIN FACTURA",C36)))</formula>
    </cfRule>
  </conditionalFormatting>
  <conditionalFormatting sqref="C38:H38 J38:V38">
    <cfRule type="containsText" dxfId="3265" priority="15" operator="containsText" text="SIN FACTURA">
      <formula>NOT(ISERROR(SEARCH("SIN FACTURA",C38)))</formula>
    </cfRule>
  </conditionalFormatting>
  <conditionalFormatting sqref="C40:H40 J40:V40">
    <cfRule type="containsText" dxfId="3264" priority="14" operator="containsText" text="SIN FACTURA">
      <formula>NOT(ISERROR(SEARCH("SIN FACTURA",C40)))</formula>
    </cfRule>
  </conditionalFormatting>
  <conditionalFormatting sqref="C42:H42 J42:V42">
    <cfRule type="containsText" dxfId="3263" priority="13" operator="containsText" text="SIN FACTURA">
      <formula>NOT(ISERROR(SEARCH("SIN FACTURA",C42)))</formula>
    </cfRule>
  </conditionalFormatting>
  <conditionalFormatting sqref="A12:B12">
    <cfRule type="containsText" dxfId="3262" priority="12" operator="containsText" text="SIN FACTURA">
      <formula>NOT(ISERROR(SEARCH("SIN FACTURA",A12)))</formula>
    </cfRule>
  </conditionalFormatting>
  <conditionalFormatting sqref="A22:B22">
    <cfRule type="containsText" dxfId="3261" priority="11" operator="containsText" text="SIN FACTURA">
      <formula>NOT(ISERROR(SEARCH("SIN FACTURA",A22)))</formula>
    </cfRule>
  </conditionalFormatting>
  <conditionalFormatting sqref="A24:B24">
    <cfRule type="containsText" dxfId="3260" priority="10" operator="containsText" text="SIN FACTURA">
      <formula>NOT(ISERROR(SEARCH("SIN FACTURA",A24)))</formula>
    </cfRule>
  </conditionalFormatting>
  <conditionalFormatting sqref="A26:B26">
    <cfRule type="containsText" dxfId="3259" priority="9" operator="containsText" text="SIN FACTURA">
      <formula>NOT(ISERROR(SEARCH("SIN FACTURA",A26)))</formula>
    </cfRule>
  </conditionalFormatting>
  <conditionalFormatting sqref="A28:B28">
    <cfRule type="containsText" dxfId="3258" priority="8" operator="containsText" text="SIN FACTURA">
      <formula>NOT(ISERROR(SEARCH("SIN FACTURA",A28)))</formula>
    </cfRule>
  </conditionalFormatting>
  <conditionalFormatting sqref="A30:B30">
    <cfRule type="containsText" dxfId="3257" priority="7" operator="containsText" text="SIN FACTURA">
      <formula>NOT(ISERROR(SEARCH("SIN FACTURA",A30)))</formula>
    </cfRule>
  </conditionalFormatting>
  <conditionalFormatting sqref="A32:B32">
    <cfRule type="containsText" dxfId="3256" priority="6" operator="containsText" text="SIN FACTURA">
      <formula>NOT(ISERROR(SEARCH("SIN FACTURA",A32)))</formula>
    </cfRule>
  </conditionalFormatting>
  <conditionalFormatting sqref="A34:B34">
    <cfRule type="containsText" dxfId="3255" priority="5" operator="containsText" text="SIN FACTURA">
      <formula>NOT(ISERROR(SEARCH("SIN FACTURA",A34)))</formula>
    </cfRule>
  </conditionalFormatting>
  <conditionalFormatting sqref="A36:B36">
    <cfRule type="containsText" dxfId="3254" priority="4" operator="containsText" text="SIN FACTURA">
      <formula>NOT(ISERROR(SEARCH("SIN FACTURA",A36)))</formula>
    </cfRule>
  </conditionalFormatting>
  <conditionalFormatting sqref="A38:B38">
    <cfRule type="containsText" dxfId="3253" priority="3" operator="containsText" text="SIN FACTURA">
      <formula>NOT(ISERROR(SEARCH("SIN FACTURA",A38)))</formula>
    </cfRule>
  </conditionalFormatting>
  <conditionalFormatting sqref="A40:B40">
    <cfRule type="containsText" dxfId="3252" priority="2" operator="containsText" text="SIN FACTURA">
      <formula>NOT(ISERROR(SEARCH("SIN FACTURA",A40)))</formula>
    </cfRule>
  </conditionalFormatting>
  <pageMargins left="0.75" right="0.75" top="1" bottom="1" header="0.5" footer="0.5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>
  <sheetPr codeName="Hoja10"/>
  <dimension ref="A1:Y41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9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221</v>
      </c>
      <c r="B1" s="18"/>
      <c r="C1" s="20">
        <v>447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1" si="0">F5-G5-H5</f>
        <v>0</v>
      </c>
      <c r="J5" s="44">
        <f t="shared" ref="J5:J41" si="1">S5+T5</f>
        <v>0</v>
      </c>
      <c r="K5" s="44">
        <f t="shared" ref="K5:K41" si="2">I5-J5</f>
        <v>0</v>
      </c>
      <c r="L5" s="45"/>
      <c r="M5" s="40"/>
      <c r="N5" s="43">
        <f t="shared" ref="N5:N41" si="3">I5-J5-M5-R5</f>
        <v>0</v>
      </c>
      <c r="O5" s="43">
        <f t="shared" ref="O5:O41" si="4">R5+S5+T5</f>
        <v>0</v>
      </c>
      <c r="P5" s="46"/>
      <c r="Q5" s="40"/>
      <c r="R5" s="43"/>
      <c r="S5" s="43"/>
      <c r="T5" s="49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>I7-J7</f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>S15+T15</f>
        <v>0</v>
      </c>
      <c r="K15" s="44">
        <f t="shared" si="2"/>
        <v>0</v>
      </c>
      <c r="L15" s="45"/>
      <c r="M15" s="40"/>
      <c r="N15" s="43">
        <f>I15-J15-M15-R15</f>
        <v>0</v>
      </c>
      <c r="O15" s="43">
        <f>R15+S15+T15</f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50"/>
      <c r="B41" s="51"/>
      <c r="C41" s="52"/>
      <c r="D41" s="50"/>
      <c r="E41" s="50"/>
      <c r="F41" s="50"/>
      <c r="G41" s="43">
        <f>F41*6%</f>
        <v>0</v>
      </c>
      <c r="H41" s="53"/>
      <c r="I41" s="78">
        <f t="shared" si="0"/>
        <v>0</v>
      </c>
      <c r="J41" s="54">
        <f t="shared" si="1"/>
        <v>0</v>
      </c>
      <c r="K41" s="54">
        <f t="shared" si="2"/>
        <v>0</v>
      </c>
      <c r="L41" s="55"/>
      <c r="M41" s="50"/>
      <c r="N41" s="53">
        <f t="shared" si="3"/>
        <v>0</v>
      </c>
      <c r="O41" s="53">
        <f t="shared" si="4"/>
        <v>0</v>
      </c>
      <c r="P41" s="56"/>
      <c r="Q41" s="50"/>
      <c r="R41" s="50"/>
      <c r="S41" s="50"/>
      <c r="T41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251" priority="26" operator="containsText" text="SIN FACTURA ">
      <formula>NOT(ISERROR(SEARCH("SIN FACTURA ",A2)))</formula>
    </cfRule>
  </conditionalFormatting>
  <conditionalFormatting sqref="J41:T41 J39:T39 J37:T37 J35:T35 J33:T33 J31:T31 J29:T29 J27:T27 J25:T25 J23:T23 J21:T21 J11:T19 A11:H19 A21:H21 A23:H23 A25:H25 A27:H27 A29:H29 A31:H31 A33:H33 A35:H35 A37:H37 A39:H39 A41:H41 J5:T9 I5:I41 A5:H9 A4:T4">
    <cfRule type="containsText" dxfId="3250" priority="25" operator="containsText" text="SIN FACTURA">
      <formula>NOT(ISERROR(SEARCH("SIN FACTURA",A4)))</formula>
    </cfRule>
  </conditionalFormatting>
  <conditionalFormatting sqref="C10:H10 J10:V10">
    <cfRule type="containsText" dxfId="3249" priority="24" operator="containsText" text="SIN FACTURA">
      <formula>NOT(ISERROR(SEARCH("SIN FACTURA",C10)))</formula>
    </cfRule>
  </conditionalFormatting>
  <conditionalFormatting sqref="C20:H20 J20:V20">
    <cfRule type="containsText" dxfId="3248" priority="23" operator="containsText" text="SIN FACTURA">
      <formula>NOT(ISERROR(SEARCH("SIN FACTURA",C20)))</formula>
    </cfRule>
  </conditionalFormatting>
  <conditionalFormatting sqref="C22:H22 J22:V22">
    <cfRule type="containsText" dxfId="3247" priority="22" operator="containsText" text="SIN FACTURA">
      <formula>NOT(ISERROR(SEARCH("SIN FACTURA",C22)))</formula>
    </cfRule>
  </conditionalFormatting>
  <conditionalFormatting sqref="C24:H24 J24:V24">
    <cfRule type="containsText" dxfId="3246" priority="21" operator="containsText" text="SIN FACTURA">
      <formula>NOT(ISERROR(SEARCH("SIN FACTURA",C24)))</formula>
    </cfRule>
  </conditionalFormatting>
  <conditionalFormatting sqref="C26:H26 J26:V26">
    <cfRule type="containsText" dxfId="3245" priority="20" operator="containsText" text="SIN FACTURA">
      <formula>NOT(ISERROR(SEARCH("SIN FACTURA",C26)))</formula>
    </cfRule>
  </conditionalFormatting>
  <conditionalFormatting sqref="C28:H28 J28:V28">
    <cfRule type="containsText" dxfId="3244" priority="19" operator="containsText" text="SIN FACTURA">
      <formula>NOT(ISERROR(SEARCH("SIN FACTURA",C28)))</formula>
    </cfRule>
  </conditionalFormatting>
  <conditionalFormatting sqref="C30:H30 J30:V30">
    <cfRule type="containsText" dxfId="3243" priority="18" operator="containsText" text="SIN FACTURA">
      <formula>NOT(ISERROR(SEARCH("SIN FACTURA",C30)))</formula>
    </cfRule>
  </conditionalFormatting>
  <conditionalFormatting sqref="C32:H32 J32:V32">
    <cfRule type="containsText" dxfId="3242" priority="17" operator="containsText" text="SIN FACTURA">
      <formula>NOT(ISERROR(SEARCH("SIN FACTURA",C32)))</formula>
    </cfRule>
  </conditionalFormatting>
  <conditionalFormatting sqref="C34:H34 J34:V34">
    <cfRule type="containsText" dxfId="3241" priority="16" operator="containsText" text="SIN FACTURA">
      <formula>NOT(ISERROR(SEARCH("SIN FACTURA",C34)))</formula>
    </cfRule>
  </conditionalFormatting>
  <conditionalFormatting sqref="C36:H36 J36:V36">
    <cfRule type="containsText" dxfId="3240" priority="15" operator="containsText" text="SIN FACTURA">
      <formula>NOT(ISERROR(SEARCH("SIN FACTURA",C36)))</formula>
    </cfRule>
  </conditionalFormatting>
  <conditionalFormatting sqref="C38:H38 J38:V38">
    <cfRule type="containsText" dxfId="3239" priority="14" operator="containsText" text="SIN FACTURA">
      <formula>NOT(ISERROR(SEARCH("SIN FACTURA",C38)))</formula>
    </cfRule>
  </conditionalFormatting>
  <conditionalFormatting sqref="C40:H40 J40:V40">
    <cfRule type="containsText" dxfId="3238" priority="13" operator="containsText" text="SIN FACTURA">
      <formula>NOT(ISERROR(SEARCH("SIN FACTURA",C40)))</formula>
    </cfRule>
  </conditionalFormatting>
  <conditionalFormatting sqref="A10:B10">
    <cfRule type="containsText" dxfId="3237" priority="12" operator="containsText" text="SIN FACTURA">
      <formula>NOT(ISERROR(SEARCH("SIN FACTURA",A10)))</formula>
    </cfRule>
  </conditionalFormatting>
  <conditionalFormatting sqref="A20:B20">
    <cfRule type="containsText" dxfId="3236" priority="11" operator="containsText" text="SIN FACTURA">
      <formula>NOT(ISERROR(SEARCH("SIN FACTURA",A20)))</formula>
    </cfRule>
  </conditionalFormatting>
  <conditionalFormatting sqref="A22:B22">
    <cfRule type="containsText" dxfId="3235" priority="10" operator="containsText" text="SIN FACTURA">
      <formula>NOT(ISERROR(SEARCH("SIN FACTURA",A22)))</formula>
    </cfRule>
  </conditionalFormatting>
  <conditionalFormatting sqref="A24:B24">
    <cfRule type="containsText" dxfId="3234" priority="9" operator="containsText" text="SIN FACTURA">
      <formula>NOT(ISERROR(SEARCH("SIN FACTURA",A24)))</formula>
    </cfRule>
  </conditionalFormatting>
  <conditionalFormatting sqref="A26:B26">
    <cfRule type="containsText" dxfId="3233" priority="8" operator="containsText" text="SIN FACTURA">
      <formula>NOT(ISERROR(SEARCH("SIN FACTURA",A26)))</formula>
    </cfRule>
  </conditionalFormatting>
  <conditionalFormatting sqref="A28:B28">
    <cfRule type="containsText" dxfId="3232" priority="7" operator="containsText" text="SIN FACTURA">
      <formula>NOT(ISERROR(SEARCH("SIN FACTURA",A28)))</formula>
    </cfRule>
  </conditionalFormatting>
  <conditionalFormatting sqref="A40:B40">
    <cfRule type="containsText" dxfId="3231" priority="1" operator="containsText" text="SIN FACTURA">
      <formula>NOT(ISERROR(SEARCH("SIN FACTURA",A40)))</formula>
    </cfRule>
  </conditionalFormatting>
  <conditionalFormatting sqref="A30:B30">
    <cfRule type="containsText" dxfId="3230" priority="6" operator="containsText" text="SIN FACTURA">
      <formula>NOT(ISERROR(SEARCH("SIN FACTURA",A30)))</formula>
    </cfRule>
  </conditionalFormatting>
  <conditionalFormatting sqref="A32:B32">
    <cfRule type="containsText" dxfId="3229" priority="5" operator="containsText" text="SIN FACTURA">
      <formula>NOT(ISERROR(SEARCH("SIN FACTURA",A32)))</formula>
    </cfRule>
  </conditionalFormatting>
  <conditionalFormatting sqref="A34:B34">
    <cfRule type="containsText" dxfId="3228" priority="4" operator="containsText" text="SIN FACTURA">
      <formula>NOT(ISERROR(SEARCH("SIN FACTURA",A34)))</formula>
    </cfRule>
  </conditionalFormatting>
  <conditionalFormatting sqref="A36:B36">
    <cfRule type="containsText" dxfId="3227" priority="3" operator="containsText" text="SIN FACTURA">
      <formula>NOT(ISERROR(SEARCH("SIN FACTURA",A36)))</formula>
    </cfRule>
  </conditionalFormatting>
  <conditionalFormatting sqref="A38:B38">
    <cfRule type="containsText" dxfId="3226" priority="2" operator="containsText" text="SIN FACTURA">
      <formula>NOT(ISERROR(SEARCH("SIN FACTURA",A38)))</formula>
    </cfRule>
  </conditionalFormatting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>
  <sheetPr codeName="Hoja48"/>
  <dimension ref="A1:Y36"/>
  <sheetViews>
    <sheetView zoomScale="125" zoomScaleNormal="125" zoomScalePageLayoutView="125" workbookViewId="0">
      <pane ySplit="3" topLeftCell="A4" activePane="bottomLeft" state="frozen"/>
      <selection activeCell="D26" sqref="D26"/>
      <selection pane="bottomLeft" activeCell="A14" sqref="A4:XFD14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200</v>
      </c>
      <c r="B1" s="18"/>
      <c r="C1" s="20"/>
      <c r="D1" s="4">
        <v>488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40"/>
      <c r="B4" s="41"/>
      <c r="C4" s="42"/>
      <c r="D4" s="40"/>
      <c r="E4" s="40"/>
      <c r="F4" s="40"/>
      <c r="G4" s="43">
        <f>F4*6%</f>
        <v>0</v>
      </c>
      <c r="H4" s="43"/>
      <c r="I4" s="44">
        <f t="shared" ref="I4:I36" si="0">F4-G4-H4</f>
        <v>0</v>
      </c>
      <c r="J4" s="44">
        <f t="shared" ref="J4:J36" si="1">S4+T4</f>
        <v>0</v>
      </c>
      <c r="K4" s="44">
        <f t="shared" ref="K4:K36" si="2">I4-J4</f>
        <v>0</v>
      </c>
      <c r="L4" s="45"/>
      <c r="M4" s="40"/>
      <c r="N4" s="43">
        <f t="shared" ref="N4:N36" si="3">I4-J4-M4-R4</f>
        <v>0</v>
      </c>
      <c r="O4" s="43">
        <f t="shared" ref="O4:O36" si="4">R4+S4+T4</f>
        <v>0</v>
      </c>
      <c r="P4" s="46"/>
      <c r="Q4" s="40"/>
      <c r="R4" s="47"/>
      <c r="S4" s="47"/>
      <c r="T4" s="48"/>
    </row>
    <row r="5" spans="1:25" ht="15">
      <c r="A5" s="32"/>
      <c r="B5" s="33"/>
      <c r="C5" s="32"/>
      <c r="D5" s="33"/>
      <c r="E5" s="34"/>
      <c r="F5" s="32"/>
      <c r="G5" s="32"/>
      <c r="H5" s="32"/>
      <c r="I5" s="37"/>
      <c r="J5" s="37"/>
      <c r="K5" s="35"/>
      <c r="L5" s="35"/>
      <c r="M5" s="35"/>
      <c r="N5" s="36"/>
      <c r="O5" s="32"/>
      <c r="P5" s="37"/>
      <c r="Q5" s="37"/>
      <c r="R5" s="38"/>
      <c r="S5" s="32"/>
      <c r="T5" s="39"/>
    </row>
    <row r="6" spans="1:25" ht="15">
      <c r="A6" s="40"/>
      <c r="B6" s="41"/>
      <c r="C6" s="42"/>
      <c r="D6" s="40"/>
      <c r="E6" s="40"/>
      <c r="F6" s="40"/>
      <c r="G6" s="43">
        <f>F6*6%</f>
        <v>0</v>
      </c>
      <c r="H6" s="43"/>
      <c r="I6" s="44">
        <f t="shared" si="0"/>
        <v>0</v>
      </c>
      <c r="J6" s="44">
        <f t="shared" si="1"/>
        <v>0</v>
      </c>
      <c r="K6" s="44">
        <f t="shared" si="2"/>
        <v>0</v>
      </c>
      <c r="L6" s="45"/>
      <c r="M6" s="40"/>
      <c r="N6" s="43">
        <f t="shared" si="3"/>
        <v>0</v>
      </c>
      <c r="O6" s="43">
        <f t="shared" si="4"/>
        <v>0</v>
      </c>
      <c r="P6" s="46"/>
      <c r="Q6" s="40"/>
      <c r="R6" s="47"/>
      <c r="S6" s="47"/>
      <c r="T6" s="48"/>
    </row>
    <row r="7" spans="1:25" ht="15">
      <c r="A7" s="32"/>
      <c r="B7" s="33"/>
      <c r="C7" s="34"/>
      <c r="D7" s="32"/>
      <c r="E7" s="32"/>
      <c r="F7" s="32"/>
      <c r="G7" s="37"/>
      <c r="H7" s="37"/>
      <c r="I7" s="37"/>
      <c r="J7" s="35"/>
      <c r="K7" s="35"/>
      <c r="L7" s="36"/>
      <c r="M7" s="32"/>
      <c r="N7" s="37"/>
      <c r="O7" s="37"/>
      <c r="P7" s="38"/>
      <c r="Q7" s="32"/>
      <c r="R7" s="32"/>
      <c r="S7" s="32"/>
      <c r="T7" s="39"/>
    </row>
    <row r="8" spans="1:25" ht="15">
      <c r="A8" s="40"/>
      <c r="B8" s="41"/>
      <c r="C8" s="42"/>
      <c r="D8" s="40"/>
      <c r="E8" s="40"/>
      <c r="F8" s="40"/>
      <c r="G8" s="43">
        <f>F8*6%</f>
        <v>0</v>
      </c>
      <c r="H8" s="43"/>
      <c r="I8" s="44">
        <f t="shared" si="0"/>
        <v>0</v>
      </c>
      <c r="J8" s="44">
        <f t="shared" si="1"/>
        <v>0</v>
      </c>
      <c r="K8" s="44">
        <f t="shared" si="2"/>
        <v>0</v>
      </c>
      <c r="L8" s="45"/>
      <c r="M8" s="40"/>
      <c r="N8" s="43">
        <f t="shared" si="3"/>
        <v>0</v>
      </c>
      <c r="O8" s="43">
        <f t="shared" si="4"/>
        <v>0</v>
      </c>
      <c r="P8" s="46"/>
      <c r="Q8" s="40"/>
      <c r="R8" s="40"/>
      <c r="S8" s="40"/>
      <c r="T8" s="5"/>
    </row>
    <row r="9" spans="1:25" ht="15">
      <c r="A9" s="32"/>
      <c r="B9" s="33"/>
      <c r="C9" s="34"/>
      <c r="D9" s="32"/>
      <c r="E9" s="32"/>
      <c r="F9" s="32"/>
      <c r="G9" s="37"/>
      <c r="H9" s="37"/>
      <c r="I9" s="37"/>
      <c r="J9" s="35"/>
      <c r="K9" s="35"/>
      <c r="L9" s="36"/>
      <c r="M9" s="32"/>
      <c r="N9" s="37"/>
      <c r="O9" s="37"/>
      <c r="P9" s="38"/>
      <c r="Q9" s="32"/>
      <c r="R9" s="32"/>
      <c r="S9" s="32"/>
      <c r="T9" s="39"/>
    </row>
    <row r="10" spans="1:25" ht="15">
      <c r="A10" s="40"/>
      <c r="B10" s="41"/>
      <c r="C10" s="42"/>
      <c r="D10" s="40"/>
      <c r="E10" s="40"/>
      <c r="F10" s="40"/>
      <c r="G10" s="43">
        <f>F10*6%</f>
        <v>0</v>
      </c>
      <c r="H10" s="43"/>
      <c r="I10" s="44">
        <f t="shared" si="0"/>
        <v>0</v>
      </c>
      <c r="J10" s="44">
        <f>S10+T10</f>
        <v>0</v>
      </c>
      <c r="K10" s="44">
        <f t="shared" si="2"/>
        <v>0</v>
      </c>
      <c r="L10" s="45"/>
      <c r="M10" s="40"/>
      <c r="N10" s="43">
        <f>I10-J10-M10-R10</f>
        <v>0</v>
      </c>
      <c r="O10" s="43">
        <f>R10+S10+T10</f>
        <v>0</v>
      </c>
      <c r="P10" s="46"/>
      <c r="Q10" s="40"/>
      <c r="R10" s="47"/>
      <c r="S10" s="47"/>
      <c r="T10" s="48"/>
    </row>
    <row r="11" spans="1:25" ht="15">
      <c r="A11" s="32"/>
      <c r="B11" s="33"/>
      <c r="C11" s="34"/>
      <c r="D11" s="32"/>
      <c r="E11" s="32"/>
      <c r="F11" s="32"/>
      <c r="G11" s="37"/>
      <c r="H11" s="37"/>
      <c r="I11" s="37"/>
      <c r="J11" s="35"/>
      <c r="K11" s="35"/>
      <c r="L11" s="36"/>
      <c r="M11" s="32"/>
      <c r="N11" s="37"/>
      <c r="O11" s="37"/>
      <c r="P11" s="38"/>
      <c r="Q11" s="32"/>
      <c r="R11" s="32"/>
      <c r="S11" s="32"/>
      <c r="T11" s="39"/>
    </row>
    <row r="12" spans="1:25" ht="15">
      <c r="A12" s="40"/>
      <c r="B12" s="41"/>
      <c r="C12" s="42"/>
      <c r="D12" s="40"/>
      <c r="E12" s="40"/>
      <c r="F12" s="40"/>
      <c r="G12" s="43">
        <f>F12*6%</f>
        <v>0</v>
      </c>
      <c r="H12" s="43"/>
      <c r="I12" s="44">
        <f t="shared" si="0"/>
        <v>0</v>
      </c>
      <c r="J12" s="44">
        <f t="shared" si="1"/>
        <v>0</v>
      </c>
      <c r="K12" s="44">
        <f t="shared" si="2"/>
        <v>0</v>
      </c>
      <c r="L12" s="45"/>
      <c r="M12" s="40"/>
      <c r="N12" s="43">
        <f t="shared" si="3"/>
        <v>0</v>
      </c>
      <c r="O12" s="43">
        <f t="shared" si="4"/>
        <v>0</v>
      </c>
      <c r="P12" s="46"/>
      <c r="Q12" s="40"/>
      <c r="R12" s="47"/>
      <c r="S12" s="47"/>
      <c r="T12" s="48"/>
    </row>
    <row r="13" spans="1:25" ht="15">
      <c r="A13" s="32"/>
      <c r="B13" s="33"/>
      <c r="C13" s="34"/>
      <c r="D13" s="32"/>
      <c r="E13" s="32"/>
      <c r="F13" s="32"/>
      <c r="G13" s="37"/>
      <c r="H13" s="37"/>
      <c r="I13" s="37"/>
      <c r="J13" s="35"/>
      <c r="K13" s="35"/>
      <c r="L13" s="36"/>
      <c r="M13" s="32"/>
      <c r="N13" s="37"/>
      <c r="O13" s="37"/>
      <c r="P13" s="38"/>
      <c r="Q13" s="32"/>
      <c r="R13" s="32"/>
      <c r="S13" s="32"/>
      <c r="T13" s="39"/>
    </row>
    <row r="14" spans="1:25" ht="15">
      <c r="A14" s="40"/>
      <c r="B14" s="41"/>
      <c r="C14" s="42"/>
      <c r="D14" s="40"/>
      <c r="E14" s="40"/>
      <c r="F14" s="40"/>
      <c r="G14" s="43">
        <f>F14*6%</f>
        <v>0</v>
      </c>
      <c r="H14" s="43"/>
      <c r="I14" s="44">
        <f t="shared" si="0"/>
        <v>0</v>
      </c>
      <c r="J14" s="44">
        <f t="shared" si="1"/>
        <v>0</v>
      </c>
      <c r="K14" s="44">
        <f t="shared" si="2"/>
        <v>0</v>
      </c>
      <c r="L14" s="45"/>
      <c r="M14" s="40"/>
      <c r="N14" s="43">
        <f t="shared" si="3"/>
        <v>0</v>
      </c>
      <c r="O14" s="43">
        <f t="shared" si="4"/>
        <v>0</v>
      </c>
      <c r="P14" s="46"/>
      <c r="Q14" s="40"/>
      <c r="R14" s="40"/>
      <c r="S14" s="40"/>
      <c r="T14" s="5"/>
    </row>
    <row r="15" spans="1:25" ht="15">
      <c r="A15" s="32"/>
      <c r="B15" s="33"/>
      <c r="C15" s="32"/>
      <c r="D15" s="33"/>
      <c r="E15" s="34"/>
      <c r="F15" s="32"/>
      <c r="G15" s="32"/>
      <c r="H15" s="32"/>
      <c r="I15" s="37"/>
      <c r="J15" s="37"/>
      <c r="K15" s="35"/>
      <c r="L15" s="35"/>
      <c r="M15" s="35"/>
      <c r="N15" s="36"/>
      <c r="O15" s="32"/>
      <c r="P15" s="37"/>
      <c r="Q15" s="37"/>
      <c r="R15" s="38"/>
      <c r="S15" s="32"/>
      <c r="T15" s="39"/>
    </row>
    <row r="16" spans="1:25" ht="15">
      <c r="A16" s="40"/>
      <c r="B16" s="41"/>
      <c r="C16" s="42"/>
      <c r="D16" s="40"/>
      <c r="E16" s="40"/>
      <c r="F16" s="40"/>
      <c r="G16" s="43">
        <f>F16*6%</f>
        <v>0</v>
      </c>
      <c r="H16" s="43"/>
      <c r="I16" s="44">
        <f t="shared" si="0"/>
        <v>0</v>
      </c>
      <c r="J16" s="44">
        <f t="shared" si="1"/>
        <v>0</v>
      </c>
      <c r="K16" s="44">
        <f t="shared" si="2"/>
        <v>0</v>
      </c>
      <c r="L16" s="45"/>
      <c r="M16" s="40"/>
      <c r="N16" s="43">
        <f t="shared" si="3"/>
        <v>0</v>
      </c>
      <c r="O16" s="43">
        <f t="shared" si="4"/>
        <v>0</v>
      </c>
      <c r="P16" s="46"/>
      <c r="Q16" s="40"/>
      <c r="R16" s="40"/>
      <c r="S16" s="40"/>
      <c r="T16" s="5"/>
    </row>
    <row r="17" spans="1:22" ht="15">
      <c r="A17" s="32"/>
      <c r="B17" s="33"/>
      <c r="C17" s="32"/>
      <c r="D17" s="33"/>
      <c r="E17" s="34"/>
      <c r="F17" s="32"/>
      <c r="G17" s="32"/>
      <c r="H17" s="32"/>
      <c r="I17" s="37"/>
      <c r="J17" s="37"/>
      <c r="K17" s="35"/>
      <c r="L17" s="35"/>
      <c r="M17" s="35"/>
      <c r="N17" s="36"/>
      <c r="O17" s="32"/>
      <c r="P17" s="37"/>
      <c r="Q17" s="37"/>
      <c r="R17" s="38"/>
      <c r="S17" s="32"/>
      <c r="T17" s="39"/>
      <c r="U17" s="6"/>
      <c r="V17" s="6"/>
    </row>
    <row r="18" spans="1:22" ht="15">
      <c r="A18" s="40"/>
      <c r="B18" s="41"/>
      <c r="C18" s="42"/>
      <c r="D18" s="40"/>
      <c r="E18" s="40"/>
      <c r="F18" s="40"/>
      <c r="G18" s="43">
        <f>F18*6%</f>
        <v>0</v>
      </c>
      <c r="H18" s="43"/>
      <c r="I18" s="44">
        <f t="shared" si="0"/>
        <v>0</v>
      </c>
      <c r="J18" s="44">
        <f t="shared" si="1"/>
        <v>0</v>
      </c>
      <c r="K18" s="44">
        <f t="shared" si="2"/>
        <v>0</v>
      </c>
      <c r="L18" s="45"/>
      <c r="M18" s="40"/>
      <c r="N18" s="43">
        <f t="shared" si="3"/>
        <v>0</v>
      </c>
      <c r="O18" s="43">
        <f t="shared" si="4"/>
        <v>0</v>
      </c>
      <c r="P18" s="46"/>
      <c r="Q18" s="40"/>
      <c r="R18" s="40"/>
      <c r="S18" s="40"/>
      <c r="T18" s="5"/>
    </row>
    <row r="19" spans="1:22" ht="15">
      <c r="A19" s="32"/>
      <c r="B19" s="33"/>
      <c r="C19" s="32"/>
      <c r="D19" s="33"/>
      <c r="E19" s="34"/>
      <c r="F19" s="32"/>
      <c r="G19" s="32"/>
      <c r="H19" s="32"/>
      <c r="I19" s="37"/>
      <c r="J19" s="37"/>
      <c r="K19" s="35"/>
      <c r="L19" s="35"/>
      <c r="M19" s="35"/>
      <c r="N19" s="36"/>
      <c r="O19" s="32"/>
      <c r="P19" s="37"/>
      <c r="Q19" s="37"/>
      <c r="R19" s="38"/>
      <c r="S19" s="32"/>
      <c r="T19" s="39"/>
      <c r="U19" s="6"/>
      <c r="V19" s="6"/>
    </row>
    <row r="20" spans="1:22" ht="15">
      <c r="A20" s="40"/>
      <c r="B20" s="41"/>
      <c r="C20" s="42"/>
      <c r="D20" s="40"/>
      <c r="E20" s="40"/>
      <c r="F20" s="40"/>
      <c r="G20" s="43">
        <f>F20*6%</f>
        <v>0</v>
      </c>
      <c r="H20" s="43"/>
      <c r="I20" s="44">
        <f t="shared" si="0"/>
        <v>0</v>
      </c>
      <c r="J20" s="44">
        <f t="shared" si="1"/>
        <v>0</v>
      </c>
      <c r="K20" s="44">
        <f t="shared" si="2"/>
        <v>0</v>
      </c>
      <c r="L20" s="45"/>
      <c r="M20" s="40"/>
      <c r="N20" s="43">
        <f t="shared" si="3"/>
        <v>0</v>
      </c>
      <c r="O20" s="43">
        <f t="shared" si="4"/>
        <v>0</v>
      </c>
      <c r="P20" s="46"/>
      <c r="Q20" s="40"/>
      <c r="R20" s="40"/>
      <c r="S20" s="40"/>
      <c r="T20" s="5"/>
    </row>
    <row r="21" spans="1:22" ht="15">
      <c r="A21" s="32"/>
      <c r="B21" s="33"/>
      <c r="C21" s="32"/>
      <c r="D21" s="33"/>
      <c r="E21" s="34"/>
      <c r="F21" s="32"/>
      <c r="G21" s="32"/>
      <c r="H21" s="32"/>
      <c r="I21" s="37"/>
      <c r="J21" s="37"/>
      <c r="K21" s="35"/>
      <c r="L21" s="35"/>
      <c r="M21" s="35"/>
      <c r="N21" s="36"/>
      <c r="O21" s="32"/>
      <c r="P21" s="37"/>
      <c r="Q21" s="37"/>
      <c r="R21" s="38"/>
      <c r="S21" s="32"/>
      <c r="T21" s="39"/>
      <c r="U21" s="6"/>
      <c r="V21" s="6"/>
    </row>
    <row r="22" spans="1:22" ht="15">
      <c r="A22" s="40"/>
      <c r="B22" s="41"/>
      <c r="C22" s="42"/>
      <c r="D22" s="40"/>
      <c r="E22" s="40"/>
      <c r="F22" s="40"/>
      <c r="G22" s="43">
        <f>F22*6%</f>
        <v>0</v>
      </c>
      <c r="H22" s="43"/>
      <c r="I22" s="44">
        <f t="shared" si="0"/>
        <v>0</v>
      </c>
      <c r="J22" s="44">
        <f t="shared" si="1"/>
        <v>0</v>
      </c>
      <c r="K22" s="44">
        <f t="shared" si="2"/>
        <v>0</v>
      </c>
      <c r="L22" s="45"/>
      <c r="M22" s="40"/>
      <c r="N22" s="43">
        <f t="shared" si="3"/>
        <v>0</v>
      </c>
      <c r="O22" s="43">
        <f t="shared" si="4"/>
        <v>0</v>
      </c>
      <c r="P22" s="46"/>
      <c r="Q22" s="40"/>
      <c r="R22" s="40"/>
      <c r="S22" s="40"/>
      <c r="T22" s="5"/>
    </row>
    <row r="23" spans="1:22" ht="15">
      <c r="A23" s="32"/>
      <c r="B23" s="33"/>
      <c r="C23" s="32"/>
      <c r="D23" s="33"/>
      <c r="E23" s="34"/>
      <c r="F23" s="32"/>
      <c r="G23" s="32"/>
      <c r="H23" s="32"/>
      <c r="I23" s="37"/>
      <c r="J23" s="37"/>
      <c r="K23" s="35"/>
      <c r="L23" s="35"/>
      <c r="M23" s="35"/>
      <c r="N23" s="36"/>
      <c r="O23" s="32"/>
      <c r="P23" s="37"/>
      <c r="Q23" s="37"/>
      <c r="R23" s="38"/>
      <c r="S23" s="32"/>
      <c r="T23" s="39"/>
      <c r="U23" s="6"/>
      <c r="V23" s="6"/>
    </row>
    <row r="24" spans="1:22" ht="15">
      <c r="A24" s="40"/>
      <c r="B24" s="41"/>
      <c r="C24" s="42"/>
      <c r="D24" s="40"/>
      <c r="E24" s="40"/>
      <c r="F24" s="40"/>
      <c r="G24" s="43">
        <f>F24*6%</f>
        <v>0</v>
      </c>
      <c r="H24" s="43"/>
      <c r="I24" s="44">
        <f t="shared" si="0"/>
        <v>0</v>
      </c>
      <c r="J24" s="44">
        <f t="shared" si="1"/>
        <v>0</v>
      </c>
      <c r="K24" s="44">
        <f t="shared" si="2"/>
        <v>0</v>
      </c>
      <c r="L24" s="45"/>
      <c r="M24" s="40"/>
      <c r="N24" s="43">
        <f t="shared" si="3"/>
        <v>0</v>
      </c>
      <c r="O24" s="43">
        <f t="shared" si="4"/>
        <v>0</v>
      </c>
      <c r="P24" s="46"/>
      <c r="Q24" s="40"/>
      <c r="R24" s="40"/>
      <c r="S24" s="40"/>
      <c r="T24" s="5"/>
    </row>
    <row r="25" spans="1:22" ht="15">
      <c r="A25" s="32"/>
      <c r="B25" s="33"/>
      <c r="C25" s="32"/>
      <c r="D25" s="33"/>
      <c r="E25" s="34"/>
      <c r="F25" s="32"/>
      <c r="G25" s="32"/>
      <c r="H25" s="32"/>
      <c r="I25" s="37"/>
      <c r="J25" s="37"/>
      <c r="K25" s="35"/>
      <c r="L25" s="35"/>
      <c r="M25" s="35"/>
      <c r="N25" s="36"/>
      <c r="O25" s="32"/>
      <c r="P25" s="37"/>
      <c r="Q25" s="37"/>
      <c r="R25" s="38"/>
      <c r="S25" s="32"/>
      <c r="T25" s="39"/>
      <c r="U25" s="6"/>
      <c r="V25" s="6"/>
    </row>
    <row r="26" spans="1:22" ht="15">
      <c r="A26" s="40"/>
      <c r="B26" s="41"/>
      <c r="C26" s="42"/>
      <c r="D26" s="40"/>
      <c r="E26" s="40"/>
      <c r="F26" s="40"/>
      <c r="G26" s="43">
        <f>F26*6%</f>
        <v>0</v>
      </c>
      <c r="H26" s="43"/>
      <c r="I26" s="44">
        <f t="shared" si="0"/>
        <v>0</v>
      </c>
      <c r="J26" s="44">
        <f t="shared" si="1"/>
        <v>0</v>
      </c>
      <c r="K26" s="44">
        <f t="shared" si="2"/>
        <v>0</v>
      </c>
      <c r="L26" s="45"/>
      <c r="M26" s="40"/>
      <c r="N26" s="43">
        <f t="shared" si="3"/>
        <v>0</v>
      </c>
      <c r="O26" s="43">
        <f t="shared" si="4"/>
        <v>0</v>
      </c>
      <c r="P26" s="46"/>
      <c r="Q26" s="40"/>
      <c r="R26" s="40"/>
      <c r="S26" s="40"/>
      <c r="T26" s="5"/>
    </row>
    <row r="27" spans="1:22" ht="15">
      <c r="A27" s="32"/>
      <c r="B27" s="33"/>
      <c r="C27" s="32"/>
      <c r="D27" s="33"/>
      <c r="E27" s="34"/>
      <c r="F27" s="32"/>
      <c r="G27" s="32"/>
      <c r="H27" s="32"/>
      <c r="I27" s="37"/>
      <c r="J27" s="37"/>
      <c r="K27" s="35"/>
      <c r="L27" s="35"/>
      <c r="M27" s="35"/>
      <c r="N27" s="36"/>
      <c r="O27" s="32"/>
      <c r="P27" s="37"/>
      <c r="Q27" s="37"/>
      <c r="R27" s="38"/>
      <c r="S27" s="32"/>
      <c r="T27" s="39"/>
      <c r="U27" s="6"/>
      <c r="V27" s="6"/>
    </row>
    <row r="28" spans="1:22" ht="15">
      <c r="A28" s="40"/>
      <c r="B28" s="41"/>
      <c r="C28" s="42"/>
      <c r="D28" s="40"/>
      <c r="E28" s="40"/>
      <c r="F28" s="40"/>
      <c r="G28" s="43">
        <f>F28*6%</f>
        <v>0</v>
      </c>
      <c r="H28" s="43"/>
      <c r="I28" s="44">
        <f t="shared" si="0"/>
        <v>0</v>
      </c>
      <c r="J28" s="44">
        <f t="shared" si="1"/>
        <v>0</v>
      </c>
      <c r="K28" s="44">
        <f t="shared" si="2"/>
        <v>0</v>
      </c>
      <c r="L28" s="45"/>
      <c r="M28" s="40"/>
      <c r="N28" s="43">
        <f t="shared" si="3"/>
        <v>0</v>
      </c>
      <c r="O28" s="43">
        <f t="shared" si="4"/>
        <v>0</v>
      </c>
      <c r="P28" s="46"/>
      <c r="Q28" s="40"/>
      <c r="R28" s="40"/>
      <c r="S28" s="40"/>
      <c r="T28" s="5"/>
    </row>
    <row r="29" spans="1:22" ht="15">
      <c r="A29" s="32"/>
      <c r="B29" s="33"/>
      <c r="C29" s="32"/>
      <c r="D29" s="33"/>
      <c r="E29" s="34"/>
      <c r="F29" s="32"/>
      <c r="G29" s="32"/>
      <c r="H29" s="32"/>
      <c r="I29" s="37"/>
      <c r="J29" s="37"/>
      <c r="K29" s="35"/>
      <c r="L29" s="35"/>
      <c r="M29" s="35"/>
      <c r="N29" s="36"/>
      <c r="O29" s="32"/>
      <c r="P29" s="37"/>
      <c r="Q29" s="37"/>
      <c r="R29" s="38"/>
      <c r="S29" s="32"/>
      <c r="T29" s="39"/>
      <c r="U29" s="6"/>
      <c r="V29" s="6"/>
    </row>
    <row r="30" spans="1:22" ht="15">
      <c r="A30" s="40"/>
      <c r="B30" s="41"/>
      <c r="C30" s="42"/>
      <c r="D30" s="40"/>
      <c r="E30" s="40"/>
      <c r="F30" s="40"/>
      <c r="G30" s="43">
        <f>F30*6%</f>
        <v>0</v>
      </c>
      <c r="H30" s="43"/>
      <c r="I30" s="44">
        <f t="shared" si="0"/>
        <v>0</v>
      </c>
      <c r="J30" s="44">
        <f t="shared" si="1"/>
        <v>0</v>
      </c>
      <c r="K30" s="44">
        <f t="shared" si="2"/>
        <v>0</v>
      </c>
      <c r="L30" s="45"/>
      <c r="M30" s="40"/>
      <c r="N30" s="43">
        <f t="shared" si="3"/>
        <v>0</v>
      </c>
      <c r="O30" s="43">
        <f t="shared" si="4"/>
        <v>0</v>
      </c>
      <c r="P30" s="46"/>
      <c r="Q30" s="40"/>
      <c r="R30" s="40"/>
      <c r="S30" s="40"/>
      <c r="T30" s="5"/>
    </row>
    <row r="31" spans="1:22" ht="15">
      <c r="A31" s="32"/>
      <c r="B31" s="33"/>
      <c r="C31" s="32"/>
      <c r="D31" s="33"/>
      <c r="E31" s="34"/>
      <c r="F31" s="32"/>
      <c r="G31" s="32"/>
      <c r="H31" s="32"/>
      <c r="I31" s="37"/>
      <c r="J31" s="37"/>
      <c r="K31" s="35"/>
      <c r="L31" s="35"/>
      <c r="M31" s="35"/>
      <c r="N31" s="36"/>
      <c r="O31" s="32"/>
      <c r="P31" s="37"/>
      <c r="Q31" s="37"/>
      <c r="R31" s="38"/>
      <c r="S31" s="32"/>
      <c r="T31" s="39"/>
      <c r="U31" s="6"/>
      <c r="V31" s="6"/>
    </row>
    <row r="32" spans="1:22" ht="15">
      <c r="A32" s="40"/>
      <c r="B32" s="41"/>
      <c r="C32" s="42"/>
      <c r="D32" s="40"/>
      <c r="E32" s="40"/>
      <c r="F32" s="40"/>
      <c r="G32" s="43">
        <f>F32*6%</f>
        <v>0</v>
      </c>
      <c r="H32" s="43"/>
      <c r="I32" s="44">
        <f t="shared" si="0"/>
        <v>0</v>
      </c>
      <c r="J32" s="44">
        <f t="shared" si="1"/>
        <v>0</v>
      </c>
      <c r="K32" s="44">
        <f t="shared" si="2"/>
        <v>0</v>
      </c>
      <c r="L32" s="45"/>
      <c r="M32" s="40"/>
      <c r="N32" s="43">
        <f t="shared" si="3"/>
        <v>0</v>
      </c>
      <c r="O32" s="43">
        <f t="shared" si="4"/>
        <v>0</v>
      </c>
      <c r="P32" s="46"/>
      <c r="Q32" s="40"/>
      <c r="R32" s="40"/>
      <c r="S32" s="40"/>
      <c r="T32" s="5"/>
    </row>
    <row r="33" spans="1:22" ht="15">
      <c r="A33" s="32"/>
      <c r="B33" s="33"/>
      <c r="C33" s="32"/>
      <c r="D33" s="33"/>
      <c r="E33" s="34"/>
      <c r="F33" s="32"/>
      <c r="G33" s="32"/>
      <c r="H33" s="32"/>
      <c r="I33" s="37"/>
      <c r="J33" s="37"/>
      <c r="K33" s="35"/>
      <c r="L33" s="35"/>
      <c r="M33" s="35"/>
      <c r="N33" s="36"/>
      <c r="O33" s="32"/>
      <c r="P33" s="37"/>
      <c r="Q33" s="37"/>
      <c r="R33" s="38"/>
      <c r="S33" s="32"/>
      <c r="T33" s="39"/>
      <c r="U33" s="6"/>
      <c r="V33" s="6"/>
    </row>
    <row r="34" spans="1:22" ht="15">
      <c r="A34" s="40"/>
      <c r="B34" s="41"/>
      <c r="C34" s="42"/>
      <c r="D34" s="40"/>
      <c r="E34" s="40"/>
      <c r="F34" s="40"/>
      <c r="G34" s="43">
        <f>F34*6%</f>
        <v>0</v>
      </c>
      <c r="H34" s="43"/>
      <c r="I34" s="44">
        <f t="shared" si="0"/>
        <v>0</v>
      </c>
      <c r="J34" s="44">
        <f t="shared" si="1"/>
        <v>0</v>
      </c>
      <c r="K34" s="44">
        <f t="shared" si="2"/>
        <v>0</v>
      </c>
      <c r="L34" s="45"/>
      <c r="M34" s="40"/>
      <c r="N34" s="43">
        <f t="shared" si="3"/>
        <v>0</v>
      </c>
      <c r="O34" s="43">
        <f t="shared" si="4"/>
        <v>0</v>
      </c>
      <c r="P34" s="46"/>
      <c r="Q34" s="40"/>
      <c r="R34" s="40"/>
      <c r="S34" s="40"/>
      <c r="T34" s="5"/>
    </row>
    <row r="35" spans="1:22" ht="15">
      <c r="A35" s="32"/>
      <c r="B35" s="33"/>
      <c r="C35" s="32"/>
      <c r="D35" s="33"/>
      <c r="E35" s="34"/>
      <c r="F35" s="32"/>
      <c r="G35" s="32"/>
      <c r="H35" s="32"/>
      <c r="I35" s="37"/>
      <c r="J35" s="37"/>
      <c r="K35" s="35"/>
      <c r="L35" s="35"/>
      <c r="M35" s="35"/>
      <c r="N35" s="36"/>
      <c r="O35" s="32"/>
      <c r="P35" s="37"/>
      <c r="Q35" s="37"/>
      <c r="R35" s="38"/>
      <c r="S35" s="32"/>
      <c r="T35" s="39"/>
      <c r="U35" s="6"/>
      <c r="V35" s="6"/>
    </row>
    <row r="36" spans="1:22" ht="15">
      <c r="A36" s="50"/>
      <c r="B36" s="51"/>
      <c r="C36" s="52"/>
      <c r="D36" s="50"/>
      <c r="E36" s="50"/>
      <c r="F36" s="50"/>
      <c r="G36" s="43">
        <f>F36*6%</f>
        <v>0</v>
      </c>
      <c r="H36" s="53"/>
      <c r="I36" s="78">
        <f t="shared" si="0"/>
        <v>0</v>
      </c>
      <c r="J36" s="54">
        <f t="shared" si="1"/>
        <v>0</v>
      </c>
      <c r="K36" s="54">
        <f t="shared" si="2"/>
        <v>0</v>
      </c>
      <c r="L36" s="55"/>
      <c r="M36" s="50"/>
      <c r="N36" s="53">
        <f t="shared" si="3"/>
        <v>0</v>
      </c>
      <c r="O36" s="53">
        <f t="shared" si="4"/>
        <v>0</v>
      </c>
      <c r="P36" s="56"/>
      <c r="Q36" s="50"/>
      <c r="R36" s="50"/>
      <c r="S36" s="50"/>
      <c r="T36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225" priority="26" operator="containsText" text="SIN FACTURA ">
      <formula>NOT(ISERROR(SEARCH("SIN FACTURA ",A2)))</formula>
    </cfRule>
  </conditionalFormatting>
  <conditionalFormatting sqref="J36:T36 J34:T34 J32:T32 J30:T30 J28:T28 J26:T26 J24:T24 J22:T22 J20:T20 J18:T18 J16:T16 J6:T14 A6:H14 A16:H16 A18:H18 A20:H20 A22:H22 A24:H24 A26:H26 A28:H28 A30:H30 A32:H32 A34:H34 A36:H36 J4:T4 I4:I36 A4:H4">
    <cfRule type="containsText" dxfId="3224" priority="25" operator="containsText" text="SIN FACTURA">
      <formula>NOT(ISERROR(SEARCH("SIN FACTURA",A4)))</formula>
    </cfRule>
  </conditionalFormatting>
  <conditionalFormatting sqref="C5:H5 J5:V5">
    <cfRule type="containsText" dxfId="3223" priority="24" operator="containsText" text="SIN FACTURA">
      <formula>NOT(ISERROR(SEARCH("SIN FACTURA",C5)))</formula>
    </cfRule>
  </conditionalFormatting>
  <conditionalFormatting sqref="C15:H15 J15:V15">
    <cfRule type="containsText" dxfId="3222" priority="23" operator="containsText" text="SIN FACTURA">
      <formula>NOT(ISERROR(SEARCH("SIN FACTURA",C15)))</formula>
    </cfRule>
  </conditionalFormatting>
  <conditionalFormatting sqref="C17:H17 J17:V17">
    <cfRule type="containsText" dxfId="3221" priority="22" operator="containsText" text="SIN FACTURA">
      <formula>NOT(ISERROR(SEARCH("SIN FACTURA",C17)))</formula>
    </cfRule>
  </conditionalFormatting>
  <conditionalFormatting sqref="C19:H19 J19:V19">
    <cfRule type="containsText" dxfId="3220" priority="21" operator="containsText" text="SIN FACTURA">
      <formula>NOT(ISERROR(SEARCH("SIN FACTURA",C19)))</formula>
    </cfRule>
  </conditionalFormatting>
  <conditionalFormatting sqref="C21:H21 J21:V21">
    <cfRule type="containsText" dxfId="3219" priority="20" operator="containsText" text="SIN FACTURA">
      <formula>NOT(ISERROR(SEARCH("SIN FACTURA",C21)))</formula>
    </cfRule>
  </conditionalFormatting>
  <conditionalFormatting sqref="C23:H23 J23:V23">
    <cfRule type="containsText" dxfId="3218" priority="19" operator="containsText" text="SIN FACTURA">
      <formula>NOT(ISERROR(SEARCH("SIN FACTURA",C23)))</formula>
    </cfRule>
  </conditionalFormatting>
  <conditionalFormatting sqref="C25:H25 J25:V25">
    <cfRule type="containsText" dxfId="3217" priority="18" operator="containsText" text="SIN FACTURA">
      <formula>NOT(ISERROR(SEARCH("SIN FACTURA",C25)))</formula>
    </cfRule>
  </conditionalFormatting>
  <conditionalFormatting sqref="C27:H27 J27:V27">
    <cfRule type="containsText" dxfId="3216" priority="17" operator="containsText" text="SIN FACTURA">
      <formula>NOT(ISERROR(SEARCH("SIN FACTURA",C27)))</formula>
    </cfRule>
  </conditionalFormatting>
  <conditionalFormatting sqref="C29:H29 J29:V29">
    <cfRule type="containsText" dxfId="3215" priority="16" operator="containsText" text="SIN FACTURA">
      <formula>NOT(ISERROR(SEARCH("SIN FACTURA",C29)))</formula>
    </cfRule>
  </conditionalFormatting>
  <conditionalFormatting sqref="C31:H31 J31:V31">
    <cfRule type="containsText" dxfId="3214" priority="15" operator="containsText" text="SIN FACTURA">
      <formula>NOT(ISERROR(SEARCH("SIN FACTURA",C31)))</formula>
    </cfRule>
  </conditionalFormatting>
  <conditionalFormatting sqref="C33:H33 J33:V33">
    <cfRule type="containsText" dxfId="3213" priority="14" operator="containsText" text="SIN FACTURA">
      <formula>NOT(ISERROR(SEARCH("SIN FACTURA",C33)))</formula>
    </cfRule>
  </conditionalFormatting>
  <conditionalFormatting sqref="C35:H35 J35:V35">
    <cfRule type="containsText" dxfId="3212" priority="13" operator="containsText" text="SIN FACTURA">
      <formula>NOT(ISERROR(SEARCH("SIN FACTURA",C35)))</formula>
    </cfRule>
  </conditionalFormatting>
  <conditionalFormatting sqref="A5:B5">
    <cfRule type="containsText" dxfId="3211" priority="12" operator="containsText" text="SIN FACTURA">
      <formula>NOT(ISERROR(SEARCH("SIN FACTURA",A5)))</formula>
    </cfRule>
  </conditionalFormatting>
  <conditionalFormatting sqref="A15:B15">
    <cfRule type="containsText" dxfId="3210" priority="11" operator="containsText" text="SIN FACTURA">
      <formula>NOT(ISERROR(SEARCH("SIN FACTURA",A15)))</formula>
    </cfRule>
  </conditionalFormatting>
  <conditionalFormatting sqref="A17:B17">
    <cfRule type="containsText" dxfId="3209" priority="10" operator="containsText" text="SIN FACTURA">
      <formula>NOT(ISERROR(SEARCH("SIN FACTURA",A17)))</formula>
    </cfRule>
  </conditionalFormatting>
  <conditionalFormatting sqref="A19:B19">
    <cfRule type="containsText" dxfId="3208" priority="9" operator="containsText" text="SIN FACTURA">
      <formula>NOT(ISERROR(SEARCH("SIN FACTURA",A19)))</formula>
    </cfRule>
  </conditionalFormatting>
  <conditionalFormatting sqref="A21:B21">
    <cfRule type="containsText" dxfId="3207" priority="8" operator="containsText" text="SIN FACTURA">
      <formula>NOT(ISERROR(SEARCH("SIN FACTURA",A21)))</formula>
    </cfRule>
  </conditionalFormatting>
  <conditionalFormatting sqref="A23:B23">
    <cfRule type="containsText" dxfId="3206" priority="7" operator="containsText" text="SIN FACTURA">
      <formula>NOT(ISERROR(SEARCH("SIN FACTURA",A23)))</formula>
    </cfRule>
  </conditionalFormatting>
  <conditionalFormatting sqref="A35:B35">
    <cfRule type="containsText" dxfId="3205" priority="1" operator="containsText" text="SIN FACTURA">
      <formula>NOT(ISERROR(SEARCH("SIN FACTURA",A35)))</formula>
    </cfRule>
  </conditionalFormatting>
  <conditionalFormatting sqref="A25:B25">
    <cfRule type="containsText" dxfId="3204" priority="6" operator="containsText" text="SIN FACTURA">
      <formula>NOT(ISERROR(SEARCH("SIN FACTURA",A25)))</formula>
    </cfRule>
  </conditionalFormatting>
  <conditionalFormatting sqref="A27:B27">
    <cfRule type="containsText" dxfId="3203" priority="5" operator="containsText" text="SIN FACTURA">
      <formula>NOT(ISERROR(SEARCH("SIN FACTURA",A27)))</formula>
    </cfRule>
  </conditionalFormatting>
  <conditionalFormatting sqref="A29:B29">
    <cfRule type="containsText" dxfId="3202" priority="4" operator="containsText" text="SIN FACTURA">
      <formula>NOT(ISERROR(SEARCH("SIN FACTURA",A29)))</formula>
    </cfRule>
  </conditionalFormatting>
  <conditionalFormatting sqref="A31:B31">
    <cfRule type="containsText" dxfId="3201" priority="3" operator="containsText" text="SIN FACTURA">
      <formula>NOT(ISERROR(SEARCH("SIN FACTURA",A31)))</formula>
    </cfRule>
  </conditionalFormatting>
  <conditionalFormatting sqref="A33:B33">
    <cfRule type="containsText" dxfId="3200" priority="2" operator="containsText" text="SIN FACTURA">
      <formula>NOT(ISERROR(SEARCH("SIN FACTURA",A33)))</formula>
    </cfRule>
  </conditionalFormatting>
  <pageMargins left="0.75" right="0.75" top="1" bottom="1" header="0.5" footer="0.5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>
  <sheetPr codeName="Hoja113"/>
  <dimension ref="A1:Y45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B1" sqref="B1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2" t="s">
        <v>56</v>
      </c>
      <c r="B1" s="18" t="s">
        <v>60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>F5-G5-H5</f>
        <v>0</v>
      </c>
      <c r="J5" s="44">
        <f t="shared" ref="J5:J45" si="0">S5+T5</f>
        <v>0</v>
      </c>
      <c r="K5" s="44">
        <f t="shared" ref="K5:K45" si="1">I5-J5</f>
        <v>0</v>
      </c>
      <c r="L5" s="45"/>
      <c r="M5" s="40"/>
      <c r="N5" s="43">
        <f t="shared" ref="N5:N45" si="2">I5-J5-M5-R5</f>
        <v>0</v>
      </c>
      <c r="O5" s="43">
        <f t="shared" ref="O5:O45" si="3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ref="I7:I45" si="4">F7-G7-H7</f>
        <v>0</v>
      </c>
      <c r="J7" s="44">
        <f t="shared" si="0"/>
        <v>0</v>
      </c>
      <c r="K7" s="44">
        <f t="shared" si="1"/>
        <v>0</v>
      </c>
      <c r="L7" s="45"/>
      <c r="M7" s="40"/>
      <c r="N7" s="43">
        <f t="shared" si="2"/>
        <v>0</v>
      </c>
      <c r="O7" s="43">
        <f t="shared" si="3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4"/>
        <v>0</v>
      </c>
      <c r="J9" s="44">
        <f t="shared" si="0"/>
        <v>0</v>
      </c>
      <c r="K9" s="44">
        <f t="shared" si="1"/>
        <v>0</v>
      </c>
      <c r="L9" s="45"/>
      <c r="M9" s="40"/>
      <c r="N9" s="43">
        <f t="shared" si="2"/>
        <v>0</v>
      </c>
      <c r="O9" s="43">
        <f t="shared" si="3"/>
        <v>0</v>
      </c>
      <c r="P9" s="46"/>
      <c r="Q9" s="40"/>
      <c r="R9" s="43"/>
      <c r="S9" s="43"/>
      <c r="T9" s="49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4"/>
        <v>0</v>
      </c>
      <c r="J11" s="44">
        <f>S11+T11</f>
        <v>0</v>
      </c>
      <c r="K11" s="44">
        <f>I11-J11</f>
        <v>0</v>
      </c>
      <c r="L11" s="45"/>
      <c r="M11" s="40"/>
      <c r="N11" s="43">
        <f t="shared" si="2"/>
        <v>0</v>
      </c>
      <c r="O11" s="43">
        <f t="shared" si="3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4"/>
        <v>0</v>
      </c>
      <c r="J13" s="44">
        <f t="shared" si="0"/>
        <v>0</v>
      </c>
      <c r="K13" s="44">
        <f t="shared" si="1"/>
        <v>0</v>
      </c>
      <c r="L13" s="45"/>
      <c r="M13" s="40"/>
      <c r="N13" s="43">
        <f t="shared" si="2"/>
        <v>0</v>
      </c>
      <c r="O13" s="43">
        <f t="shared" si="3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4"/>
        <v>0</v>
      </c>
      <c r="J15" s="44">
        <f t="shared" si="0"/>
        <v>0</v>
      </c>
      <c r="K15" s="44">
        <f t="shared" si="1"/>
        <v>0</v>
      </c>
      <c r="L15" s="45"/>
      <c r="M15" s="40"/>
      <c r="N15" s="43">
        <f t="shared" si="2"/>
        <v>0</v>
      </c>
      <c r="O15" s="43">
        <f t="shared" si="3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4"/>
        <v>0</v>
      </c>
      <c r="J17" s="44">
        <f t="shared" si="0"/>
        <v>0</v>
      </c>
      <c r="K17" s="44">
        <f t="shared" si="1"/>
        <v>0</v>
      </c>
      <c r="L17" s="45"/>
      <c r="M17" s="40"/>
      <c r="N17" s="43">
        <f t="shared" si="2"/>
        <v>0</v>
      </c>
      <c r="O17" s="43">
        <f t="shared" si="3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4"/>
        <v>0</v>
      </c>
      <c r="J19" s="44">
        <f>S19+T19</f>
        <v>0</v>
      </c>
      <c r="K19" s="44">
        <f t="shared" si="1"/>
        <v>0</v>
      </c>
      <c r="L19" s="45"/>
      <c r="M19" s="40"/>
      <c r="N19" s="43">
        <f>I19-J19-M19-R19</f>
        <v>0</v>
      </c>
      <c r="O19" s="43">
        <f>R19+S19+T19</f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4"/>
        <v>0</v>
      </c>
      <c r="J21" s="44">
        <f t="shared" si="0"/>
        <v>0</v>
      </c>
      <c r="K21" s="44">
        <f t="shared" si="1"/>
        <v>0</v>
      </c>
      <c r="L21" s="45"/>
      <c r="M21" s="40"/>
      <c r="N21" s="43">
        <f t="shared" si="2"/>
        <v>0</v>
      </c>
      <c r="O21" s="43">
        <f t="shared" si="3"/>
        <v>0</v>
      </c>
      <c r="P21" s="46"/>
      <c r="Q21" s="40"/>
      <c r="R21" s="47"/>
      <c r="S21" s="47"/>
      <c r="T21" s="48"/>
    </row>
    <row r="22" spans="1:22" ht="15">
      <c r="A22" s="32"/>
      <c r="B22" s="33"/>
      <c r="C22" s="34"/>
      <c r="D22" s="32"/>
      <c r="E22" s="32"/>
      <c r="F22" s="32"/>
      <c r="G22" s="37"/>
      <c r="H22" s="37"/>
      <c r="I22" s="37"/>
      <c r="J22" s="35"/>
      <c r="K22" s="35"/>
      <c r="L22" s="36"/>
      <c r="M22" s="32"/>
      <c r="N22" s="37"/>
      <c r="O22" s="37"/>
      <c r="P22" s="38"/>
      <c r="Q22" s="32"/>
      <c r="R22" s="32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4"/>
        <v>0</v>
      </c>
      <c r="J23" s="44">
        <f t="shared" si="0"/>
        <v>0</v>
      </c>
      <c r="K23" s="44">
        <f t="shared" si="1"/>
        <v>0</v>
      </c>
      <c r="L23" s="45"/>
      <c r="M23" s="40"/>
      <c r="N23" s="43">
        <f t="shared" si="2"/>
        <v>0</v>
      </c>
      <c r="O23" s="43">
        <f t="shared" si="3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4"/>
        <v>0</v>
      </c>
      <c r="J25" s="44">
        <f t="shared" si="0"/>
        <v>0</v>
      </c>
      <c r="K25" s="44">
        <f t="shared" si="1"/>
        <v>0</v>
      </c>
      <c r="L25" s="45"/>
      <c r="M25" s="40"/>
      <c r="N25" s="43">
        <f t="shared" si="2"/>
        <v>0</v>
      </c>
      <c r="O25" s="43">
        <f t="shared" si="3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4"/>
        <v>0</v>
      </c>
      <c r="J27" s="44">
        <f t="shared" si="0"/>
        <v>0</v>
      </c>
      <c r="K27" s="44">
        <f t="shared" si="1"/>
        <v>0</v>
      </c>
      <c r="L27" s="45"/>
      <c r="M27" s="40"/>
      <c r="N27" s="43">
        <f t="shared" si="2"/>
        <v>0</v>
      </c>
      <c r="O27" s="43">
        <f t="shared" si="3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4"/>
        <v>0</v>
      </c>
      <c r="J29" s="44">
        <f t="shared" si="0"/>
        <v>0</v>
      </c>
      <c r="K29" s="44">
        <f t="shared" si="1"/>
        <v>0</v>
      </c>
      <c r="L29" s="45"/>
      <c r="M29" s="40"/>
      <c r="N29" s="43">
        <f t="shared" si="2"/>
        <v>0</v>
      </c>
      <c r="O29" s="43">
        <f t="shared" si="3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4"/>
        <v>0</v>
      </c>
      <c r="J31" s="44">
        <f t="shared" si="0"/>
        <v>0</v>
      </c>
      <c r="K31" s="44">
        <f t="shared" si="1"/>
        <v>0</v>
      </c>
      <c r="L31" s="45"/>
      <c r="M31" s="40"/>
      <c r="N31" s="43">
        <f t="shared" si="2"/>
        <v>0</v>
      </c>
      <c r="O31" s="43">
        <f t="shared" si="3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4"/>
        <v>0</v>
      </c>
      <c r="J33" s="44">
        <f t="shared" si="0"/>
        <v>0</v>
      </c>
      <c r="K33" s="44">
        <f t="shared" si="1"/>
        <v>0</v>
      </c>
      <c r="L33" s="45"/>
      <c r="M33" s="40"/>
      <c r="N33" s="43">
        <f t="shared" si="2"/>
        <v>0</v>
      </c>
      <c r="O33" s="43">
        <f t="shared" si="3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4"/>
        <v>0</v>
      </c>
      <c r="J35" s="44">
        <f t="shared" si="0"/>
        <v>0</v>
      </c>
      <c r="K35" s="44">
        <f t="shared" si="1"/>
        <v>0</v>
      </c>
      <c r="L35" s="45"/>
      <c r="M35" s="40"/>
      <c r="N35" s="43">
        <f t="shared" si="2"/>
        <v>0</v>
      </c>
      <c r="O35" s="43">
        <f t="shared" si="3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4"/>
        <v>0</v>
      </c>
      <c r="J37" s="44">
        <f t="shared" si="0"/>
        <v>0</v>
      </c>
      <c r="K37" s="44">
        <f t="shared" si="1"/>
        <v>0</v>
      </c>
      <c r="L37" s="45"/>
      <c r="M37" s="40"/>
      <c r="N37" s="43">
        <f t="shared" si="2"/>
        <v>0</v>
      </c>
      <c r="O37" s="43">
        <f t="shared" si="3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4"/>
        <v>0</v>
      </c>
      <c r="J39" s="44">
        <f t="shared" si="0"/>
        <v>0</v>
      </c>
      <c r="K39" s="44">
        <f t="shared" si="1"/>
        <v>0</v>
      </c>
      <c r="L39" s="45"/>
      <c r="M39" s="40"/>
      <c r="N39" s="43">
        <f t="shared" si="2"/>
        <v>0</v>
      </c>
      <c r="O39" s="43">
        <f t="shared" si="3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4"/>
        <v>0</v>
      </c>
      <c r="J41" s="44">
        <f t="shared" si="0"/>
        <v>0</v>
      </c>
      <c r="K41" s="44">
        <f t="shared" si="1"/>
        <v>0</v>
      </c>
      <c r="L41" s="45"/>
      <c r="M41" s="40"/>
      <c r="N41" s="43">
        <f t="shared" si="2"/>
        <v>0</v>
      </c>
      <c r="O41" s="43">
        <f t="shared" si="3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40"/>
      <c r="B43" s="41"/>
      <c r="C43" s="42"/>
      <c r="D43" s="40"/>
      <c r="E43" s="40"/>
      <c r="F43" s="40"/>
      <c r="G43" s="43">
        <f>F43*6%</f>
        <v>0</v>
      </c>
      <c r="H43" s="43"/>
      <c r="I43" s="44">
        <f t="shared" si="4"/>
        <v>0</v>
      </c>
      <c r="J43" s="44">
        <f t="shared" si="0"/>
        <v>0</v>
      </c>
      <c r="K43" s="44">
        <f t="shared" si="1"/>
        <v>0</v>
      </c>
      <c r="L43" s="45"/>
      <c r="M43" s="40"/>
      <c r="N43" s="43">
        <f t="shared" si="2"/>
        <v>0</v>
      </c>
      <c r="O43" s="43">
        <f t="shared" si="3"/>
        <v>0</v>
      </c>
      <c r="P43" s="46"/>
      <c r="Q43" s="40"/>
      <c r="R43" s="40"/>
      <c r="S43" s="40"/>
      <c r="T43" s="5"/>
    </row>
    <row r="44" spans="1:22" ht="15">
      <c r="A44" s="32"/>
      <c r="B44" s="33"/>
      <c r="C44" s="32"/>
      <c r="D44" s="33"/>
      <c r="E44" s="34"/>
      <c r="F44" s="32"/>
      <c r="G44" s="32"/>
      <c r="H44" s="32"/>
      <c r="I44" s="37"/>
      <c r="J44" s="37"/>
      <c r="K44" s="35"/>
      <c r="L44" s="35"/>
      <c r="M44" s="35"/>
      <c r="N44" s="36"/>
      <c r="O44" s="32"/>
      <c r="P44" s="37"/>
      <c r="Q44" s="37"/>
      <c r="R44" s="38"/>
      <c r="S44" s="32"/>
      <c r="T44" s="39"/>
      <c r="U44" s="6"/>
      <c r="V44" s="6"/>
    </row>
    <row r="45" spans="1:22" ht="15">
      <c r="A45" s="50"/>
      <c r="B45" s="51"/>
      <c r="C45" s="52"/>
      <c r="D45" s="50"/>
      <c r="E45" s="50"/>
      <c r="F45" s="50"/>
      <c r="G45" s="43">
        <f>F45*6%</f>
        <v>0</v>
      </c>
      <c r="H45" s="53"/>
      <c r="I45" s="44">
        <f t="shared" si="4"/>
        <v>0</v>
      </c>
      <c r="J45" s="54">
        <f t="shared" si="0"/>
        <v>0</v>
      </c>
      <c r="K45" s="54">
        <f t="shared" si="1"/>
        <v>0</v>
      </c>
      <c r="L45" s="55"/>
      <c r="M45" s="50"/>
      <c r="N45" s="53">
        <f t="shared" si="2"/>
        <v>0</v>
      </c>
      <c r="O45" s="53">
        <f t="shared" si="3"/>
        <v>0</v>
      </c>
      <c r="P45" s="56"/>
      <c r="Q45" s="50"/>
      <c r="R45" s="50"/>
      <c r="S45" s="50"/>
      <c r="T45" s="5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3199" priority="27" operator="containsText" text="SIN FACTURA ">
      <formula>NOT(ISERROR(SEARCH("SIN FACTURA ",A2)))</formula>
    </cfRule>
  </conditionalFormatting>
  <conditionalFormatting sqref="A44:B44">
    <cfRule type="containsText" dxfId="3198" priority="1" operator="containsText" text="SIN FACTURA">
      <formula>NOT(ISERROR(SEARCH("SIN FACTURA",A44)))</formula>
    </cfRule>
  </conditionalFormatting>
  <conditionalFormatting sqref="A4:T5 J45:T45 J43:T43 J41:T41 J39:T39 J37:T37 J35:T35 J33:T33 J31:T31 J29:T29 J27:T27 J25:T25 J15:T23 J6:T13 I6:I45 A6:H13 A15:H23 A25:H25 A27:H27 A29:H29 A31:H31 A33:H33 A35:H35 A37:H37 A39:H39 A41:H41 A43:H43 A45:H45">
    <cfRule type="containsText" dxfId="3197" priority="25" operator="containsText" text="SIN FACTURA">
      <formula>NOT(ISERROR(SEARCH("SIN FACTURA",A4)))</formula>
    </cfRule>
  </conditionalFormatting>
  <conditionalFormatting sqref="C14:H14 J14:V14">
    <cfRule type="containsText" dxfId="3196" priority="24" operator="containsText" text="SIN FACTURA">
      <formula>NOT(ISERROR(SEARCH("SIN FACTURA",C14)))</formula>
    </cfRule>
  </conditionalFormatting>
  <conditionalFormatting sqref="C24:H24 J24:V24">
    <cfRule type="containsText" dxfId="3195" priority="23" operator="containsText" text="SIN FACTURA">
      <formula>NOT(ISERROR(SEARCH("SIN FACTURA",C24)))</formula>
    </cfRule>
  </conditionalFormatting>
  <conditionalFormatting sqref="C26:H26 J26:V26">
    <cfRule type="containsText" dxfId="3194" priority="22" operator="containsText" text="SIN FACTURA">
      <formula>NOT(ISERROR(SEARCH("SIN FACTURA",C26)))</formula>
    </cfRule>
  </conditionalFormatting>
  <conditionalFormatting sqref="C28:H28 J28:V28">
    <cfRule type="containsText" dxfId="3193" priority="21" operator="containsText" text="SIN FACTURA">
      <formula>NOT(ISERROR(SEARCH("SIN FACTURA",C28)))</formula>
    </cfRule>
  </conditionalFormatting>
  <conditionalFormatting sqref="C30:H30 J30:V30">
    <cfRule type="containsText" dxfId="3192" priority="20" operator="containsText" text="SIN FACTURA">
      <formula>NOT(ISERROR(SEARCH("SIN FACTURA",C30)))</formula>
    </cfRule>
  </conditionalFormatting>
  <conditionalFormatting sqref="C32:H32 J32:V32">
    <cfRule type="containsText" dxfId="3191" priority="19" operator="containsText" text="SIN FACTURA">
      <formula>NOT(ISERROR(SEARCH("SIN FACTURA",C32)))</formula>
    </cfRule>
  </conditionalFormatting>
  <conditionalFormatting sqref="C34:H34 J34:V34">
    <cfRule type="containsText" dxfId="3190" priority="18" operator="containsText" text="SIN FACTURA">
      <formula>NOT(ISERROR(SEARCH("SIN FACTURA",C34)))</formula>
    </cfRule>
  </conditionalFormatting>
  <conditionalFormatting sqref="C36:H36 J36:V36">
    <cfRule type="containsText" dxfId="3189" priority="17" operator="containsText" text="SIN FACTURA">
      <formula>NOT(ISERROR(SEARCH("SIN FACTURA",C36)))</formula>
    </cfRule>
  </conditionalFormatting>
  <conditionalFormatting sqref="C38:H38 J38:V38">
    <cfRule type="containsText" dxfId="3188" priority="16" operator="containsText" text="SIN FACTURA">
      <formula>NOT(ISERROR(SEARCH("SIN FACTURA",C38)))</formula>
    </cfRule>
  </conditionalFormatting>
  <conditionalFormatting sqref="C40:H40 J40:V40">
    <cfRule type="containsText" dxfId="3187" priority="15" operator="containsText" text="SIN FACTURA">
      <formula>NOT(ISERROR(SEARCH("SIN FACTURA",C40)))</formula>
    </cfRule>
  </conditionalFormatting>
  <conditionalFormatting sqref="C42:H42 J42:V42">
    <cfRule type="containsText" dxfId="3186" priority="14" operator="containsText" text="SIN FACTURA">
      <formula>NOT(ISERROR(SEARCH("SIN FACTURA",C42)))</formula>
    </cfRule>
  </conditionalFormatting>
  <conditionalFormatting sqref="C44:H44 J44:V44">
    <cfRule type="containsText" dxfId="3185" priority="13" operator="containsText" text="SIN FACTURA">
      <formula>NOT(ISERROR(SEARCH("SIN FACTURA",C44)))</formula>
    </cfRule>
  </conditionalFormatting>
  <conditionalFormatting sqref="A14:B14">
    <cfRule type="containsText" dxfId="3184" priority="12" operator="containsText" text="SIN FACTURA">
      <formula>NOT(ISERROR(SEARCH("SIN FACTURA",A14)))</formula>
    </cfRule>
  </conditionalFormatting>
  <conditionalFormatting sqref="A24:B24">
    <cfRule type="containsText" dxfId="3183" priority="11" operator="containsText" text="SIN FACTURA">
      <formula>NOT(ISERROR(SEARCH("SIN FACTURA",A24)))</formula>
    </cfRule>
  </conditionalFormatting>
  <conditionalFormatting sqref="A26:B26">
    <cfRule type="containsText" dxfId="3182" priority="10" operator="containsText" text="SIN FACTURA">
      <formula>NOT(ISERROR(SEARCH("SIN FACTURA",A26)))</formula>
    </cfRule>
  </conditionalFormatting>
  <conditionalFormatting sqref="A28:B28">
    <cfRule type="containsText" dxfId="3181" priority="9" operator="containsText" text="SIN FACTURA">
      <formula>NOT(ISERROR(SEARCH("SIN FACTURA",A28)))</formula>
    </cfRule>
  </conditionalFormatting>
  <conditionalFormatting sqref="A30:B30">
    <cfRule type="containsText" dxfId="3180" priority="8" operator="containsText" text="SIN FACTURA">
      <formula>NOT(ISERROR(SEARCH("SIN FACTURA",A30)))</formula>
    </cfRule>
  </conditionalFormatting>
  <conditionalFormatting sqref="A32:B32">
    <cfRule type="containsText" dxfId="3179" priority="7" operator="containsText" text="SIN FACTURA">
      <formula>NOT(ISERROR(SEARCH("SIN FACTURA",A32)))</formula>
    </cfRule>
  </conditionalFormatting>
  <conditionalFormatting sqref="A34:B34">
    <cfRule type="containsText" dxfId="3178" priority="6" operator="containsText" text="SIN FACTURA">
      <formula>NOT(ISERROR(SEARCH("SIN FACTURA",A34)))</formula>
    </cfRule>
  </conditionalFormatting>
  <conditionalFormatting sqref="A36:B36">
    <cfRule type="containsText" dxfId="3177" priority="5" operator="containsText" text="SIN FACTURA">
      <formula>NOT(ISERROR(SEARCH("SIN FACTURA",A36)))</formula>
    </cfRule>
  </conditionalFormatting>
  <conditionalFormatting sqref="A38:B38">
    <cfRule type="containsText" dxfId="3176" priority="4" operator="containsText" text="SIN FACTURA">
      <formula>NOT(ISERROR(SEARCH("SIN FACTURA",A38)))</formula>
    </cfRule>
  </conditionalFormatting>
  <conditionalFormatting sqref="A40:B40">
    <cfRule type="containsText" dxfId="3175" priority="3" operator="containsText" text="SIN FACTURA">
      <formula>NOT(ISERROR(SEARCH("SIN FACTURA",A40)))</formula>
    </cfRule>
  </conditionalFormatting>
  <conditionalFormatting sqref="A42:B42">
    <cfRule type="containsText" dxfId="3174" priority="2" operator="containsText" text="SIN FACTURA">
      <formula>NOT(ISERROR(SEARCH("SIN FACTURA",A42)))</formula>
    </cfRule>
  </conditionalFormatting>
  <pageMargins left="0.75" right="0.75" top="1" bottom="1" header="0.5" footer="0.5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>
  <dimension ref="A1:Y39"/>
  <sheetViews>
    <sheetView zoomScale="125" zoomScaleNormal="125" zoomScalePageLayoutView="125" workbookViewId="0">
      <pane ySplit="3" topLeftCell="A4" activePane="bottomLeft" state="frozen"/>
      <selection activeCell="D26" sqref="D26"/>
      <selection pane="bottomLeft" activeCell="A11" sqref="A4:XFD11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263</v>
      </c>
      <c r="B1" s="18"/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7"/>
      <c r="H4" s="37"/>
      <c r="I4" s="37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9" si="0">F5-G5-H5</f>
        <v>0</v>
      </c>
      <c r="J5" s="44">
        <f>S5+T5</f>
        <v>0</v>
      </c>
      <c r="K5" s="44">
        <f>I5-J5</f>
        <v>0</v>
      </c>
      <c r="L5" s="45"/>
      <c r="M5" s="40"/>
      <c r="N5" s="43">
        <f t="shared" ref="N5:N39" si="1">I5-J5-M5-R5</f>
        <v>0</v>
      </c>
      <c r="O5" s="43">
        <f t="shared" ref="O5:O39" si="2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ref="J7:J39" si="3">S7+T7</f>
        <v>0</v>
      </c>
      <c r="K7" s="44">
        <f t="shared" ref="K7:K39" si="4">I7-J7</f>
        <v>0</v>
      </c>
      <c r="L7" s="45"/>
      <c r="M7" s="40"/>
      <c r="N7" s="43">
        <f t="shared" si="1"/>
        <v>0</v>
      </c>
      <c r="O7" s="43">
        <f t="shared" si="2"/>
        <v>0</v>
      </c>
      <c r="P7" s="46"/>
      <c r="Q7" s="40"/>
      <c r="R7" s="47"/>
      <c r="S7" s="47"/>
      <c r="T7" s="48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3"/>
        <v>0</v>
      </c>
      <c r="K9" s="44">
        <f t="shared" si="4"/>
        <v>0</v>
      </c>
      <c r="L9" s="45"/>
      <c r="M9" s="40"/>
      <c r="N9" s="43">
        <f t="shared" si="1"/>
        <v>0</v>
      </c>
      <c r="O9" s="43">
        <f t="shared" si="2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3"/>
        <v>0</v>
      </c>
      <c r="K11" s="44">
        <f t="shared" si="4"/>
        <v>0</v>
      </c>
      <c r="L11" s="45"/>
      <c r="M11" s="40"/>
      <c r="N11" s="43">
        <f t="shared" si="1"/>
        <v>0</v>
      </c>
      <c r="O11" s="43">
        <f t="shared" si="2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>S13+T13</f>
        <v>0</v>
      </c>
      <c r="K13" s="44">
        <f t="shared" si="4"/>
        <v>0</v>
      </c>
      <c r="L13" s="45"/>
      <c r="M13" s="40"/>
      <c r="N13" s="43">
        <f>I13-J13-M13-R13</f>
        <v>0</v>
      </c>
      <c r="O13" s="43">
        <f>R13+S13+T13</f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3"/>
        <v>0</v>
      </c>
      <c r="K15" s="44">
        <f t="shared" si="4"/>
        <v>0</v>
      </c>
      <c r="L15" s="45"/>
      <c r="M15" s="40"/>
      <c r="N15" s="43">
        <f t="shared" si="1"/>
        <v>0</v>
      </c>
      <c r="O15" s="43">
        <f t="shared" si="2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3"/>
        <v>0</v>
      </c>
      <c r="K17" s="44">
        <f t="shared" si="4"/>
        <v>0</v>
      </c>
      <c r="L17" s="45"/>
      <c r="M17" s="40"/>
      <c r="N17" s="43">
        <f t="shared" si="1"/>
        <v>0</v>
      </c>
      <c r="O17" s="43">
        <f t="shared" si="2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3"/>
        <v>0</v>
      </c>
      <c r="K19" s="44">
        <f t="shared" si="4"/>
        <v>0</v>
      </c>
      <c r="L19" s="45"/>
      <c r="M19" s="40"/>
      <c r="N19" s="43">
        <f t="shared" si="1"/>
        <v>0</v>
      </c>
      <c r="O19" s="43">
        <f t="shared" si="2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3"/>
        <v>0</v>
      </c>
      <c r="K21" s="44">
        <f t="shared" si="4"/>
        <v>0</v>
      </c>
      <c r="L21" s="45"/>
      <c r="M21" s="40"/>
      <c r="N21" s="43">
        <f t="shared" si="1"/>
        <v>0</v>
      </c>
      <c r="O21" s="43">
        <f t="shared" si="2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3"/>
        <v>0</v>
      </c>
      <c r="K23" s="44">
        <f t="shared" si="4"/>
        <v>0</v>
      </c>
      <c r="L23" s="45"/>
      <c r="M23" s="40"/>
      <c r="N23" s="43">
        <f t="shared" si="1"/>
        <v>0</v>
      </c>
      <c r="O23" s="43">
        <f t="shared" si="2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3"/>
        <v>0</v>
      </c>
      <c r="K25" s="44">
        <f t="shared" si="4"/>
        <v>0</v>
      </c>
      <c r="L25" s="45"/>
      <c r="M25" s="40"/>
      <c r="N25" s="43">
        <f t="shared" si="1"/>
        <v>0</v>
      </c>
      <c r="O25" s="43">
        <f t="shared" si="2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3"/>
        <v>0</v>
      </c>
      <c r="K27" s="44">
        <f t="shared" si="4"/>
        <v>0</v>
      </c>
      <c r="L27" s="45"/>
      <c r="M27" s="40"/>
      <c r="N27" s="43">
        <f t="shared" si="1"/>
        <v>0</v>
      </c>
      <c r="O27" s="43">
        <f t="shared" si="2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3"/>
        <v>0</v>
      </c>
      <c r="K29" s="44">
        <f t="shared" si="4"/>
        <v>0</v>
      </c>
      <c r="L29" s="45"/>
      <c r="M29" s="40"/>
      <c r="N29" s="43">
        <f t="shared" si="1"/>
        <v>0</v>
      </c>
      <c r="O29" s="43">
        <f t="shared" si="2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3"/>
        <v>0</v>
      </c>
      <c r="K31" s="44">
        <f t="shared" si="4"/>
        <v>0</v>
      </c>
      <c r="L31" s="45"/>
      <c r="M31" s="40"/>
      <c r="N31" s="43">
        <f t="shared" si="1"/>
        <v>0</v>
      </c>
      <c r="O31" s="43">
        <f t="shared" si="2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3"/>
        <v>0</v>
      </c>
      <c r="K33" s="44">
        <f t="shared" si="4"/>
        <v>0</v>
      </c>
      <c r="L33" s="45"/>
      <c r="M33" s="40"/>
      <c r="N33" s="43">
        <f t="shared" si="1"/>
        <v>0</v>
      </c>
      <c r="O33" s="43">
        <f t="shared" si="2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3"/>
        <v>0</v>
      </c>
      <c r="K35" s="44">
        <f t="shared" si="4"/>
        <v>0</v>
      </c>
      <c r="L35" s="45"/>
      <c r="M35" s="40"/>
      <c r="N35" s="43">
        <f t="shared" si="1"/>
        <v>0</v>
      </c>
      <c r="O35" s="43">
        <f t="shared" si="2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3"/>
        <v>0</v>
      </c>
      <c r="K37" s="44">
        <f t="shared" si="4"/>
        <v>0</v>
      </c>
      <c r="L37" s="45"/>
      <c r="M37" s="40"/>
      <c r="N37" s="43">
        <f t="shared" si="1"/>
        <v>0</v>
      </c>
      <c r="O37" s="43">
        <f t="shared" si="2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50"/>
      <c r="B39" s="51"/>
      <c r="C39" s="52"/>
      <c r="D39" s="50"/>
      <c r="E39" s="50"/>
      <c r="F39" s="50"/>
      <c r="G39" s="43">
        <f>F39*6%</f>
        <v>0</v>
      </c>
      <c r="H39" s="53"/>
      <c r="I39" s="78">
        <f t="shared" si="0"/>
        <v>0</v>
      </c>
      <c r="J39" s="54">
        <f t="shared" si="3"/>
        <v>0</v>
      </c>
      <c r="K39" s="54">
        <f t="shared" si="4"/>
        <v>0</v>
      </c>
      <c r="L39" s="55"/>
      <c r="M39" s="50"/>
      <c r="N39" s="53">
        <f t="shared" si="1"/>
        <v>0</v>
      </c>
      <c r="O39" s="53">
        <f t="shared" si="2"/>
        <v>0</v>
      </c>
      <c r="P39" s="56"/>
      <c r="Q39" s="50"/>
      <c r="R39" s="50"/>
      <c r="S39" s="50"/>
      <c r="T39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173" priority="26" operator="containsText" text="SIN FACTURA ">
      <formula>NOT(ISERROR(SEARCH("SIN FACTURA ",A2)))</formula>
    </cfRule>
  </conditionalFormatting>
  <conditionalFormatting sqref="J39:T39 J37:T37 J35:T35 J33:T33 J31:T31 J29:T29 J27:T27 J25:T25 J23:T23 J21:T21 J19:T19 J9:T17 A9:H17 A19:H19 A21:H21 A23:H23 A25:H25 A27:H27 A29:H29 A31:H31 A33:H33 A35:H35 A37:H37 A39:H39 J4:T7 I4:I39 A4:H7">
    <cfRule type="containsText" dxfId="3172" priority="25" operator="containsText" text="SIN FACTURA">
      <formula>NOT(ISERROR(SEARCH("SIN FACTURA",A4)))</formula>
    </cfRule>
  </conditionalFormatting>
  <conditionalFormatting sqref="C8:H8 J8:V8">
    <cfRule type="containsText" dxfId="3171" priority="24" operator="containsText" text="SIN FACTURA">
      <formula>NOT(ISERROR(SEARCH("SIN FACTURA",C8)))</formula>
    </cfRule>
  </conditionalFormatting>
  <conditionalFormatting sqref="C18:H18 J18:V18">
    <cfRule type="containsText" dxfId="3170" priority="23" operator="containsText" text="SIN FACTURA">
      <formula>NOT(ISERROR(SEARCH("SIN FACTURA",C18)))</formula>
    </cfRule>
  </conditionalFormatting>
  <conditionalFormatting sqref="C20:H20 J20:V20">
    <cfRule type="containsText" dxfId="3169" priority="22" operator="containsText" text="SIN FACTURA">
      <formula>NOT(ISERROR(SEARCH("SIN FACTURA",C20)))</formula>
    </cfRule>
  </conditionalFormatting>
  <conditionalFormatting sqref="C22:H22 J22:V22">
    <cfRule type="containsText" dxfId="3168" priority="21" operator="containsText" text="SIN FACTURA">
      <formula>NOT(ISERROR(SEARCH("SIN FACTURA",C22)))</formula>
    </cfRule>
  </conditionalFormatting>
  <conditionalFormatting sqref="C24:H24 J24:V24">
    <cfRule type="containsText" dxfId="3167" priority="20" operator="containsText" text="SIN FACTURA">
      <formula>NOT(ISERROR(SEARCH("SIN FACTURA",C24)))</formula>
    </cfRule>
  </conditionalFormatting>
  <conditionalFormatting sqref="C26:H26 J26:V26">
    <cfRule type="containsText" dxfId="3166" priority="19" operator="containsText" text="SIN FACTURA">
      <formula>NOT(ISERROR(SEARCH("SIN FACTURA",C26)))</formula>
    </cfRule>
  </conditionalFormatting>
  <conditionalFormatting sqref="C28:H28 J28:V28">
    <cfRule type="containsText" dxfId="3165" priority="18" operator="containsText" text="SIN FACTURA">
      <formula>NOT(ISERROR(SEARCH("SIN FACTURA",C28)))</formula>
    </cfRule>
  </conditionalFormatting>
  <conditionalFormatting sqref="C30:H30 J30:V30">
    <cfRule type="containsText" dxfId="3164" priority="17" operator="containsText" text="SIN FACTURA">
      <formula>NOT(ISERROR(SEARCH("SIN FACTURA",C30)))</formula>
    </cfRule>
  </conditionalFormatting>
  <conditionalFormatting sqref="C32:H32 J32:V32">
    <cfRule type="containsText" dxfId="3163" priority="16" operator="containsText" text="SIN FACTURA">
      <formula>NOT(ISERROR(SEARCH("SIN FACTURA",C32)))</formula>
    </cfRule>
  </conditionalFormatting>
  <conditionalFormatting sqref="C34:H34 J34:V34">
    <cfRule type="containsText" dxfId="3162" priority="15" operator="containsText" text="SIN FACTURA">
      <formula>NOT(ISERROR(SEARCH("SIN FACTURA",C34)))</formula>
    </cfRule>
  </conditionalFormatting>
  <conditionalFormatting sqref="C36:H36 J36:V36">
    <cfRule type="containsText" dxfId="3161" priority="14" operator="containsText" text="SIN FACTURA">
      <formula>NOT(ISERROR(SEARCH("SIN FACTURA",C36)))</formula>
    </cfRule>
  </conditionalFormatting>
  <conditionalFormatting sqref="C38:H38 J38:V38">
    <cfRule type="containsText" dxfId="3160" priority="13" operator="containsText" text="SIN FACTURA">
      <formula>NOT(ISERROR(SEARCH("SIN FACTURA",C38)))</formula>
    </cfRule>
  </conditionalFormatting>
  <conditionalFormatting sqref="A8:B8">
    <cfRule type="containsText" dxfId="3159" priority="12" operator="containsText" text="SIN FACTURA">
      <formula>NOT(ISERROR(SEARCH("SIN FACTURA",A8)))</formula>
    </cfRule>
  </conditionalFormatting>
  <conditionalFormatting sqref="A18:B18">
    <cfRule type="containsText" dxfId="3158" priority="11" operator="containsText" text="SIN FACTURA">
      <formula>NOT(ISERROR(SEARCH("SIN FACTURA",A18)))</formula>
    </cfRule>
  </conditionalFormatting>
  <conditionalFormatting sqref="A20:B20">
    <cfRule type="containsText" dxfId="3157" priority="10" operator="containsText" text="SIN FACTURA">
      <formula>NOT(ISERROR(SEARCH("SIN FACTURA",A20)))</formula>
    </cfRule>
  </conditionalFormatting>
  <conditionalFormatting sqref="A22:B22">
    <cfRule type="containsText" dxfId="3156" priority="9" operator="containsText" text="SIN FACTURA">
      <formula>NOT(ISERROR(SEARCH("SIN FACTURA",A22)))</formula>
    </cfRule>
  </conditionalFormatting>
  <conditionalFormatting sqref="A24:B24">
    <cfRule type="containsText" dxfId="3155" priority="8" operator="containsText" text="SIN FACTURA">
      <formula>NOT(ISERROR(SEARCH("SIN FACTURA",A24)))</formula>
    </cfRule>
  </conditionalFormatting>
  <conditionalFormatting sqref="A26:B26">
    <cfRule type="containsText" dxfId="3154" priority="7" operator="containsText" text="SIN FACTURA">
      <formula>NOT(ISERROR(SEARCH("SIN FACTURA",A26)))</formula>
    </cfRule>
  </conditionalFormatting>
  <conditionalFormatting sqref="A38:B38">
    <cfRule type="containsText" dxfId="3153" priority="1" operator="containsText" text="SIN FACTURA">
      <formula>NOT(ISERROR(SEARCH("SIN FACTURA",A38)))</formula>
    </cfRule>
  </conditionalFormatting>
  <conditionalFormatting sqref="A28:B28">
    <cfRule type="containsText" dxfId="3152" priority="6" operator="containsText" text="SIN FACTURA">
      <formula>NOT(ISERROR(SEARCH("SIN FACTURA",A28)))</formula>
    </cfRule>
  </conditionalFormatting>
  <conditionalFormatting sqref="A30:B30">
    <cfRule type="containsText" dxfId="3151" priority="5" operator="containsText" text="SIN FACTURA">
      <formula>NOT(ISERROR(SEARCH("SIN FACTURA",A30)))</formula>
    </cfRule>
  </conditionalFormatting>
  <conditionalFormatting sqref="A32:B32">
    <cfRule type="containsText" dxfId="3150" priority="4" operator="containsText" text="SIN FACTURA">
      <formula>NOT(ISERROR(SEARCH("SIN FACTURA",A32)))</formula>
    </cfRule>
  </conditionalFormatting>
  <conditionalFormatting sqref="A34:B34">
    <cfRule type="containsText" dxfId="3149" priority="3" operator="containsText" text="SIN FACTURA">
      <formula>NOT(ISERROR(SEARCH("SIN FACTURA",A34)))</formula>
    </cfRule>
  </conditionalFormatting>
  <conditionalFormatting sqref="A36:B36">
    <cfRule type="containsText" dxfId="3148" priority="2" operator="containsText" text="SIN FACTURA">
      <formula>NOT(ISERROR(SEARCH("SIN FACTURA",A36)))</formula>
    </cfRule>
  </conditionalFormatting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>
  <dimension ref="A1:Y23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24" sqref="A5:XFD24"/>
    </sheetView>
  </sheetViews>
  <sheetFormatPr baseColWidth="10" defaultColWidth="10.875" defaultRowHeight="15.75"/>
  <cols>
    <col min="1" max="1" width="21.5" style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/>
      <c r="B1" s="18" t="s">
        <v>297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23" si="0">F5-G5-H5</f>
        <v>0</v>
      </c>
      <c r="J5" s="44">
        <f t="shared" ref="J5:J23" si="1">S5+T5</f>
        <v>0</v>
      </c>
      <c r="K5" s="44">
        <f t="shared" ref="K5:K23" si="2">I5-J5</f>
        <v>0</v>
      </c>
      <c r="L5" s="45"/>
      <c r="M5" s="40"/>
      <c r="N5" s="43">
        <f t="shared" ref="N5:N23" si="3">I5-J5-M5-R5</f>
        <v>0</v>
      </c>
      <c r="O5" s="43">
        <f t="shared" ref="O5:O23" si="4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2"/>
      <c r="D6" s="33"/>
      <c r="E6" s="34"/>
      <c r="F6" s="32"/>
      <c r="G6" s="32"/>
      <c r="H6" s="32"/>
      <c r="I6" s="37"/>
      <c r="J6" s="37"/>
      <c r="K6" s="35"/>
      <c r="L6" s="35"/>
      <c r="M6" s="35"/>
      <c r="N6" s="36"/>
      <c r="O6" s="32"/>
      <c r="P6" s="37"/>
      <c r="Q6" s="37"/>
      <c r="R6" s="38"/>
      <c r="S6" s="32"/>
      <c r="T6" s="39"/>
      <c r="U6" s="6"/>
      <c r="V6" s="6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  <c r="U8" s="6"/>
      <c r="V8" s="6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  <c r="U10" s="6"/>
      <c r="V10" s="6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50"/>
      <c r="B23" s="51"/>
      <c r="C23" s="52"/>
      <c r="D23" s="50"/>
      <c r="E23" s="50"/>
      <c r="F23" s="50"/>
      <c r="G23" s="43">
        <f>F23*6%</f>
        <v>0</v>
      </c>
      <c r="H23" s="53"/>
      <c r="I23" s="78">
        <f t="shared" si="0"/>
        <v>0</v>
      </c>
      <c r="J23" s="54">
        <f t="shared" si="1"/>
        <v>0</v>
      </c>
      <c r="K23" s="54">
        <f t="shared" si="2"/>
        <v>0</v>
      </c>
      <c r="L23" s="55"/>
      <c r="M23" s="50"/>
      <c r="N23" s="53">
        <f t="shared" si="3"/>
        <v>0</v>
      </c>
      <c r="O23" s="53">
        <f t="shared" si="4"/>
        <v>0</v>
      </c>
      <c r="P23" s="56"/>
      <c r="Q23" s="50"/>
      <c r="R23" s="50"/>
      <c r="S23" s="50"/>
      <c r="T2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147" priority="26" operator="containsText" text="SIN FACTURA ">
      <formula>NOT(ISERROR(SEARCH("SIN FACTURA ",A2)))</formula>
    </cfRule>
  </conditionalFormatting>
  <conditionalFormatting sqref="J23:T23 J21:T21 J19:T19 J17:T17 J15:T15 J13:T13 J11:T11 J9:T9 J7:T7 J5:T5 A5:H5 A7:H7 A9:H9 A11:H11 A13:H13 A15:H15 A17:H17 A19:H19 A21:H21 A23:H23 I5:I23 A4:T4">
    <cfRule type="containsText" dxfId="3146" priority="25" operator="containsText" text="SIN FACTURA">
      <formula>NOT(ISERROR(SEARCH("SIN FACTURA",A4)))</formula>
    </cfRule>
  </conditionalFormatting>
  <conditionalFormatting sqref="C6:H6 J6:V6">
    <cfRule type="containsText" dxfId="3145" priority="21" operator="containsText" text="SIN FACTURA">
      <formula>NOT(ISERROR(SEARCH("SIN FACTURA",C6)))</formula>
    </cfRule>
  </conditionalFormatting>
  <conditionalFormatting sqref="C8:H8 J8:V8">
    <cfRule type="containsText" dxfId="3144" priority="20" operator="containsText" text="SIN FACTURA">
      <formula>NOT(ISERROR(SEARCH("SIN FACTURA",C8)))</formula>
    </cfRule>
  </conditionalFormatting>
  <conditionalFormatting sqref="C10:H10 J10:V10">
    <cfRule type="containsText" dxfId="3143" priority="19" operator="containsText" text="SIN FACTURA">
      <formula>NOT(ISERROR(SEARCH("SIN FACTURA",C10)))</formula>
    </cfRule>
  </conditionalFormatting>
  <conditionalFormatting sqref="C12:H12 J12:V12">
    <cfRule type="containsText" dxfId="3142" priority="18" operator="containsText" text="SIN FACTURA">
      <formula>NOT(ISERROR(SEARCH("SIN FACTURA",C12)))</formula>
    </cfRule>
  </conditionalFormatting>
  <conditionalFormatting sqref="C14:H14 J14:V14">
    <cfRule type="containsText" dxfId="3141" priority="17" operator="containsText" text="SIN FACTURA">
      <formula>NOT(ISERROR(SEARCH("SIN FACTURA",C14)))</formula>
    </cfRule>
  </conditionalFormatting>
  <conditionalFormatting sqref="C16:H16 J16:V16">
    <cfRule type="containsText" dxfId="3140" priority="16" operator="containsText" text="SIN FACTURA">
      <formula>NOT(ISERROR(SEARCH("SIN FACTURA",C16)))</formula>
    </cfRule>
  </conditionalFormatting>
  <conditionalFormatting sqref="C18:H18 J18:V18">
    <cfRule type="containsText" dxfId="3139" priority="15" operator="containsText" text="SIN FACTURA">
      <formula>NOT(ISERROR(SEARCH("SIN FACTURA",C18)))</formula>
    </cfRule>
  </conditionalFormatting>
  <conditionalFormatting sqref="C20:H20 J20:V20">
    <cfRule type="containsText" dxfId="3138" priority="14" operator="containsText" text="SIN FACTURA">
      <formula>NOT(ISERROR(SEARCH("SIN FACTURA",C20)))</formula>
    </cfRule>
  </conditionalFormatting>
  <conditionalFormatting sqref="C22:H22 J22:V22">
    <cfRule type="containsText" dxfId="3137" priority="13" operator="containsText" text="SIN FACTURA">
      <formula>NOT(ISERROR(SEARCH("SIN FACTURA",C22)))</formula>
    </cfRule>
  </conditionalFormatting>
  <conditionalFormatting sqref="A6:B6">
    <cfRule type="containsText" dxfId="3136" priority="9" operator="containsText" text="SIN FACTURA">
      <formula>NOT(ISERROR(SEARCH("SIN FACTURA",A6)))</formula>
    </cfRule>
  </conditionalFormatting>
  <conditionalFormatting sqref="A8:B8">
    <cfRule type="containsText" dxfId="3135" priority="8" operator="containsText" text="SIN FACTURA">
      <formula>NOT(ISERROR(SEARCH("SIN FACTURA",A8)))</formula>
    </cfRule>
  </conditionalFormatting>
  <conditionalFormatting sqref="A10:B10">
    <cfRule type="containsText" dxfId="3134" priority="7" operator="containsText" text="SIN FACTURA">
      <formula>NOT(ISERROR(SEARCH("SIN FACTURA",A10)))</formula>
    </cfRule>
  </conditionalFormatting>
  <conditionalFormatting sqref="A22:B22">
    <cfRule type="containsText" dxfId="3133" priority="1" operator="containsText" text="SIN FACTURA">
      <formula>NOT(ISERROR(SEARCH("SIN FACTURA",A22)))</formula>
    </cfRule>
  </conditionalFormatting>
  <conditionalFormatting sqref="A12:B12">
    <cfRule type="containsText" dxfId="3132" priority="6" operator="containsText" text="SIN FACTURA">
      <formula>NOT(ISERROR(SEARCH("SIN FACTURA",A12)))</formula>
    </cfRule>
  </conditionalFormatting>
  <conditionalFormatting sqref="A14:B14">
    <cfRule type="containsText" dxfId="3131" priority="5" operator="containsText" text="SIN FACTURA">
      <formula>NOT(ISERROR(SEARCH("SIN FACTURA",A14)))</formula>
    </cfRule>
  </conditionalFormatting>
  <conditionalFormatting sqref="A16:B16">
    <cfRule type="containsText" dxfId="3130" priority="4" operator="containsText" text="SIN FACTURA">
      <formula>NOT(ISERROR(SEARCH("SIN FACTURA",A16)))</formula>
    </cfRule>
  </conditionalFormatting>
  <conditionalFormatting sqref="A18:B18">
    <cfRule type="containsText" dxfId="3129" priority="3" operator="containsText" text="SIN FACTURA">
      <formula>NOT(ISERROR(SEARCH("SIN FACTURA",A18)))</formula>
    </cfRule>
  </conditionalFormatting>
  <conditionalFormatting sqref="A20:B20">
    <cfRule type="containsText" dxfId="3128" priority="2" operator="containsText" text="SIN FACTURA">
      <formula>NOT(ISERROR(SEARCH("SIN FACTURA",A20)))</formula>
    </cfRule>
  </conditionalFormatting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>
  <sheetPr codeName="Hoja117"/>
  <dimension ref="A1:X43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16384" width="10.875" style="1"/>
  </cols>
  <sheetData>
    <row r="1" spans="1:24" ht="42" customHeight="1" thickBot="1">
      <c r="A1" s="14"/>
      <c r="B1" s="15" t="s">
        <v>77</v>
      </c>
      <c r="C1" s="1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6"/>
      <c r="Q1" s="5"/>
      <c r="R1" s="5"/>
      <c r="S1" s="5"/>
      <c r="T1" s="5"/>
    </row>
    <row r="2" spans="1:24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4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W3" s="8"/>
      <c r="X3" s="8"/>
    </row>
    <row r="4" spans="1:24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4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4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4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4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4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4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4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4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4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4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4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4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44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127" priority="27" operator="containsText" text="SIN FACTURA ">
      <formula>NOT(ISERROR(SEARCH("SIN FACTURA ",A2)))</formula>
    </cfRule>
  </conditionalFormatting>
  <conditionalFormatting sqref="A42:B42 A4:T4 J5:T11 I5:I43 A5:H11">
    <cfRule type="containsText" dxfId="3126" priority="1" operator="containsText" text="SIN FACTURA">
      <formula>NOT(ISERROR(SEARCH("SIN FACTURA",A4)))</formula>
    </cfRule>
  </conditionalFormatting>
  <conditionalFormatting sqref="J43:T43 J41:T41 J39:T39 J37:T37 J35:T35 J33:T33 J31:T31 J29:T29 J27:T27 J25:T25 J23:T23 J13:T21 A13:H21 A23:H23 A25:H25 A27:H27 A29:H29 A31:H31 A33:H33 A35:H35 A37:H37 A39:H39 A41:H41 A43:H43">
    <cfRule type="containsText" dxfId="3125" priority="25" operator="containsText" text="SIN FACTURA">
      <formula>NOT(ISERROR(SEARCH("SIN FACTURA",A13)))</formula>
    </cfRule>
  </conditionalFormatting>
  <conditionalFormatting sqref="C12:H12 J12:V12">
    <cfRule type="containsText" dxfId="3124" priority="24" operator="containsText" text="SIN FACTURA">
      <formula>NOT(ISERROR(SEARCH("SIN FACTURA",C12)))</formula>
    </cfRule>
  </conditionalFormatting>
  <conditionalFormatting sqref="C22:H22 J22:V22">
    <cfRule type="containsText" dxfId="3123" priority="23" operator="containsText" text="SIN FACTURA">
      <formula>NOT(ISERROR(SEARCH("SIN FACTURA",C22)))</formula>
    </cfRule>
  </conditionalFormatting>
  <conditionalFormatting sqref="C24:H24 J24:V24">
    <cfRule type="containsText" dxfId="3122" priority="22" operator="containsText" text="SIN FACTURA">
      <formula>NOT(ISERROR(SEARCH("SIN FACTURA",C24)))</formula>
    </cfRule>
  </conditionalFormatting>
  <conditionalFormatting sqref="C26:H26 J26:V26">
    <cfRule type="containsText" dxfId="3121" priority="21" operator="containsText" text="SIN FACTURA">
      <formula>NOT(ISERROR(SEARCH("SIN FACTURA",C26)))</formula>
    </cfRule>
  </conditionalFormatting>
  <conditionalFormatting sqref="C28:H28 J28:V28">
    <cfRule type="containsText" dxfId="3120" priority="20" operator="containsText" text="SIN FACTURA">
      <formula>NOT(ISERROR(SEARCH("SIN FACTURA",C28)))</formula>
    </cfRule>
  </conditionalFormatting>
  <conditionalFormatting sqref="C30:H30 J30:V30">
    <cfRule type="containsText" dxfId="3119" priority="19" operator="containsText" text="SIN FACTURA">
      <formula>NOT(ISERROR(SEARCH("SIN FACTURA",C30)))</formula>
    </cfRule>
  </conditionalFormatting>
  <conditionalFormatting sqref="C32:H32 J32:V32">
    <cfRule type="containsText" dxfId="3118" priority="18" operator="containsText" text="SIN FACTURA">
      <formula>NOT(ISERROR(SEARCH("SIN FACTURA",C32)))</formula>
    </cfRule>
  </conditionalFormatting>
  <conditionalFormatting sqref="C34:H34 J34:V34">
    <cfRule type="containsText" dxfId="3117" priority="17" operator="containsText" text="SIN FACTURA">
      <formula>NOT(ISERROR(SEARCH("SIN FACTURA",C34)))</formula>
    </cfRule>
  </conditionalFormatting>
  <conditionalFormatting sqref="C36:H36 J36:V36">
    <cfRule type="containsText" dxfId="3116" priority="16" operator="containsText" text="SIN FACTURA">
      <formula>NOT(ISERROR(SEARCH("SIN FACTURA",C36)))</formula>
    </cfRule>
  </conditionalFormatting>
  <conditionalFormatting sqref="C38:H38 J38:V38">
    <cfRule type="containsText" dxfId="3115" priority="15" operator="containsText" text="SIN FACTURA">
      <formula>NOT(ISERROR(SEARCH("SIN FACTURA",C38)))</formula>
    </cfRule>
  </conditionalFormatting>
  <conditionalFormatting sqref="C40:H40 J40:V40">
    <cfRule type="containsText" dxfId="3114" priority="14" operator="containsText" text="SIN FACTURA">
      <formula>NOT(ISERROR(SEARCH("SIN FACTURA",C40)))</formula>
    </cfRule>
  </conditionalFormatting>
  <conditionalFormatting sqref="C42:H42 J42:V42">
    <cfRule type="containsText" dxfId="3113" priority="13" operator="containsText" text="SIN FACTURA">
      <formula>NOT(ISERROR(SEARCH("SIN FACTURA",C42)))</formula>
    </cfRule>
  </conditionalFormatting>
  <conditionalFormatting sqref="A12:B12">
    <cfRule type="containsText" dxfId="3112" priority="12" operator="containsText" text="SIN FACTURA">
      <formula>NOT(ISERROR(SEARCH("SIN FACTURA",A12)))</formula>
    </cfRule>
  </conditionalFormatting>
  <conditionalFormatting sqref="A22:B22">
    <cfRule type="containsText" dxfId="3111" priority="11" operator="containsText" text="SIN FACTURA">
      <formula>NOT(ISERROR(SEARCH("SIN FACTURA",A22)))</formula>
    </cfRule>
  </conditionalFormatting>
  <conditionalFormatting sqref="A24:B24">
    <cfRule type="containsText" dxfId="3110" priority="10" operator="containsText" text="SIN FACTURA">
      <formula>NOT(ISERROR(SEARCH("SIN FACTURA",A24)))</formula>
    </cfRule>
  </conditionalFormatting>
  <conditionalFormatting sqref="A26:B26">
    <cfRule type="containsText" dxfId="3109" priority="9" operator="containsText" text="SIN FACTURA">
      <formula>NOT(ISERROR(SEARCH("SIN FACTURA",A26)))</formula>
    </cfRule>
  </conditionalFormatting>
  <conditionalFormatting sqref="A28:B28">
    <cfRule type="containsText" dxfId="3108" priority="8" operator="containsText" text="SIN FACTURA">
      <formula>NOT(ISERROR(SEARCH("SIN FACTURA",A28)))</formula>
    </cfRule>
  </conditionalFormatting>
  <conditionalFormatting sqref="A30:B30">
    <cfRule type="containsText" dxfId="3107" priority="7" operator="containsText" text="SIN FACTURA">
      <formula>NOT(ISERROR(SEARCH("SIN FACTURA",A30)))</formula>
    </cfRule>
  </conditionalFormatting>
  <conditionalFormatting sqref="A32:B32">
    <cfRule type="containsText" dxfId="3106" priority="6" operator="containsText" text="SIN FACTURA">
      <formula>NOT(ISERROR(SEARCH("SIN FACTURA",A32)))</formula>
    </cfRule>
  </conditionalFormatting>
  <conditionalFormatting sqref="A34:B34">
    <cfRule type="containsText" dxfId="3105" priority="5" operator="containsText" text="SIN FACTURA">
      <formula>NOT(ISERROR(SEARCH("SIN FACTURA",A34)))</formula>
    </cfRule>
  </conditionalFormatting>
  <conditionalFormatting sqref="A36:B36">
    <cfRule type="containsText" dxfId="3104" priority="4" operator="containsText" text="SIN FACTURA">
      <formula>NOT(ISERROR(SEARCH("SIN FACTURA",A36)))</formula>
    </cfRule>
  </conditionalFormatting>
  <conditionalFormatting sqref="A38:B38">
    <cfRule type="containsText" dxfId="3103" priority="3" operator="containsText" text="SIN FACTURA">
      <formula>NOT(ISERROR(SEARCH("SIN FACTURA",A38)))</formula>
    </cfRule>
  </conditionalFormatting>
  <conditionalFormatting sqref="A40:B40">
    <cfRule type="containsText" dxfId="3102" priority="2" operator="containsText" text="SIN FACTURA">
      <formula>NOT(ISERROR(SEARCH("SIN FACTURA",A40)))</formula>
    </cfRule>
  </conditionalFormatting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>
  <sheetPr codeName="Hoja118"/>
  <dimension ref="A1:X45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B1" sqref="B1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16384" width="10.875" style="1"/>
  </cols>
  <sheetData>
    <row r="1" spans="1:24" ht="42" customHeight="1" thickBot="1">
      <c r="A1" s="14">
        <v>334</v>
      </c>
      <c r="B1" s="15" t="s">
        <v>126</v>
      </c>
      <c r="C1" s="1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6"/>
      <c r="Q1" s="5"/>
      <c r="R1" s="5"/>
      <c r="S1" s="5"/>
      <c r="T1" s="5"/>
    </row>
    <row r="2" spans="1:24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4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W3" s="8"/>
      <c r="X3" s="8"/>
    </row>
    <row r="4" spans="1:24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4" ht="15">
      <c r="A5" s="40"/>
      <c r="B5" s="41"/>
      <c r="C5" s="42"/>
      <c r="D5" s="40"/>
      <c r="E5" s="40"/>
      <c r="F5" s="40"/>
      <c r="G5" s="43">
        <f>F5*6%</f>
        <v>0</v>
      </c>
      <c r="H5" s="43">
        <v>3</v>
      </c>
      <c r="I5" s="44">
        <f>F5-G5-H5</f>
        <v>-3</v>
      </c>
      <c r="J5" s="44">
        <f t="shared" ref="J5:J45" si="0">S5+T5</f>
        <v>0</v>
      </c>
      <c r="K5" s="44">
        <f t="shared" ref="K5:K45" si="1">I5-J5</f>
        <v>-3</v>
      </c>
      <c r="M5" s="40"/>
      <c r="N5" s="43">
        <f t="shared" ref="N5:N45" si="2">I5-J5-M5-R5</f>
        <v>-3</v>
      </c>
      <c r="O5" s="43">
        <f t="shared" ref="O5:O45" si="3">R5+S5+T5</f>
        <v>0</v>
      </c>
      <c r="P5" s="46"/>
      <c r="Q5" s="40"/>
      <c r="R5" s="40"/>
      <c r="S5" s="40"/>
      <c r="T5" s="5"/>
    </row>
    <row r="6" spans="1:24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4" ht="15">
      <c r="A7" s="40"/>
      <c r="B7" s="41"/>
      <c r="C7" s="42"/>
      <c r="D7" s="40"/>
      <c r="E7" s="40"/>
      <c r="F7" s="40"/>
      <c r="G7" s="43">
        <f>F7*6%</f>
        <v>0</v>
      </c>
      <c r="H7" s="43">
        <v>6.7</v>
      </c>
      <c r="I7" s="44">
        <f t="shared" ref="I7:I45" si="4">F7-G7-H7</f>
        <v>-6.7</v>
      </c>
      <c r="J7" s="44">
        <f t="shared" si="0"/>
        <v>0</v>
      </c>
      <c r="K7" s="44">
        <f t="shared" si="1"/>
        <v>-6.7</v>
      </c>
      <c r="L7" s="45"/>
      <c r="M7" s="40"/>
      <c r="N7" s="43">
        <f t="shared" si="2"/>
        <v>-6.7</v>
      </c>
      <c r="O7" s="43">
        <f t="shared" si="3"/>
        <v>0</v>
      </c>
      <c r="P7" s="46"/>
      <c r="Q7" s="40"/>
      <c r="R7" s="47"/>
      <c r="S7" s="47"/>
      <c r="T7" s="48"/>
    </row>
    <row r="8" spans="1:24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4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4"/>
        <v>0</v>
      </c>
      <c r="J9" s="44">
        <f t="shared" si="0"/>
        <v>0</v>
      </c>
      <c r="K9" s="44">
        <f t="shared" si="1"/>
        <v>0</v>
      </c>
      <c r="L9" s="45"/>
      <c r="M9" s="40"/>
      <c r="N9" s="43">
        <f t="shared" si="2"/>
        <v>0</v>
      </c>
      <c r="O9" s="43">
        <f t="shared" si="3"/>
        <v>0</v>
      </c>
      <c r="P9" s="46"/>
      <c r="Q9" s="40"/>
      <c r="R9" s="43"/>
      <c r="S9" s="43"/>
      <c r="T9" s="49"/>
    </row>
    <row r="10" spans="1:24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4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4"/>
        <v>0</v>
      </c>
      <c r="J11" s="44">
        <f>S11+T11</f>
        <v>0</v>
      </c>
      <c r="K11" s="44">
        <f>I11-J11</f>
        <v>0</v>
      </c>
      <c r="L11" s="45"/>
      <c r="M11" s="40"/>
      <c r="N11" s="43">
        <f t="shared" si="2"/>
        <v>0</v>
      </c>
      <c r="O11" s="43">
        <f t="shared" si="3"/>
        <v>0</v>
      </c>
      <c r="P11" s="46"/>
      <c r="Q11" s="40"/>
      <c r="R11" s="47"/>
      <c r="S11" s="47"/>
      <c r="T11" s="48"/>
    </row>
    <row r="12" spans="1:24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4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4"/>
        <v>0</v>
      </c>
      <c r="J13" s="44">
        <f t="shared" si="0"/>
        <v>0</v>
      </c>
      <c r="K13" s="44">
        <f t="shared" si="1"/>
        <v>0</v>
      </c>
      <c r="L13" s="45"/>
      <c r="M13" s="40"/>
      <c r="N13" s="43">
        <f t="shared" si="2"/>
        <v>0</v>
      </c>
      <c r="O13" s="43">
        <f t="shared" si="3"/>
        <v>0</v>
      </c>
      <c r="P13" s="46"/>
      <c r="Q13" s="40"/>
      <c r="R13" s="47"/>
      <c r="S13" s="47"/>
      <c r="T13" s="48"/>
    </row>
    <row r="14" spans="1:24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4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4"/>
        <v>0</v>
      </c>
      <c r="J15" s="44">
        <f t="shared" si="0"/>
        <v>0</v>
      </c>
      <c r="K15" s="44">
        <f t="shared" si="1"/>
        <v>0</v>
      </c>
      <c r="L15" s="45"/>
      <c r="M15" s="40"/>
      <c r="N15" s="43">
        <f t="shared" si="2"/>
        <v>0</v>
      </c>
      <c r="O15" s="43">
        <f t="shared" si="3"/>
        <v>0</v>
      </c>
      <c r="P15" s="46"/>
      <c r="Q15" s="40"/>
      <c r="R15" s="47"/>
      <c r="S15" s="47"/>
      <c r="T15" s="48"/>
    </row>
    <row r="16" spans="1:24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4"/>
        <v>0</v>
      </c>
      <c r="J17" s="44">
        <f t="shared" si="0"/>
        <v>0</v>
      </c>
      <c r="K17" s="44">
        <f t="shared" si="1"/>
        <v>0</v>
      </c>
      <c r="L17" s="45"/>
      <c r="M17" s="40"/>
      <c r="N17" s="43">
        <f t="shared" si="2"/>
        <v>0</v>
      </c>
      <c r="O17" s="43">
        <f t="shared" si="3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4"/>
        <v>0</v>
      </c>
      <c r="J19" s="44">
        <f>S19+T19</f>
        <v>0</v>
      </c>
      <c r="K19" s="44">
        <f t="shared" si="1"/>
        <v>0</v>
      </c>
      <c r="L19" s="45"/>
      <c r="M19" s="40"/>
      <c r="N19" s="43">
        <f>I19-J19-M19-R19</f>
        <v>0</v>
      </c>
      <c r="O19" s="43">
        <f>R19+S19+T19</f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4"/>
        <v>0</v>
      </c>
      <c r="J21" s="44">
        <f t="shared" si="0"/>
        <v>0</v>
      </c>
      <c r="K21" s="44">
        <f t="shared" si="1"/>
        <v>0</v>
      </c>
      <c r="L21" s="45"/>
      <c r="M21" s="40"/>
      <c r="N21" s="43">
        <f t="shared" si="2"/>
        <v>0</v>
      </c>
      <c r="O21" s="43">
        <f t="shared" si="3"/>
        <v>0</v>
      </c>
      <c r="P21" s="46"/>
      <c r="Q21" s="40"/>
      <c r="R21" s="47"/>
      <c r="S21" s="47"/>
      <c r="T21" s="48"/>
    </row>
    <row r="22" spans="1:22" ht="15">
      <c r="A22" s="32"/>
      <c r="B22" s="33"/>
      <c r="C22" s="34"/>
      <c r="D22" s="32"/>
      <c r="E22" s="32"/>
      <c r="F22" s="32"/>
      <c r="G22" s="37"/>
      <c r="H22" s="37"/>
      <c r="I22" s="37"/>
      <c r="J22" s="35"/>
      <c r="K22" s="35"/>
      <c r="L22" s="36"/>
      <c r="M22" s="32"/>
      <c r="N22" s="37"/>
      <c r="O22" s="37"/>
      <c r="P22" s="38"/>
      <c r="Q22" s="32"/>
      <c r="R22" s="32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4"/>
        <v>0</v>
      </c>
      <c r="J23" s="44">
        <f t="shared" si="0"/>
        <v>0</v>
      </c>
      <c r="K23" s="44">
        <f t="shared" si="1"/>
        <v>0</v>
      </c>
      <c r="L23" s="45"/>
      <c r="M23" s="40"/>
      <c r="N23" s="43">
        <f t="shared" si="2"/>
        <v>0</v>
      </c>
      <c r="O23" s="43">
        <f t="shared" si="3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4"/>
        <v>0</v>
      </c>
      <c r="J25" s="44">
        <f t="shared" si="0"/>
        <v>0</v>
      </c>
      <c r="K25" s="44">
        <f t="shared" si="1"/>
        <v>0</v>
      </c>
      <c r="L25" s="45"/>
      <c r="M25" s="40"/>
      <c r="N25" s="43">
        <f t="shared" si="2"/>
        <v>0</v>
      </c>
      <c r="O25" s="43">
        <f t="shared" si="3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4"/>
        <v>0</v>
      </c>
      <c r="J27" s="44">
        <f t="shared" si="0"/>
        <v>0</v>
      </c>
      <c r="K27" s="44">
        <f t="shared" si="1"/>
        <v>0</v>
      </c>
      <c r="L27" s="45"/>
      <c r="M27" s="40"/>
      <c r="N27" s="43">
        <f t="shared" si="2"/>
        <v>0</v>
      </c>
      <c r="O27" s="43">
        <f t="shared" si="3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4"/>
        <v>0</v>
      </c>
      <c r="J29" s="44">
        <f t="shared" si="0"/>
        <v>0</v>
      </c>
      <c r="K29" s="44">
        <f t="shared" si="1"/>
        <v>0</v>
      </c>
      <c r="L29" s="45"/>
      <c r="M29" s="40"/>
      <c r="N29" s="43">
        <f t="shared" si="2"/>
        <v>0</v>
      </c>
      <c r="O29" s="43">
        <f t="shared" si="3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4"/>
        <v>0</v>
      </c>
      <c r="J31" s="44">
        <f t="shared" si="0"/>
        <v>0</v>
      </c>
      <c r="K31" s="44">
        <f t="shared" si="1"/>
        <v>0</v>
      </c>
      <c r="L31" s="45"/>
      <c r="M31" s="40"/>
      <c r="N31" s="43">
        <f t="shared" si="2"/>
        <v>0</v>
      </c>
      <c r="O31" s="43">
        <f t="shared" si="3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4"/>
        <v>0</v>
      </c>
      <c r="J33" s="44">
        <f t="shared" si="0"/>
        <v>0</v>
      </c>
      <c r="K33" s="44">
        <f t="shared" si="1"/>
        <v>0</v>
      </c>
      <c r="L33" s="45"/>
      <c r="M33" s="40"/>
      <c r="N33" s="43">
        <f t="shared" si="2"/>
        <v>0</v>
      </c>
      <c r="O33" s="43">
        <f t="shared" si="3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4"/>
        <v>0</v>
      </c>
      <c r="J35" s="44">
        <f t="shared" si="0"/>
        <v>0</v>
      </c>
      <c r="K35" s="44">
        <f t="shared" si="1"/>
        <v>0</v>
      </c>
      <c r="L35" s="45"/>
      <c r="M35" s="40"/>
      <c r="N35" s="43">
        <f t="shared" si="2"/>
        <v>0</v>
      </c>
      <c r="O35" s="43">
        <f t="shared" si="3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4"/>
        <v>0</v>
      </c>
      <c r="J37" s="44">
        <f t="shared" si="0"/>
        <v>0</v>
      </c>
      <c r="K37" s="44">
        <f t="shared" si="1"/>
        <v>0</v>
      </c>
      <c r="L37" s="45"/>
      <c r="M37" s="40"/>
      <c r="N37" s="43">
        <f t="shared" si="2"/>
        <v>0</v>
      </c>
      <c r="O37" s="43">
        <f t="shared" si="3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4"/>
        <v>0</v>
      </c>
      <c r="J39" s="44">
        <f t="shared" si="0"/>
        <v>0</v>
      </c>
      <c r="K39" s="44">
        <f t="shared" si="1"/>
        <v>0</v>
      </c>
      <c r="L39" s="45"/>
      <c r="M39" s="40"/>
      <c r="N39" s="43">
        <f t="shared" si="2"/>
        <v>0</v>
      </c>
      <c r="O39" s="43">
        <f t="shared" si="3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4"/>
        <v>0</v>
      </c>
      <c r="J41" s="44">
        <f t="shared" si="0"/>
        <v>0</v>
      </c>
      <c r="K41" s="44">
        <f t="shared" si="1"/>
        <v>0</v>
      </c>
      <c r="L41" s="45"/>
      <c r="M41" s="40"/>
      <c r="N41" s="43">
        <f t="shared" si="2"/>
        <v>0</v>
      </c>
      <c r="O41" s="43">
        <f t="shared" si="3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40"/>
      <c r="B43" s="41"/>
      <c r="C43" s="42"/>
      <c r="D43" s="40"/>
      <c r="E43" s="40"/>
      <c r="F43" s="40"/>
      <c r="G43" s="43">
        <f>F43*6%</f>
        <v>0</v>
      </c>
      <c r="H43" s="43"/>
      <c r="I43" s="44">
        <f t="shared" si="4"/>
        <v>0</v>
      </c>
      <c r="J43" s="44">
        <f t="shared" si="0"/>
        <v>0</v>
      </c>
      <c r="K43" s="44">
        <f t="shared" si="1"/>
        <v>0</v>
      </c>
      <c r="L43" s="45"/>
      <c r="M43" s="40"/>
      <c r="N43" s="43">
        <f t="shared" si="2"/>
        <v>0</v>
      </c>
      <c r="O43" s="43">
        <f t="shared" si="3"/>
        <v>0</v>
      </c>
      <c r="P43" s="46"/>
      <c r="Q43" s="40"/>
      <c r="R43" s="40"/>
      <c r="S43" s="40"/>
      <c r="T43" s="5"/>
    </row>
    <row r="44" spans="1:22" ht="15">
      <c r="A44" s="32"/>
      <c r="B44" s="33"/>
      <c r="C44" s="32"/>
      <c r="D44" s="33"/>
      <c r="E44" s="34"/>
      <c r="F44" s="32"/>
      <c r="G44" s="32"/>
      <c r="H44" s="32"/>
      <c r="I44" s="37"/>
      <c r="J44" s="37"/>
      <c r="K44" s="35"/>
      <c r="L44" s="35"/>
      <c r="M44" s="35"/>
      <c r="N44" s="36"/>
      <c r="O44" s="32"/>
      <c r="P44" s="37"/>
      <c r="Q44" s="37"/>
      <c r="R44" s="38"/>
      <c r="S44" s="32"/>
      <c r="T44" s="39"/>
      <c r="U44" s="6"/>
      <c r="V44" s="6"/>
    </row>
    <row r="45" spans="1:22" ht="15">
      <c r="A45" s="50"/>
      <c r="B45" s="51"/>
      <c r="C45" s="52"/>
      <c r="D45" s="50"/>
      <c r="E45" s="50"/>
      <c r="F45" s="50"/>
      <c r="G45" s="43">
        <f>F45*6%</f>
        <v>0</v>
      </c>
      <c r="H45" s="53"/>
      <c r="I45" s="44">
        <f t="shared" si="4"/>
        <v>0</v>
      </c>
      <c r="J45" s="54">
        <f t="shared" si="0"/>
        <v>0</v>
      </c>
      <c r="K45" s="54">
        <f t="shared" si="1"/>
        <v>0</v>
      </c>
      <c r="L45" s="55"/>
      <c r="M45" s="50"/>
      <c r="N45" s="53">
        <f t="shared" si="2"/>
        <v>0</v>
      </c>
      <c r="O45" s="53">
        <f t="shared" si="3"/>
        <v>0</v>
      </c>
      <c r="P45" s="56"/>
      <c r="Q45" s="50"/>
      <c r="R45" s="50"/>
      <c r="S45" s="50"/>
      <c r="T45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101" priority="26" operator="containsText" text="SIN FACTURA ">
      <formula>NOT(ISERROR(SEARCH("SIN FACTURA ",A2)))</formula>
    </cfRule>
  </conditionalFormatting>
  <conditionalFormatting sqref="J45:T45 J43:T43 J41:T41 J39:T39 J37:T37 J35:T35 J33:T33 J31:T31 J29:T29 J27:T27 J25:T25 J15:T23 J6:T13 A4:K5 M4:T5 L4 J14:V14 J24:V24 J26:V26 J28:V28 J30:V30 J32:V32 J34:V34 J36:V36 J38:V38 J40:V40 J42:V42 A6:I45 J44:V44">
    <cfRule type="containsText" dxfId="3100" priority="1" operator="containsText" text="SIN FACTURA">
      <formula>NOT(ISERROR(SEARCH("SIN FACTURA",A4)))</formula>
    </cfRule>
  </conditionalFormatting>
  <pageMargins left="0.75" right="0.75" top="1" bottom="1" header="0.5" footer="0.5"/>
  <pageSetup paperSize="9" orientation="portrait" horizontalDpi="0" verticalDpi="0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>
  <sheetPr codeName="Hoja119"/>
  <dimension ref="A1:Y41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11" sqref="A5:XFD11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4">
        <v>288</v>
      </c>
      <c r="B1" s="15" t="s">
        <v>70</v>
      </c>
      <c r="C1" s="1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6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1" si="0">F5-G5-H5</f>
        <v>0</v>
      </c>
      <c r="J5" s="44">
        <f t="shared" ref="J5:J41" si="1">S5+T5</f>
        <v>0</v>
      </c>
      <c r="K5" s="44">
        <f t="shared" ref="K5:K41" si="2">I5-J5</f>
        <v>0</v>
      </c>
      <c r="L5" s="45"/>
      <c r="M5" s="40"/>
      <c r="N5" s="43">
        <f t="shared" ref="N5:N41" si="3">I5-J5-M5-R5</f>
        <v>0</v>
      </c>
      <c r="O5" s="43">
        <f t="shared" ref="O5:O41" si="4">R5+S5+T5</f>
        <v>0</v>
      </c>
      <c r="P5" s="46"/>
      <c r="Q5" s="40"/>
      <c r="R5" s="43"/>
      <c r="S5" s="43"/>
      <c r="T5" s="49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>I7-J7</f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>S15+T15</f>
        <v>0</v>
      </c>
      <c r="K15" s="44">
        <f t="shared" si="2"/>
        <v>0</v>
      </c>
      <c r="L15" s="45"/>
      <c r="M15" s="40"/>
      <c r="N15" s="43">
        <f>I15-J15-M15-R15</f>
        <v>0</v>
      </c>
      <c r="O15" s="43">
        <f>R15+S15+T15</f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50"/>
      <c r="B41" s="51"/>
      <c r="C41" s="52"/>
      <c r="D41" s="50"/>
      <c r="E41" s="50"/>
      <c r="F41" s="50"/>
      <c r="G41" s="43">
        <f>F41*6%</f>
        <v>0</v>
      </c>
      <c r="H41" s="53"/>
      <c r="I41" s="44">
        <f t="shared" si="0"/>
        <v>0</v>
      </c>
      <c r="J41" s="54">
        <f t="shared" si="1"/>
        <v>0</v>
      </c>
      <c r="K41" s="54">
        <f t="shared" si="2"/>
        <v>0</v>
      </c>
      <c r="L41" s="55"/>
      <c r="M41" s="50"/>
      <c r="N41" s="53">
        <f t="shared" si="3"/>
        <v>0</v>
      </c>
      <c r="O41" s="53">
        <f t="shared" si="4"/>
        <v>0</v>
      </c>
      <c r="P41" s="56"/>
      <c r="Q41" s="50"/>
      <c r="R41" s="50"/>
      <c r="S41" s="50"/>
      <c r="T41" s="57"/>
    </row>
  </sheetData>
  <mergeCells count="5">
    <mergeCell ref="A2:B2"/>
    <mergeCell ref="P2:T2"/>
    <mergeCell ref="C2:F2"/>
    <mergeCell ref="G2:L2"/>
    <mergeCell ref="M2:O2"/>
  </mergeCells>
  <conditionalFormatting sqref="C2 G2:H2 M2 A3:T3 A2">
    <cfRule type="containsText" dxfId="3099" priority="27" operator="containsText" text="SIN FACTURA ">
      <formula>NOT(ISERROR(SEARCH("SIN FACTURA ",A2)))</formula>
    </cfRule>
  </conditionalFormatting>
  <conditionalFormatting sqref="A40:B40 J5:T9 I5:I41 A5:H9 A4:T4">
    <cfRule type="containsText" dxfId="3098" priority="1" operator="containsText" text="SIN FACTURA">
      <formula>NOT(ISERROR(SEARCH("SIN FACTURA",A4)))</formula>
    </cfRule>
  </conditionalFormatting>
  <conditionalFormatting sqref="J41:T41 J39:T39 J37:T37 J35:T35 J33:T33 J31:T31 J29:T29 J27:T27 J25:T25 J23:T23 J21:T21 J11:T19 A11:H19 A21:H21 A23:H23 A25:H25 A27:H27 A29:H29 A31:H31 A33:H33 A35:H35 A37:H37 A39:H39 A41:H41">
    <cfRule type="containsText" dxfId="3097" priority="25" operator="containsText" text="SIN FACTURA">
      <formula>NOT(ISERROR(SEARCH("SIN FACTURA",A11)))</formula>
    </cfRule>
  </conditionalFormatting>
  <conditionalFormatting sqref="C10:H10 J10:V10">
    <cfRule type="containsText" dxfId="3096" priority="24" operator="containsText" text="SIN FACTURA">
      <formula>NOT(ISERROR(SEARCH("SIN FACTURA",C10)))</formula>
    </cfRule>
  </conditionalFormatting>
  <conditionalFormatting sqref="C20:H20 J20:V20">
    <cfRule type="containsText" dxfId="3095" priority="23" operator="containsText" text="SIN FACTURA">
      <formula>NOT(ISERROR(SEARCH("SIN FACTURA",C20)))</formula>
    </cfRule>
  </conditionalFormatting>
  <conditionalFormatting sqref="C22:H22 J22:V22">
    <cfRule type="containsText" dxfId="3094" priority="22" operator="containsText" text="SIN FACTURA">
      <formula>NOT(ISERROR(SEARCH("SIN FACTURA",C22)))</formula>
    </cfRule>
  </conditionalFormatting>
  <conditionalFormatting sqref="C24:H24 J24:V24">
    <cfRule type="containsText" dxfId="3093" priority="21" operator="containsText" text="SIN FACTURA">
      <formula>NOT(ISERROR(SEARCH("SIN FACTURA",C24)))</formula>
    </cfRule>
  </conditionalFormatting>
  <conditionalFormatting sqref="C26:H26 J26:V26">
    <cfRule type="containsText" dxfId="3092" priority="20" operator="containsText" text="SIN FACTURA">
      <formula>NOT(ISERROR(SEARCH("SIN FACTURA",C26)))</formula>
    </cfRule>
  </conditionalFormatting>
  <conditionalFormatting sqref="C28:H28 J28:V28">
    <cfRule type="containsText" dxfId="3091" priority="19" operator="containsText" text="SIN FACTURA">
      <formula>NOT(ISERROR(SEARCH("SIN FACTURA",C28)))</formula>
    </cfRule>
  </conditionalFormatting>
  <conditionalFormatting sqref="C30:H30 J30:V30">
    <cfRule type="containsText" dxfId="3090" priority="18" operator="containsText" text="SIN FACTURA">
      <formula>NOT(ISERROR(SEARCH("SIN FACTURA",C30)))</formula>
    </cfRule>
  </conditionalFormatting>
  <conditionalFormatting sqref="C32:H32 J32:V32">
    <cfRule type="containsText" dxfId="3089" priority="17" operator="containsText" text="SIN FACTURA">
      <formula>NOT(ISERROR(SEARCH("SIN FACTURA",C32)))</formula>
    </cfRule>
  </conditionalFormatting>
  <conditionalFormatting sqref="C34:H34 J34:V34">
    <cfRule type="containsText" dxfId="3088" priority="16" operator="containsText" text="SIN FACTURA">
      <formula>NOT(ISERROR(SEARCH("SIN FACTURA",C34)))</formula>
    </cfRule>
  </conditionalFormatting>
  <conditionalFormatting sqref="C36:H36 J36:V36">
    <cfRule type="containsText" dxfId="3087" priority="15" operator="containsText" text="SIN FACTURA">
      <formula>NOT(ISERROR(SEARCH("SIN FACTURA",C36)))</formula>
    </cfRule>
  </conditionalFormatting>
  <conditionalFormatting sqref="C38:H38 J38:V38">
    <cfRule type="containsText" dxfId="3086" priority="14" operator="containsText" text="SIN FACTURA">
      <formula>NOT(ISERROR(SEARCH("SIN FACTURA",C38)))</formula>
    </cfRule>
  </conditionalFormatting>
  <conditionalFormatting sqref="C40:H40 J40:V40">
    <cfRule type="containsText" dxfId="3085" priority="13" operator="containsText" text="SIN FACTURA">
      <formula>NOT(ISERROR(SEARCH("SIN FACTURA",C40)))</formula>
    </cfRule>
  </conditionalFormatting>
  <conditionalFormatting sqref="A10:B10">
    <cfRule type="containsText" dxfId="3084" priority="12" operator="containsText" text="SIN FACTURA">
      <formula>NOT(ISERROR(SEARCH("SIN FACTURA",A10)))</formula>
    </cfRule>
  </conditionalFormatting>
  <conditionalFormatting sqref="A20:B20">
    <cfRule type="containsText" dxfId="3083" priority="11" operator="containsText" text="SIN FACTURA">
      <formula>NOT(ISERROR(SEARCH("SIN FACTURA",A20)))</formula>
    </cfRule>
  </conditionalFormatting>
  <conditionalFormatting sqref="A22:B22">
    <cfRule type="containsText" dxfId="3082" priority="10" operator="containsText" text="SIN FACTURA">
      <formula>NOT(ISERROR(SEARCH("SIN FACTURA",A22)))</formula>
    </cfRule>
  </conditionalFormatting>
  <conditionalFormatting sqref="A24:B24">
    <cfRule type="containsText" dxfId="3081" priority="9" operator="containsText" text="SIN FACTURA">
      <formula>NOT(ISERROR(SEARCH("SIN FACTURA",A24)))</formula>
    </cfRule>
  </conditionalFormatting>
  <conditionalFormatting sqref="A26:B26">
    <cfRule type="containsText" dxfId="3080" priority="8" operator="containsText" text="SIN FACTURA">
      <formula>NOT(ISERROR(SEARCH("SIN FACTURA",A26)))</formula>
    </cfRule>
  </conditionalFormatting>
  <conditionalFormatting sqref="A28:B28">
    <cfRule type="containsText" dxfId="3079" priority="7" operator="containsText" text="SIN FACTURA">
      <formula>NOT(ISERROR(SEARCH("SIN FACTURA",A28)))</formula>
    </cfRule>
  </conditionalFormatting>
  <conditionalFormatting sqref="A30:B30">
    <cfRule type="containsText" dxfId="3078" priority="6" operator="containsText" text="SIN FACTURA">
      <formula>NOT(ISERROR(SEARCH("SIN FACTURA",A30)))</formula>
    </cfRule>
  </conditionalFormatting>
  <conditionalFormatting sqref="A32:B32">
    <cfRule type="containsText" dxfId="3077" priority="5" operator="containsText" text="SIN FACTURA">
      <formula>NOT(ISERROR(SEARCH("SIN FACTURA",A32)))</formula>
    </cfRule>
  </conditionalFormatting>
  <conditionalFormatting sqref="A34:B34">
    <cfRule type="containsText" dxfId="3076" priority="4" operator="containsText" text="SIN FACTURA">
      <formula>NOT(ISERROR(SEARCH("SIN FACTURA",A34)))</formula>
    </cfRule>
  </conditionalFormatting>
  <conditionalFormatting sqref="A36:B36">
    <cfRule type="containsText" dxfId="3075" priority="3" operator="containsText" text="SIN FACTURA">
      <formula>NOT(ISERROR(SEARCH("SIN FACTURA",A36)))</formula>
    </cfRule>
  </conditionalFormatting>
  <conditionalFormatting sqref="A38:B38">
    <cfRule type="containsText" dxfId="3074" priority="2" operator="containsText" text="SIN FACTURA">
      <formula>NOT(ISERROR(SEARCH("SIN FACTURA",A38)))</formula>
    </cfRule>
  </conditionalFormatting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>
  <sheetPr codeName="Hoja121"/>
  <dimension ref="A1:Y43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361</v>
      </c>
      <c r="B1" s="18" t="s">
        <v>92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3"/>
      <c r="E5" s="43"/>
      <c r="F5" s="43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44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073" priority="32" operator="containsText" text="SIN FACTURA ">
      <formula>NOT(ISERROR(SEARCH("SIN FACTURA ",A2)))</formula>
    </cfRule>
  </conditionalFormatting>
  <conditionalFormatting sqref="A32:B32 J5:T11 I5:I43 A5:H11 A4:T4">
    <cfRule type="containsText" dxfId="3072" priority="6" operator="containsText" text="SIN FACTURA">
      <formula>NOT(ISERROR(SEARCH("SIN FACTURA",A4)))</formula>
    </cfRule>
  </conditionalFormatting>
  <conditionalFormatting sqref="A34:B34">
    <cfRule type="containsText" dxfId="3071" priority="5" operator="containsText" text="SIN FACTURA">
      <formula>NOT(ISERROR(SEARCH("SIN FACTURA",A34)))</formula>
    </cfRule>
  </conditionalFormatting>
  <conditionalFormatting sqref="A36:B36">
    <cfRule type="containsText" dxfId="3070" priority="4" operator="containsText" text="SIN FACTURA">
      <formula>NOT(ISERROR(SEARCH("SIN FACTURA",A36)))</formula>
    </cfRule>
  </conditionalFormatting>
  <conditionalFormatting sqref="A38:B38">
    <cfRule type="containsText" dxfId="3069" priority="3" operator="containsText" text="SIN FACTURA">
      <formula>NOT(ISERROR(SEARCH("SIN FACTURA",A38)))</formula>
    </cfRule>
  </conditionalFormatting>
  <conditionalFormatting sqref="J43:T43 J41:T41 J39:T39 J37:T37 J35:T35 J33:T33 J31:T31 J29:T29 J27:T27 J25:T25 J23:T23 J13:T21 A13:H21 A23:H23 A25:H25 A27:H27 A29:H29 A31:H31 A33:H33 A35:H35 A37:H37 A39:H39 A41:H41 A43:H43">
    <cfRule type="containsText" dxfId="3068" priority="25" operator="containsText" text="SIN FACTURA">
      <formula>NOT(ISERROR(SEARCH("SIN FACTURA",A13)))</formula>
    </cfRule>
  </conditionalFormatting>
  <conditionalFormatting sqref="C12:H12 J12:V12">
    <cfRule type="containsText" dxfId="3067" priority="24" operator="containsText" text="SIN FACTURA">
      <formula>NOT(ISERROR(SEARCH("SIN FACTURA",C12)))</formula>
    </cfRule>
  </conditionalFormatting>
  <conditionalFormatting sqref="C22:H22 J22:V22">
    <cfRule type="containsText" dxfId="3066" priority="23" operator="containsText" text="SIN FACTURA">
      <formula>NOT(ISERROR(SEARCH("SIN FACTURA",C22)))</formula>
    </cfRule>
  </conditionalFormatting>
  <conditionalFormatting sqref="C24:H24 J24:V24">
    <cfRule type="containsText" dxfId="3065" priority="22" operator="containsText" text="SIN FACTURA">
      <formula>NOT(ISERROR(SEARCH("SIN FACTURA",C24)))</formula>
    </cfRule>
  </conditionalFormatting>
  <conditionalFormatting sqref="C26:H26 J26:V26">
    <cfRule type="containsText" dxfId="3064" priority="21" operator="containsText" text="SIN FACTURA">
      <formula>NOT(ISERROR(SEARCH("SIN FACTURA",C26)))</formula>
    </cfRule>
  </conditionalFormatting>
  <conditionalFormatting sqref="C28:H28 J28:V28">
    <cfRule type="containsText" dxfId="3063" priority="20" operator="containsText" text="SIN FACTURA">
      <formula>NOT(ISERROR(SEARCH("SIN FACTURA",C28)))</formula>
    </cfRule>
  </conditionalFormatting>
  <conditionalFormatting sqref="C30:H30 J30:V30">
    <cfRule type="containsText" dxfId="3062" priority="19" operator="containsText" text="SIN FACTURA">
      <formula>NOT(ISERROR(SEARCH("SIN FACTURA",C30)))</formula>
    </cfRule>
  </conditionalFormatting>
  <conditionalFormatting sqref="C32:H32 J32:V32">
    <cfRule type="containsText" dxfId="3061" priority="18" operator="containsText" text="SIN FACTURA">
      <formula>NOT(ISERROR(SEARCH("SIN FACTURA",C32)))</formula>
    </cfRule>
  </conditionalFormatting>
  <conditionalFormatting sqref="C34:H34 J34:V34">
    <cfRule type="containsText" dxfId="3060" priority="17" operator="containsText" text="SIN FACTURA">
      <formula>NOT(ISERROR(SEARCH("SIN FACTURA",C34)))</formula>
    </cfRule>
  </conditionalFormatting>
  <conditionalFormatting sqref="C36:H36 J36:V36">
    <cfRule type="containsText" dxfId="3059" priority="16" operator="containsText" text="SIN FACTURA">
      <formula>NOT(ISERROR(SEARCH("SIN FACTURA",C36)))</formula>
    </cfRule>
  </conditionalFormatting>
  <conditionalFormatting sqref="C38:H38 J38:V38">
    <cfRule type="containsText" dxfId="3058" priority="15" operator="containsText" text="SIN FACTURA">
      <formula>NOT(ISERROR(SEARCH("SIN FACTURA",C38)))</formula>
    </cfRule>
  </conditionalFormatting>
  <conditionalFormatting sqref="C40:H40 J40:V40">
    <cfRule type="containsText" dxfId="3057" priority="14" operator="containsText" text="SIN FACTURA">
      <formula>NOT(ISERROR(SEARCH("SIN FACTURA",C40)))</formula>
    </cfRule>
  </conditionalFormatting>
  <conditionalFormatting sqref="C42:H42 J42:V42">
    <cfRule type="containsText" dxfId="3056" priority="13" operator="containsText" text="SIN FACTURA">
      <formula>NOT(ISERROR(SEARCH("SIN FACTURA",C42)))</formula>
    </cfRule>
  </conditionalFormatting>
  <conditionalFormatting sqref="A12:B12">
    <cfRule type="containsText" dxfId="3055" priority="12" operator="containsText" text="SIN FACTURA">
      <formula>NOT(ISERROR(SEARCH("SIN FACTURA",A12)))</formula>
    </cfRule>
  </conditionalFormatting>
  <conditionalFormatting sqref="A22:B22">
    <cfRule type="containsText" dxfId="3054" priority="11" operator="containsText" text="SIN FACTURA">
      <formula>NOT(ISERROR(SEARCH("SIN FACTURA",A22)))</formula>
    </cfRule>
  </conditionalFormatting>
  <conditionalFormatting sqref="A24:B24">
    <cfRule type="containsText" dxfId="3053" priority="10" operator="containsText" text="SIN FACTURA">
      <formula>NOT(ISERROR(SEARCH("SIN FACTURA",A24)))</formula>
    </cfRule>
  </conditionalFormatting>
  <conditionalFormatting sqref="A26:B26">
    <cfRule type="containsText" dxfId="3052" priority="9" operator="containsText" text="SIN FACTURA">
      <formula>NOT(ISERROR(SEARCH("SIN FACTURA",A26)))</formula>
    </cfRule>
  </conditionalFormatting>
  <conditionalFormatting sqref="A28:B28">
    <cfRule type="containsText" dxfId="3051" priority="8" operator="containsText" text="SIN FACTURA">
      <formula>NOT(ISERROR(SEARCH("SIN FACTURA",A28)))</formula>
    </cfRule>
  </conditionalFormatting>
  <conditionalFormatting sqref="A30:B30">
    <cfRule type="containsText" dxfId="3050" priority="7" operator="containsText" text="SIN FACTURA">
      <formula>NOT(ISERROR(SEARCH("SIN FACTURA",A30)))</formula>
    </cfRule>
  </conditionalFormatting>
  <conditionalFormatting sqref="A42:B42">
    <cfRule type="containsText" dxfId="3049" priority="1" operator="containsText" text="SIN FACTURA">
      <formula>NOT(ISERROR(SEARCH("SIN FACTURA",A42)))</formula>
    </cfRule>
  </conditionalFormatting>
  <conditionalFormatting sqref="A40:B40">
    <cfRule type="containsText" dxfId="3048" priority="2" operator="containsText" text="SIN FACTURA">
      <formula>NOT(ISERROR(SEARCH("SIN FACTURA",A40)))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45.xml><?xml version="1.0" encoding="utf-8"?>
<worksheet xmlns="http://schemas.openxmlformats.org/spreadsheetml/2006/main" xmlns:r="http://schemas.openxmlformats.org/officeDocument/2006/relationships">
  <sheetPr codeName="Hoja122"/>
  <dimension ref="A1:Y43"/>
  <sheetViews>
    <sheetView topLeftCell="B1" zoomScale="125" zoomScaleNormal="125" zoomScalePageLayoutView="125" workbookViewId="0">
      <pane ySplit="4" topLeftCell="A5" activePane="bottomLeft" state="frozen"/>
      <selection activeCell="C52" sqref="C52"/>
      <selection pane="bottomLeft" activeCell="B5" sqref="A5:XFD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406</v>
      </c>
      <c r="B1" s="18" t="s">
        <v>115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78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047" priority="26" operator="containsText" text="SIN FACTURA ">
      <formula>NOT(ISERROR(SEARCH("SIN FACTURA ",A2)))</formula>
    </cfRule>
  </conditionalFormatting>
  <conditionalFormatting sqref="J43:T43 J41:T41 J39:T39 J37:T37 J35:T35 J33:T33 J31:T31 J29:T29 J27:T27 J25:T25 J23:T23 J13:T21 A13:H21 A23:H23 A25:H25 A27:H27 A29:H29 A31:H31 A33:H33 A35:H35 A37:H37 A39:H39 A41:H41 A43:H43 A4:T4 J5:T11 I5:I43 A5:H11">
    <cfRule type="containsText" dxfId="3046" priority="25" operator="containsText" text="SIN FACTURA">
      <formula>NOT(ISERROR(SEARCH("SIN FACTURA",A4)))</formula>
    </cfRule>
  </conditionalFormatting>
  <conditionalFormatting sqref="C12:H12 J12:V12">
    <cfRule type="containsText" dxfId="3045" priority="24" operator="containsText" text="SIN FACTURA">
      <formula>NOT(ISERROR(SEARCH("SIN FACTURA",C12)))</formula>
    </cfRule>
  </conditionalFormatting>
  <conditionalFormatting sqref="C22:H22 J22:V22">
    <cfRule type="containsText" dxfId="3044" priority="23" operator="containsText" text="SIN FACTURA">
      <formula>NOT(ISERROR(SEARCH("SIN FACTURA",C22)))</formula>
    </cfRule>
  </conditionalFormatting>
  <conditionalFormatting sqref="C24:H24 J24:V24">
    <cfRule type="containsText" dxfId="3043" priority="22" operator="containsText" text="SIN FACTURA">
      <formula>NOT(ISERROR(SEARCH("SIN FACTURA",C24)))</formula>
    </cfRule>
  </conditionalFormatting>
  <conditionalFormatting sqref="C26:H26 J26:V26">
    <cfRule type="containsText" dxfId="3042" priority="21" operator="containsText" text="SIN FACTURA">
      <formula>NOT(ISERROR(SEARCH("SIN FACTURA",C26)))</formula>
    </cfRule>
  </conditionalFormatting>
  <conditionalFormatting sqref="C28:H28 J28:V28">
    <cfRule type="containsText" dxfId="3041" priority="20" operator="containsText" text="SIN FACTURA">
      <formula>NOT(ISERROR(SEARCH("SIN FACTURA",C28)))</formula>
    </cfRule>
  </conditionalFormatting>
  <conditionalFormatting sqref="C30:H30 J30:V30">
    <cfRule type="containsText" dxfId="3040" priority="19" operator="containsText" text="SIN FACTURA">
      <formula>NOT(ISERROR(SEARCH("SIN FACTURA",C30)))</formula>
    </cfRule>
  </conditionalFormatting>
  <conditionalFormatting sqref="C32:H32 J32:V32">
    <cfRule type="containsText" dxfId="3039" priority="18" operator="containsText" text="SIN FACTURA">
      <formula>NOT(ISERROR(SEARCH("SIN FACTURA",C32)))</formula>
    </cfRule>
  </conditionalFormatting>
  <conditionalFormatting sqref="C34:H34 J34:V34">
    <cfRule type="containsText" dxfId="3038" priority="17" operator="containsText" text="SIN FACTURA">
      <formula>NOT(ISERROR(SEARCH("SIN FACTURA",C34)))</formula>
    </cfRule>
  </conditionalFormatting>
  <conditionalFormatting sqref="C36:H36 J36:V36">
    <cfRule type="containsText" dxfId="3037" priority="16" operator="containsText" text="SIN FACTURA">
      <formula>NOT(ISERROR(SEARCH("SIN FACTURA",C36)))</formula>
    </cfRule>
  </conditionalFormatting>
  <conditionalFormatting sqref="C38:H38 J38:V38">
    <cfRule type="containsText" dxfId="3036" priority="15" operator="containsText" text="SIN FACTURA">
      <formula>NOT(ISERROR(SEARCH("SIN FACTURA",C38)))</formula>
    </cfRule>
  </conditionalFormatting>
  <conditionalFormatting sqref="C40:H40 J40:V40">
    <cfRule type="containsText" dxfId="3035" priority="14" operator="containsText" text="SIN FACTURA">
      <formula>NOT(ISERROR(SEARCH("SIN FACTURA",C40)))</formula>
    </cfRule>
  </conditionalFormatting>
  <conditionalFormatting sqref="C42:H42 J42:V42">
    <cfRule type="containsText" dxfId="3034" priority="13" operator="containsText" text="SIN FACTURA">
      <formula>NOT(ISERROR(SEARCH("SIN FACTURA",C42)))</formula>
    </cfRule>
  </conditionalFormatting>
  <conditionalFormatting sqref="A12:B12">
    <cfRule type="containsText" dxfId="3033" priority="12" operator="containsText" text="SIN FACTURA">
      <formula>NOT(ISERROR(SEARCH("SIN FACTURA",A12)))</formula>
    </cfRule>
  </conditionalFormatting>
  <conditionalFormatting sqref="A22:B22">
    <cfRule type="containsText" dxfId="3032" priority="11" operator="containsText" text="SIN FACTURA">
      <formula>NOT(ISERROR(SEARCH("SIN FACTURA",A22)))</formula>
    </cfRule>
  </conditionalFormatting>
  <conditionalFormatting sqref="A24:B24">
    <cfRule type="containsText" dxfId="3031" priority="10" operator="containsText" text="SIN FACTURA">
      <formula>NOT(ISERROR(SEARCH("SIN FACTURA",A24)))</formula>
    </cfRule>
  </conditionalFormatting>
  <conditionalFormatting sqref="A26:B26">
    <cfRule type="containsText" dxfId="3030" priority="9" operator="containsText" text="SIN FACTURA">
      <formula>NOT(ISERROR(SEARCH("SIN FACTURA",A26)))</formula>
    </cfRule>
  </conditionalFormatting>
  <conditionalFormatting sqref="A28:B28">
    <cfRule type="containsText" dxfId="3029" priority="8" operator="containsText" text="SIN FACTURA">
      <formula>NOT(ISERROR(SEARCH("SIN FACTURA",A28)))</formula>
    </cfRule>
  </conditionalFormatting>
  <conditionalFormatting sqref="A30:B30">
    <cfRule type="containsText" dxfId="3028" priority="7" operator="containsText" text="SIN FACTURA">
      <formula>NOT(ISERROR(SEARCH("SIN FACTURA",A30)))</formula>
    </cfRule>
  </conditionalFormatting>
  <conditionalFormatting sqref="A42:B42">
    <cfRule type="containsText" dxfId="3027" priority="6" operator="containsText" text="SIN FACTURA">
      <formula>NOT(ISERROR(SEARCH("SIN FACTURA",A42)))</formula>
    </cfRule>
  </conditionalFormatting>
  <conditionalFormatting sqref="A32:B32">
    <cfRule type="containsText" dxfId="3026" priority="5" operator="containsText" text="SIN FACTURA">
      <formula>NOT(ISERROR(SEARCH("SIN FACTURA",A32)))</formula>
    </cfRule>
  </conditionalFormatting>
  <conditionalFormatting sqref="A34:B34">
    <cfRule type="containsText" dxfId="3025" priority="4" operator="containsText" text="SIN FACTURA">
      <formula>NOT(ISERROR(SEARCH("SIN FACTURA",A34)))</formula>
    </cfRule>
  </conditionalFormatting>
  <conditionalFormatting sqref="A36:B36">
    <cfRule type="containsText" dxfId="3024" priority="3" operator="containsText" text="SIN FACTURA">
      <formula>NOT(ISERROR(SEARCH("SIN FACTURA",A36)))</formula>
    </cfRule>
  </conditionalFormatting>
  <conditionalFormatting sqref="A38:B38">
    <cfRule type="containsText" dxfId="3023" priority="2" operator="containsText" text="SIN FACTURA">
      <formula>NOT(ISERROR(SEARCH("SIN FACTURA",A38)))</formula>
    </cfRule>
  </conditionalFormatting>
  <conditionalFormatting sqref="A40:B40">
    <cfRule type="containsText" dxfId="3022" priority="1" operator="containsText" text="SIN FACTURA">
      <formula>NOT(ISERROR(SEARCH("SIN FACTURA",A40)))</formula>
    </cfRule>
  </conditionalFormatting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>
  <sheetPr codeName="Hoja51"/>
  <dimension ref="A1:Y43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150</v>
      </c>
      <c r="B1" s="18"/>
      <c r="C1" s="20"/>
      <c r="D1" s="5">
        <v>90084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78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021" priority="26" operator="containsText" text="SIN FACTURA ">
      <formula>NOT(ISERROR(SEARCH("SIN FACTURA ",A2)))</formula>
    </cfRule>
  </conditionalFormatting>
  <conditionalFormatting sqref="J43:T43 J41:T41 J39:T39 J37:T37 J35:T35 J33:T33 J31:T31 J29:T29 J27:T27 J25:T25 J23:T23 J13:T21 A13:H21 A23:H23 A25:H25 A27:H27 A29:H29 A31:H31 A33:H33 A35:H35 A37:H37 A39:H39 A41:H41 A43:H43 A4:T4 J5:T11 I5:I43 A5:H11">
    <cfRule type="containsText" dxfId="3020" priority="25" operator="containsText" text="SIN FACTURA">
      <formula>NOT(ISERROR(SEARCH("SIN FACTURA",A4)))</formula>
    </cfRule>
  </conditionalFormatting>
  <conditionalFormatting sqref="C12:H12 J12:V12">
    <cfRule type="containsText" dxfId="3019" priority="24" operator="containsText" text="SIN FACTURA">
      <formula>NOT(ISERROR(SEARCH("SIN FACTURA",C12)))</formula>
    </cfRule>
  </conditionalFormatting>
  <conditionalFormatting sqref="C22:H22 J22:V22">
    <cfRule type="containsText" dxfId="3018" priority="23" operator="containsText" text="SIN FACTURA">
      <formula>NOT(ISERROR(SEARCH("SIN FACTURA",C22)))</formula>
    </cfRule>
  </conditionalFormatting>
  <conditionalFormatting sqref="C24:H24 J24:V24">
    <cfRule type="containsText" dxfId="3017" priority="22" operator="containsText" text="SIN FACTURA">
      <formula>NOT(ISERROR(SEARCH("SIN FACTURA",C24)))</formula>
    </cfRule>
  </conditionalFormatting>
  <conditionalFormatting sqref="C26:H26 J26:V26">
    <cfRule type="containsText" dxfId="3016" priority="21" operator="containsText" text="SIN FACTURA">
      <formula>NOT(ISERROR(SEARCH("SIN FACTURA",C26)))</formula>
    </cfRule>
  </conditionalFormatting>
  <conditionalFormatting sqref="C28:H28 J28:V28">
    <cfRule type="containsText" dxfId="3015" priority="20" operator="containsText" text="SIN FACTURA">
      <formula>NOT(ISERROR(SEARCH("SIN FACTURA",C28)))</formula>
    </cfRule>
  </conditionalFormatting>
  <conditionalFormatting sqref="C30:H30 J30:V30">
    <cfRule type="containsText" dxfId="3014" priority="19" operator="containsText" text="SIN FACTURA">
      <formula>NOT(ISERROR(SEARCH("SIN FACTURA",C30)))</formula>
    </cfRule>
  </conditionalFormatting>
  <conditionalFormatting sqref="C32:H32 J32:V32">
    <cfRule type="containsText" dxfId="3013" priority="18" operator="containsText" text="SIN FACTURA">
      <formula>NOT(ISERROR(SEARCH("SIN FACTURA",C32)))</formula>
    </cfRule>
  </conditionalFormatting>
  <conditionalFormatting sqref="C34:H34 J34:V34">
    <cfRule type="containsText" dxfId="3012" priority="17" operator="containsText" text="SIN FACTURA">
      <formula>NOT(ISERROR(SEARCH("SIN FACTURA",C34)))</formula>
    </cfRule>
  </conditionalFormatting>
  <conditionalFormatting sqref="C36:H36 J36:V36">
    <cfRule type="containsText" dxfId="3011" priority="16" operator="containsText" text="SIN FACTURA">
      <formula>NOT(ISERROR(SEARCH("SIN FACTURA",C36)))</formula>
    </cfRule>
  </conditionalFormatting>
  <conditionalFormatting sqref="C38:H38 J38:V38">
    <cfRule type="containsText" dxfId="3010" priority="15" operator="containsText" text="SIN FACTURA">
      <formula>NOT(ISERROR(SEARCH("SIN FACTURA",C38)))</formula>
    </cfRule>
  </conditionalFormatting>
  <conditionalFormatting sqref="C40:H40 J40:V40">
    <cfRule type="containsText" dxfId="3009" priority="14" operator="containsText" text="SIN FACTURA">
      <formula>NOT(ISERROR(SEARCH("SIN FACTURA",C40)))</formula>
    </cfRule>
  </conditionalFormatting>
  <conditionalFormatting sqref="C42:H42 J42:V42">
    <cfRule type="containsText" dxfId="3008" priority="13" operator="containsText" text="SIN FACTURA">
      <formula>NOT(ISERROR(SEARCH("SIN FACTURA",C42)))</formula>
    </cfRule>
  </conditionalFormatting>
  <conditionalFormatting sqref="A12:B12">
    <cfRule type="containsText" dxfId="3007" priority="12" operator="containsText" text="SIN FACTURA">
      <formula>NOT(ISERROR(SEARCH("SIN FACTURA",A12)))</formula>
    </cfRule>
  </conditionalFormatting>
  <conditionalFormatting sqref="A22:B22">
    <cfRule type="containsText" dxfId="3006" priority="11" operator="containsText" text="SIN FACTURA">
      <formula>NOT(ISERROR(SEARCH("SIN FACTURA",A22)))</formula>
    </cfRule>
  </conditionalFormatting>
  <conditionalFormatting sqref="A24:B24">
    <cfRule type="containsText" dxfId="3005" priority="10" operator="containsText" text="SIN FACTURA">
      <formula>NOT(ISERROR(SEARCH("SIN FACTURA",A24)))</formula>
    </cfRule>
  </conditionalFormatting>
  <conditionalFormatting sqref="A26:B26">
    <cfRule type="containsText" dxfId="3004" priority="9" operator="containsText" text="SIN FACTURA">
      <formula>NOT(ISERROR(SEARCH("SIN FACTURA",A26)))</formula>
    </cfRule>
  </conditionalFormatting>
  <conditionalFormatting sqref="A28:B28">
    <cfRule type="containsText" dxfId="3003" priority="8" operator="containsText" text="SIN FACTURA">
      <formula>NOT(ISERROR(SEARCH("SIN FACTURA",A28)))</formula>
    </cfRule>
  </conditionalFormatting>
  <conditionalFormatting sqref="A30:B30">
    <cfRule type="containsText" dxfId="3002" priority="7" operator="containsText" text="SIN FACTURA">
      <formula>NOT(ISERROR(SEARCH("SIN FACTURA",A30)))</formula>
    </cfRule>
  </conditionalFormatting>
  <conditionalFormatting sqref="A42:B42">
    <cfRule type="containsText" dxfId="3001" priority="1" operator="containsText" text="SIN FACTURA">
      <formula>NOT(ISERROR(SEARCH("SIN FACTURA",A42)))</formula>
    </cfRule>
  </conditionalFormatting>
  <conditionalFormatting sqref="A32:B32">
    <cfRule type="containsText" dxfId="3000" priority="6" operator="containsText" text="SIN FACTURA">
      <formula>NOT(ISERROR(SEARCH("SIN FACTURA",A32)))</formula>
    </cfRule>
  </conditionalFormatting>
  <conditionalFormatting sqref="A34:B34">
    <cfRule type="containsText" dxfId="2999" priority="5" operator="containsText" text="SIN FACTURA">
      <formula>NOT(ISERROR(SEARCH("SIN FACTURA",A34)))</formula>
    </cfRule>
  </conditionalFormatting>
  <conditionalFormatting sqref="A36:B36">
    <cfRule type="containsText" dxfId="2998" priority="4" operator="containsText" text="SIN FACTURA">
      <formula>NOT(ISERROR(SEARCH("SIN FACTURA",A36)))</formula>
    </cfRule>
  </conditionalFormatting>
  <conditionalFormatting sqref="A38:B38">
    <cfRule type="containsText" dxfId="2997" priority="3" operator="containsText" text="SIN FACTURA">
      <formula>NOT(ISERROR(SEARCH("SIN FACTURA",A38)))</formula>
    </cfRule>
  </conditionalFormatting>
  <conditionalFormatting sqref="A40:B40">
    <cfRule type="containsText" dxfId="2996" priority="2" operator="containsText" text="SIN FACTURA">
      <formula>NOT(ISERROR(SEARCH("SIN FACTURA",A40)))</formula>
    </cfRule>
  </conditionalFormatting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>
  <sheetPr codeName="Hoja16"/>
  <dimension ref="A1:Y45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P5" sqref="P5:T11"/>
    </sheetView>
  </sheetViews>
  <sheetFormatPr baseColWidth="10" defaultColWidth="10.875" defaultRowHeight="15.75"/>
  <cols>
    <col min="1" max="1" width="22.5" style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236</v>
      </c>
      <c r="B1" s="18" t="s">
        <v>51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>F5-G5-H5</f>
        <v>0</v>
      </c>
      <c r="J5" s="44">
        <f t="shared" ref="J5:J45" si="0">S5+T5</f>
        <v>0</v>
      </c>
      <c r="K5" s="44">
        <f t="shared" ref="K5:K45" si="1">I5-J5</f>
        <v>0</v>
      </c>
      <c r="L5" s="45"/>
      <c r="M5" s="40"/>
      <c r="N5" s="43">
        <f t="shared" ref="N5:N45" si="2">I5-J5-M5-R5</f>
        <v>0</v>
      </c>
      <c r="O5" s="43">
        <f t="shared" ref="O5:O45" si="3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ref="I7:I45" si="4">F7-G7-H7</f>
        <v>0</v>
      </c>
      <c r="J7" s="44">
        <f t="shared" si="0"/>
        <v>0</v>
      </c>
      <c r="K7" s="44">
        <f t="shared" si="1"/>
        <v>0</v>
      </c>
      <c r="L7" s="45"/>
      <c r="M7" s="40"/>
      <c r="N7" s="43">
        <f t="shared" si="2"/>
        <v>0</v>
      </c>
      <c r="O7" s="43">
        <f t="shared" si="3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4"/>
        <v>0</v>
      </c>
      <c r="J9" s="44">
        <f t="shared" si="0"/>
        <v>0</v>
      </c>
      <c r="K9" s="44">
        <f t="shared" si="1"/>
        <v>0</v>
      </c>
      <c r="L9" s="45"/>
      <c r="M9" s="40"/>
      <c r="N9" s="43">
        <f t="shared" si="2"/>
        <v>0</v>
      </c>
      <c r="O9" s="43">
        <f t="shared" si="3"/>
        <v>0</v>
      </c>
      <c r="P9" s="46"/>
      <c r="Q9" s="40"/>
      <c r="R9" s="43"/>
      <c r="S9" s="43"/>
      <c r="T9" s="49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5"/>
      <c r="C11" s="42"/>
      <c r="D11" s="40"/>
      <c r="E11" s="40"/>
      <c r="F11" s="40"/>
      <c r="G11" s="43">
        <f>F11*6%</f>
        <v>0</v>
      </c>
      <c r="H11" s="43"/>
      <c r="I11" s="44">
        <f t="shared" si="4"/>
        <v>0</v>
      </c>
      <c r="J11" s="44">
        <f>S11+T11</f>
        <v>0</v>
      </c>
      <c r="K11" s="44">
        <f>I11-J11</f>
        <v>0</v>
      </c>
      <c r="L11" s="45"/>
      <c r="M11" s="40"/>
      <c r="N11" s="43">
        <f t="shared" si="2"/>
        <v>0</v>
      </c>
      <c r="O11" s="43">
        <f t="shared" si="3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4"/>
        <v>0</v>
      </c>
      <c r="J13" s="44">
        <f t="shared" si="0"/>
        <v>0</v>
      </c>
      <c r="K13" s="44">
        <f t="shared" si="1"/>
        <v>0</v>
      </c>
      <c r="L13" s="45"/>
      <c r="M13" s="40"/>
      <c r="N13" s="43">
        <f t="shared" si="2"/>
        <v>0</v>
      </c>
      <c r="O13" s="43">
        <f t="shared" si="3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4"/>
        <v>0</v>
      </c>
      <c r="J15" s="44">
        <f t="shared" si="0"/>
        <v>0</v>
      </c>
      <c r="K15" s="44">
        <f t="shared" si="1"/>
        <v>0</v>
      </c>
      <c r="L15" s="45"/>
      <c r="M15" s="40"/>
      <c r="N15" s="43">
        <f t="shared" si="2"/>
        <v>0</v>
      </c>
      <c r="O15" s="43">
        <f t="shared" si="3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4"/>
        <v>0</v>
      </c>
      <c r="J17" s="44">
        <f t="shared" si="0"/>
        <v>0</v>
      </c>
      <c r="K17" s="44">
        <f t="shared" si="1"/>
        <v>0</v>
      </c>
      <c r="L17" s="45"/>
      <c r="M17" s="40"/>
      <c r="N17" s="43">
        <f t="shared" si="2"/>
        <v>0</v>
      </c>
      <c r="O17" s="43">
        <f t="shared" si="3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4"/>
        <v>0</v>
      </c>
      <c r="J19" s="44">
        <f>S19+T19</f>
        <v>0</v>
      </c>
      <c r="K19" s="44">
        <f t="shared" si="1"/>
        <v>0</v>
      </c>
      <c r="L19" s="45"/>
      <c r="M19" s="40"/>
      <c r="N19" s="43">
        <f>I19-J19-M19-R19</f>
        <v>0</v>
      </c>
      <c r="O19" s="43">
        <f>R19+S19+T19</f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4"/>
        <v>0</v>
      </c>
      <c r="J21" s="44">
        <f t="shared" si="0"/>
        <v>0</v>
      </c>
      <c r="K21" s="44">
        <f t="shared" si="1"/>
        <v>0</v>
      </c>
      <c r="L21" s="45"/>
      <c r="M21" s="40"/>
      <c r="N21" s="43">
        <f t="shared" si="2"/>
        <v>0</v>
      </c>
      <c r="O21" s="43">
        <f t="shared" si="3"/>
        <v>0</v>
      </c>
      <c r="P21" s="46"/>
      <c r="Q21" s="40"/>
      <c r="R21" s="47"/>
      <c r="S21" s="47"/>
      <c r="T21" s="48"/>
    </row>
    <row r="22" spans="1:22" ht="15">
      <c r="A22" s="32"/>
      <c r="B22" s="33"/>
      <c r="C22" s="34"/>
      <c r="D22" s="32"/>
      <c r="E22" s="32"/>
      <c r="F22" s="32"/>
      <c r="G22" s="37"/>
      <c r="H22" s="37"/>
      <c r="I22" s="37"/>
      <c r="J22" s="35"/>
      <c r="K22" s="35"/>
      <c r="L22" s="36"/>
      <c r="M22" s="32"/>
      <c r="N22" s="37"/>
      <c r="O22" s="37"/>
      <c r="P22" s="38"/>
      <c r="Q22" s="32"/>
      <c r="R22" s="32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4"/>
        <v>0</v>
      </c>
      <c r="J23" s="44">
        <f t="shared" si="0"/>
        <v>0</v>
      </c>
      <c r="K23" s="44">
        <f t="shared" si="1"/>
        <v>0</v>
      </c>
      <c r="L23" s="45"/>
      <c r="M23" s="40"/>
      <c r="N23" s="43">
        <f t="shared" si="2"/>
        <v>0</v>
      </c>
      <c r="O23" s="43">
        <f t="shared" si="3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4"/>
        <v>0</v>
      </c>
      <c r="J25" s="44">
        <f t="shared" si="0"/>
        <v>0</v>
      </c>
      <c r="K25" s="44">
        <f t="shared" si="1"/>
        <v>0</v>
      </c>
      <c r="L25" s="45"/>
      <c r="M25" s="40"/>
      <c r="N25" s="43">
        <f t="shared" si="2"/>
        <v>0</v>
      </c>
      <c r="O25" s="43">
        <f t="shared" si="3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4"/>
        <v>0</v>
      </c>
      <c r="J27" s="44">
        <f t="shared" si="0"/>
        <v>0</v>
      </c>
      <c r="K27" s="44">
        <f t="shared" si="1"/>
        <v>0</v>
      </c>
      <c r="L27" s="45"/>
      <c r="M27" s="40"/>
      <c r="N27" s="43">
        <f t="shared" si="2"/>
        <v>0</v>
      </c>
      <c r="O27" s="43">
        <f t="shared" si="3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4"/>
        <v>0</v>
      </c>
      <c r="J29" s="44">
        <f t="shared" si="0"/>
        <v>0</v>
      </c>
      <c r="K29" s="44">
        <f t="shared" si="1"/>
        <v>0</v>
      </c>
      <c r="L29" s="45"/>
      <c r="M29" s="40"/>
      <c r="N29" s="43">
        <f t="shared" si="2"/>
        <v>0</v>
      </c>
      <c r="O29" s="43">
        <f t="shared" si="3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4"/>
        <v>0</v>
      </c>
      <c r="J31" s="44">
        <f t="shared" si="0"/>
        <v>0</v>
      </c>
      <c r="K31" s="44">
        <f t="shared" si="1"/>
        <v>0</v>
      </c>
      <c r="L31" s="45"/>
      <c r="M31" s="40"/>
      <c r="N31" s="43">
        <f t="shared" si="2"/>
        <v>0</v>
      </c>
      <c r="O31" s="43">
        <f t="shared" si="3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4"/>
        <v>0</v>
      </c>
      <c r="J33" s="44">
        <f t="shared" si="0"/>
        <v>0</v>
      </c>
      <c r="K33" s="44">
        <f t="shared" si="1"/>
        <v>0</v>
      </c>
      <c r="L33" s="45"/>
      <c r="M33" s="40"/>
      <c r="N33" s="43">
        <f t="shared" si="2"/>
        <v>0</v>
      </c>
      <c r="O33" s="43">
        <f t="shared" si="3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4"/>
        <v>0</v>
      </c>
      <c r="J35" s="44">
        <f t="shared" si="0"/>
        <v>0</v>
      </c>
      <c r="K35" s="44">
        <f t="shared" si="1"/>
        <v>0</v>
      </c>
      <c r="L35" s="45"/>
      <c r="M35" s="40"/>
      <c r="N35" s="43">
        <f t="shared" si="2"/>
        <v>0</v>
      </c>
      <c r="O35" s="43">
        <f t="shared" si="3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4"/>
        <v>0</v>
      </c>
      <c r="J37" s="44">
        <f t="shared" si="0"/>
        <v>0</v>
      </c>
      <c r="K37" s="44">
        <f t="shared" si="1"/>
        <v>0</v>
      </c>
      <c r="L37" s="45"/>
      <c r="M37" s="40"/>
      <c r="N37" s="43">
        <f t="shared" si="2"/>
        <v>0</v>
      </c>
      <c r="O37" s="43">
        <f t="shared" si="3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4"/>
        <v>0</v>
      </c>
      <c r="J39" s="44">
        <f t="shared" si="0"/>
        <v>0</v>
      </c>
      <c r="K39" s="44">
        <f t="shared" si="1"/>
        <v>0</v>
      </c>
      <c r="L39" s="45"/>
      <c r="M39" s="40"/>
      <c r="N39" s="43">
        <f t="shared" si="2"/>
        <v>0</v>
      </c>
      <c r="O39" s="43">
        <f t="shared" si="3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4"/>
        <v>0</v>
      </c>
      <c r="J41" s="44">
        <f t="shared" si="0"/>
        <v>0</v>
      </c>
      <c r="K41" s="44">
        <f t="shared" si="1"/>
        <v>0</v>
      </c>
      <c r="L41" s="45"/>
      <c r="M41" s="40"/>
      <c r="N41" s="43">
        <f t="shared" si="2"/>
        <v>0</v>
      </c>
      <c r="O41" s="43">
        <f t="shared" si="3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40"/>
      <c r="B43" s="41"/>
      <c r="C43" s="42"/>
      <c r="D43" s="40"/>
      <c r="E43" s="40"/>
      <c r="F43" s="40"/>
      <c r="G43" s="43">
        <f>F43*6%</f>
        <v>0</v>
      </c>
      <c r="H43" s="43"/>
      <c r="I43" s="44">
        <f t="shared" si="4"/>
        <v>0</v>
      </c>
      <c r="J43" s="44">
        <f t="shared" si="0"/>
        <v>0</v>
      </c>
      <c r="K43" s="44">
        <f t="shared" si="1"/>
        <v>0</v>
      </c>
      <c r="L43" s="45"/>
      <c r="M43" s="40"/>
      <c r="N43" s="43">
        <f t="shared" si="2"/>
        <v>0</v>
      </c>
      <c r="O43" s="43">
        <f t="shared" si="3"/>
        <v>0</v>
      </c>
      <c r="P43" s="46"/>
      <c r="Q43" s="40"/>
      <c r="R43" s="40"/>
      <c r="S43" s="40"/>
      <c r="T43" s="5"/>
    </row>
    <row r="44" spans="1:22" ht="15">
      <c r="A44" s="32"/>
      <c r="B44" s="33"/>
      <c r="C44" s="32"/>
      <c r="D44" s="33"/>
      <c r="E44" s="34"/>
      <c r="F44" s="32"/>
      <c r="G44" s="32"/>
      <c r="H44" s="32"/>
      <c r="I44" s="37"/>
      <c r="J44" s="37"/>
      <c r="K44" s="35"/>
      <c r="L44" s="35"/>
      <c r="M44" s="35"/>
      <c r="N44" s="36"/>
      <c r="O44" s="32"/>
      <c r="P44" s="37"/>
      <c r="Q44" s="37"/>
      <c r="R44" s="38"/>
      <c r="S44" s="32"/>
      <c r="T44" s="39"/>
      <c r="U44" s="6"/>
      <c r="V44" s="6"/>
    </row>
    <row r="45" spans="1:22" ht="15">
      <c r="A45" s="50"/>
      <c r="B45" s="51"/>
      <c r="C45" s="52"/>
      <c r="D45" s="50"/>
      <c r="E45" s="50"/>
      <c r="F45" s="50"/>
      <c r="G45" s="43">
        <f>F45*6%</f>
        <v>0</v>
      </c>
      <c r="H45" s="53"/>
      <c r="I45" s="44">
        <f t="shared" si="4"/>
        <v>0</v>
      </c>
      <c r="J45" s="54">
        <f t="shared" si="0"/>
        <v>0</v>
      </c>
      <c r="K45" s="54">
        <f t="shared" si="1"/>
        <v>0</v>
      </c>
      <c r="L45" s="55"/>
      <c r="M45" s="50"/>
      <c r="N45" s="53">
        <f t="shared" si="2"/>
        <v>0</v>
      </c>
      <c r="O45" s="53">
        <f t="shared" si="3"/>
        <v>0</v>
      </c>
      <c r="P45" s="56"/>
      <c r="Q45" s="50"/>
      <c r="R45" s="50"/>
      <c r="S45" s="50"/>
      <c r="T45" s="5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2995" priority="29" operator="containsText" text="SIN FACTURA ">
      <formula>NOT(ISERROR(SEARCH("SIN FACTURA ",A2)))</formula>
    </cfRule>
  </conditionalFormatting>
  <conditionalFormatting sqref="A42:B42 J6:T13 I6:I45">
    <cfRule type="containsText" dxfId="2994" priority="3" operator="containsText" text="SIN FACTURA">
      <formula>NOT(ISERROR(SEARCH("SIN FACTURA",A6)))</formula>
    </cfRule>
  </conditionalFormatting>
  <conditionalFormatting sqref="A4:T5 J45:T45 J43:T43 J41:T41 J39:T39 J37:T37 J35:T35 J33:T33 J31:T31 J29:T29 J27:T27 J25:T25 J15:T23 A6:H6 A15:H23 A25:H25 A27:H27 A29:H29 A31:H31 A33:H33 A35:H35 A37:H37 A39:H39 A41:H41 A43:H43 A45:H45 A12:H13 G7:H10 A11 C11:H11">
    <cfRule type="containsText" dxfId="2993" priority="26" operator="containsText" text="SIN FACTURA">
      <formula>NOT(ISERROR(SEARCH("SIN FACTURA",A4)))</formula>
    </cfRule>
  </conditionalFormatting>
  <conditionalFormatting sqref="C14:H14 J14:V14">
    <cfRule type="containsText" dxfId="2992" priority="25" operator="containsText" text="SIN FACTURA">
      <formula>NOT(ISERROR(SEARCH("SIN FACTURA",C14)))</formula>
    </cfRule>
  </conditionalFormatting>
  <conditionalFormatting sqref="C24:H24 J24:V24">
    <cfRule type="containsText" dxfId="2991" priority="24" operator="containsText" text="SIN FACTURA">
      <formula>NOT(ISERROR(SEARCH("SIN FACTURA",C24)))</formula>
    </cfRule>
  </conditionalFormatting>
  <conditionalFormatting sqref="C26:H26 J26:V26">
    <cfRule type="containsText" dxfId="2990" priority="23" operator="containsText" text="SIN FACTURA">
      <formula>NOT(ISERROR(SEARCH("SIN FACTURA",C26)))</formula>
    </cfRule>
  </conditionalFormatting>
  <conditionalFormatting sqref="C28:H28 J28:V28">
    <cfRule type="containsText" dxfId="2989" priority="22" operator="containsText" text="SIN FACTURA">
      <formula>NOT(ISERROR(SEARCH("SIN FACTURA",C28)))</formula>
    </cfRule>
  </conditionalFormatting>
  <conditionalFormatting sqref="C30:H30 J30:V30">
    <cfRule type="containsText" dxfId="2988" priority="21" operator="containsText" text="SIN FACTURA">
      <formula>NOT(ISERROR(SEARCH("SIN FACTURA",C30)))</formula>
    </cfRule>
  </conditionalFormatting>
  <conditionalFormatting sqref="C32:H32 J32:V32">
    <cfRule type="containsText" dxfId="2987" priority="20" operator="containsText" text="SIN FACTURA">
      <formula>NOT(ISERROR(SEARCH("SIN FACTURA",C32)))</formula>
    </cfRule>
  </conditionalFormatting>
  <conditionalFormatting sqref="C34:H34 J34:V34">
    <cfRule type="containsText" dxfId="2986" priority="19" operator="containsText" text="SIN FACTURA">
      <formula>NOT(ISERROR(SEARCH("SIN FACTURA",C34)))</formula>
    </cfRule>
  </conditionalFormatting>
  <conditionalFormatting sqref="C36:H36 J36:V36">
    <cfRule type="containsText" dxfId="2985" priority="18" operator="containsText" text="SIN FACTURA">
      <formula>NOT(ISERROR(SEARCH("SIN FACTURA",C36)))</formula>
    </cfRule>
  </conditionalFormatting>
  <conditionalFormatting sqref="C38:H38 J38:V38">
    <cfRule type="containsText" dxfId="2984" priority="17" operator="containsText" text="SIN FACTURA">
      <formula>NOT(ISERROR(SEARCH("SIN FACTURA",C38)))</formula>
    </cfRule>
  </conditionalFormatting>
  <conditionalFormatting sqref="C40:H40 J40:V40">
    <cfRule type="containsText" dxfId="2983" priority="16" operator="containsText" text="SIN FACTURA">
      <formula>NOT(ISERROR(SEARCH("SIN FACTURA",C40)))</formula>
    </cfRule>
  </conditionalFormatting>
  <conditionalFormatting sqref="C42:H42 J42:V42">
    <cfRule type="containsText" dxfId="2982" priority="15" operator="containsText" text="SIN FACTURA">
      <formula>NOT(ISERROR(SEARCH("SIN FACTURA",C42)))</formula>
    </cfRule>
  </conditionalFormatting>
  <conditionalFormatting sqref="C44:H44 J44:V44">
    <cfRule type="containsText" dxfId="2981" priority="14" operator="containsText" text="SIN FACTURA">
      <formula>NOT(ISERROR(SEARCH("SIN FACTURA",C44)))</formula>
    </cfRule>
  </conditionalFormatting>
  <conditionalFormatting sqref="A14:B14">
    <cfRule type="containsText" dxfId="2980" priority="13" operator="containsText" text="SIN FACTURA">
      <formula>NOT(ISERROR(SEARCH("SIN FACTURA",A14)))</formula>
    </cfRule>
  </conditionalFormatting>
  <conditionalFormatting sqref="A24:B24">
    <cfRule type="containsText" dxfId="2979" priority="12" operator="containsText" text="SIN FACTURA">
      <formula>NOT(ISERROR(SEARCH("SIN FACTURA",A24)))</formula>
    </cfRule>
  </conditionalFormatting>
  <conditionalFormatting sqref="A26:B26">
    <cfRule type="containsText" dxfId="2978" priority="11" operator="containsText" text="SIN FACTURA">
      <formula>NOT(ISERROR(SEARCH("SIN FACTURA",A26)))</formula>
    </cfRule>
  </conditionalFormatting>
  <conditionalFormatting sqref="A28:B28">
    <cfRule type="containsText" dxfId="2977" priority="10" operator="containsText" text="SIN FACTURA">
      <formula>NOT(ISERROR(SEARCH("SIN FACTURA",A28)))</formula>
    </cfRule>
  </conditionalFormatting>
  <conditionalFormatting sqref="A30:B30">
    <cfRule type="containsText" dxfId="2976" priority="9" operator="containsText" text="SIN FACTURA">
      <formula>NOT(ISERROR(SEARCH("SIN FACTURA",A30)))</formula>
    </cfRule>
  </conditionalFormatting>
  <conditionalFormatting sqref="A32:B32">
    <cfRule type="containsText" dxfId="2975" priority="8" operator="containsText" text="SIN FACTURA">
      <formula>NOT(ISERROR(SEARCH("SIN FACTURA",A32)))</formula>
    </cfRule>
  </conditionalFormatting>
  <conditionalFormatting sqref="A44:B44">
    <cfRule type="containsText" dxfId="2974" priority="2" operator="containsText" text="SIN FACTURA">
      <formula>NOT(ISERROR(SEARCH("SIN FACTURA",A44)))</formula>
    </cfRule>
  </conditionalFormatting>
  <conditionalFormatting sqref="A34:B34">
    <cfRule type="containsText" dxfId="2973" priority="7" operator="containsText" text="SIN FACTURA">
      <formula>NOT(ISERROR(SEARCH("SIN FACTURA",A34)))</formula>
    </cfRule>
  </conditionalFormatting>
  <conditionalFormatting sqref="A36:B36">
    <cfRule type="containsText" dxfId="2972" priority="6" operator="containsText" text="SIN FACTURA">
      <formula>NOT(ISERROR(SEARCH("SIN FACTURA",A36)))</formula>
    </cfRule>
  </conditionalFormatting>
  <conditionalFormatting sqref="A38:B38">
    <cfRule type="containsText" dxfId="2971" priority="5" operator="containsText" text="SIN FACTURA">
      <formula>NOT(ISERROR(SEARCH("SIN FACTURA",A38)))</formula>
    </cfRule>
  </conditionalFormatting>
  <conditionalFormatting sqref="A40:B40">
    <cfRule type="containsText" dxfId="2970" priority="4" operator="containsText" text="SIN FACTURA">
      <formula>NOT(ISERROR(SEARCH("SIN FACTURA",A40)))</formula>
    </cfRule>
  </conditionalFormatting>
  <conditionalFormatting sqref="A7:F10">
    <cfRule type="containsText" dxfId="2969" priority="1" operator="containsText" text="SIN FACTURA">
      <formula>NOT(ISERROR(SEARCH("SIN FACTURA",A7)))</formula>
    </cfRule>
  </conditionalFormatting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>
  <sheetPr codeName="Hoja125"/>
  <dimension ref="A1:Y23"/>
  <sheetViews>
    <sheetView zoomScale="125" zoomScaleNormal="125" zoomScalePageLayoutView="125" workbookViewId="0">
      <pane ySplit="3" topLeftCell="A4" activePane="bottomLeft" state="frozen"/>
      <selection pane="bottomLeft" activeCell="A4" sqref="A4:XFD4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330</v>
      </c>
      <c r="B1" s="18" t="s">
        <v>80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2"/>
      <c r="D4" s="33"/>
      <c r="E4" s="34"/>
      <c r="F4" s="32"/>
      <c r="G4" s="32"/>
      <c r="H4" s="32"/>
      <c r="I4" s="37"/>
      <c r="J4" s="37"/>
      <c r="K4" s="35"/>
      <c r="L4" s="35"/>
      <c r="M4" s="35"/>
      <c r="N4" s="36"/>
      <c r="O4" s="32"/>
      <c r="P4" s="37"/>
      <c r="Q4" s="37"/>
      <c r="R4" s="38"/>
      <c r="S4" s="32"/>
      <c r="T4" s="39"/>
      <c r="U4" s="6"/>
      <c r="V4" s="6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7" si="0">F5-G5-H5</f>
        <v>0</v>
      </c>
      <c r="J5" s="44">
        <f t="shared" ref="J5:J7" si="1">S5+T5</f>
        <v>0</v>
      </c>
      <c r="K5" s="44">
        <f t="shared" ref="K5:K7" si="2">I5-J5</f>
        <v>0</v>
      </c>
      <c r="L5" s="45"/>
      <c r="M5" s="40"/>
      <c r="N5" s="43">
        <f t="shared" ref="N5:N7" si="3">I5-J5-M5-R5</f>
        <v>0</v>
      </c>
      <c r="O5" s="43">
        <f t="shared" ref="O5:O7" si="4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2"/>
      <c r="D6" s="33"/>
      <c r="E6" s="34"/>
      <c r="F6" s="32"/>
      <c r="G6" s="32"/>
      <c r="H6" s="32"/>
      <c r="I6" s="37"/>
      <c r="J6" s="37"/>
      <c r="K6" s="35"/>
      <c r="L6" s="35"/>
      <c r="M6" s="35"/>
      <c r="N6" s="36"/>
      <c r="O6" s="32"/>
      <c r="P6" s="37"/>
      <c r="Q6" s="37"/>
      <c r="R6" s="38"/>
      <c r="S6" s="32"/>
      <c r="T6" s="39"/>
      <c r="U6" s="6"/>
      <c r="V6" s="6"/>
    </row>
    <row r="7" spans="1:25" ht="15">
      <c r="A7" s="50"/>
      <c r="B7" s="51"/>
      <c r="C7" s="52"/>
      <c r="D7" s="50"/>
      <c r="E7" s="50"/>
      <c r="F7" s="50"/>
      <c r="G7" s="43">
        <f>F7*6%</f>
        <v>0</v>
      </c>
      <c r="H7" s="53"/>
      <c r="I7" s="78">
        <f t="shared" si="0"/>
        <v>0</v>
      </c>
      <c r="J7" s="54">
        <f t="shared" si="1"/>
        <v>0</v>
      </c>
      <c r="K7" s="54">
        <f t="shared" si="2"/>
        <v>0</v>
      </c>
      <c r="L7" s="55"/>
      <c r="M7" s="50"/>
      <c r="N7" s="53">
        <f t="shared" si="3"/>
        <v>0</v>
      </c>
      <c r="O7" s="53">
        <f t="shared" si="4"/>
        <v>0</v>
      </c>
      <c r="P7" s="56"/>
      <c r="Q7" s="50"/>
      <c r="R7" s="50"/>
      <c r="S7" s="50"/>
      <c r="T7" s="57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  <c r="U8" s="6"/>
      <c r="V8" s="6"/>
    </row>
    <row r="9" spans="1:25" ht="15">
      <c r="A9" s="40"/>
      <c r="B9" s="41"/>
      <c r="C9" s="42"/>
      <c r="D9" s="40"/>
      <c r="E9" s="40"/>
      <c r="F9" s="40"/>
      <c r="G9" s="43">
        <f t="shared" ref="G9" si="5">F9*6%</f>
        <v>0</v>
      </c>
      <c r="H9" s="43"/>
      <c r="I9" s="44">
        <f t="shared" ref="I9" si="6">F9-G9-H9</f>
        <v>0</v>
      </c>
      <c r="J9" s="44">
        <f t="shared" ref="J9" si="7">S9+T9</f>
        <v>0</v>
      </c>
      <c r="K9" s="44">
        <f t="shared" ref="K9" si="8">I9-J9</f>
        <v>0</v>
      </c>
      <c r="L9" s="45"/>
      <c r="M9" s="40"/>
      <c r="N9" s="43">
        <f t="shared" ref="N9" si="9">I9-J9-M9-R9</f>
        <v>0</v>
      </c>
      <c r="O9" s="43">
        <f t="shared" ref="O9" si="10">R9+S9+T9</f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  <c r="U10" s="6"/>
      <c r="V10" s="6"/>
    </row>
    <row r="11" spans="1:25" ht="15">
      <c r="A11" s="50"/>
      <c r="B11" s="51"/>
      <c r="C11" s="52"/>
      <c r="D11" s="50"/>
      <c r="E11" s="50"/>
      <c r="F11" s="50"/>
      <c r="G11" s="43">
        <f t="shared" ref="G11" si="11">F11*6%</f>
        <v>0</v>
      </c>
      <c r="H11" s="53"/>
      <c r="I11" s="78">
        <f t="shared" ref="I11" si="12">F11-G11-H11</f>
        <v>0</v>
      </c>
      <c r="J11" s="54">
        <f t="shared" ref="J11" si="13">S11+T11</f>
        <v>0</v>
      </c>
      <c r="K11" s="54">
        <f t="shared" ref="K11" si="14">I11-J11</f>
        <v>0</v>
      </c>
      <c r="L11" s="55"/>
      <c r="M11" s="50"/>
      <c r="N11" s="53">
        <f t="shared" ref="N11" si="15">I11-J11-M11-R11</f>
        <v>0</v>
      </c>
      <c r="O11" s="53">
        <f t="shared" ref="O11" si="16">R11+S11+T11</f>
        <v>0</v>
      </c>
      <c r="P11" s="56"/>
      <c r="Q11" s="50"/>
      <c r="R11" s="50"/>
      <c r="S11" s="50"/>
      <c r="T11" s="57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0"/>
      <c r="E13" s="40"/>
      <c r="F13" s="40"/>
      <c r="G13" s="43">
        <f t="shared" ref="G13" si="17">F13*6%</f>
        <v>0</v>
      </c>
      <c r="H13" s="43"/>
      <c r="I13" s="44">
        <f t="shared" ref="I13" si="18">F13-G13-H13</f>
        <v>0</v>
      </c>
      <c r="J13" s="44">
        <f t="shared" ref="J13" si="19">S13+T13</f>
        <v>0</v>
      </c>
      <c r="K13" s="44">
        <f t="shared" ref="K13" si="20">I13-J13</f>
        <v>0</v>
      </c>
      <c r="L13" s="45"/>
      <c r="M13" s="40"/>
      <c r="N13" s="43">
        <f t="shared" ref="N13" si="21">I13-J13-M13-R13</f>
        <v>0</v>
      </c>
      <c r="O13" s="43">
        <f t="shared" ref="O13" si="22">R13+S13+T13</f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50"/>
      <c r="B15" s="51"/>
      <c r="C15" s="52"/>
      <c r="D15" s="50"/>
      <c r="E15" s="50"/>
      <c r="F15" s="50"/>
      <c r="G15" s="43">
        <f t="shared" ref="G15" si="23">F15*6%</f>
        <v>0</v>
      </c>
      <c r="H15" s="53"/>
      <c r="I15" s="78">
        <f t="shared" ref="I15" si="24">F15-G15-H15</f>
        <v>0</v>
      </c>
      <c r="J15" s="54">
        <f t="shared" ref="J15" si="25">S15+T15</f>
        <v>0</v>
      </c>
      <c r="K15" s="54">
        <f t="shared" ref="K15" si="26">I15-J15</f>
        <v>0</v>
      </c>
      <c r="L15" s="55"/>
      <c r="M15" s="50"/>
      <c r="N15" s="53">
        <f t="shared" ref="N15" si="27">I15-J15-M15-R15</f>
        <v>0</v>
      </c>
      <c r="O15" s="53">
        <f t="shared" ref="O15" si="28">R15+S15+T15</f>
        <v>0</v>
      </c>
      <c r="P15" s="56"/>
      <c r="Q15" s="50"/>
      <c r="R15" s="50"/>
      <c r="S15" s="50"/>
      <c r="T15" s="57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 t="shared" ref="G17" si="29">F17*6%</f>
        <v>0</v>
      </c>
      <c r="H17" s="43"/>
      <c r="I17" s="44">
        <f t="shared" ref="I17" si="30">F17-G17-H17</f>
        <v>0</v>
      </c>
      <c r="J17" s="44">
        <f t="shared" ref="J17" si="31">S17+T17</f>
        <v>0</v>
      </c>
      <c r="K17" s="44">
        <f t="shared" ref="K17" si="32">I17-J17</f>
        <v>0</v>
      </c>
      <c r="L17" s="45"/>
      <c r="M17" s="40"/>
      <c r="N17" s="43">
        <f t="shared" ref="N17" si="33">I17-J17-M17-R17</f>
        <v>0</v>
      </c>
      <c r="O17" s="43">
        <f t="shared" ref="O17" si="34">R17+S17+T17</f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50"/>
      <c r="B19" s="51"/>
      <c r="C19" s="52"/>
      <c r="D19" s="50"/>
      <c r="E19" s="50"/>
      <c r="F19" s="50"/>
      <c r="G19" s="43">
        <f t="shared" ref="G19" si="35">F19*6%</f>
        <v>0</v>
      </c>
      <c r="H19" s="53"/>
      <c r="I19" s="78">
        <f t="shared" ref="I19" si="36">F19-G19-H19</f>
        <v>0</v>
      </c>
      <c r="J19" s="54">
        <f t="shared" ref="J19" si="37">S19+T19</f>
        <v>0</v>
      </c>
      <c r="K19" s="54">
        <f t="shared" ref="K19" si="38">I19-J19</f>
        <v>0</v>
      </c>
      <c r="L19" s="55"/>
      <c r="M19" s="50"/>
      <c r="N19" s="53">
        <f t="shared" ref="N19" si="39">I19-J19-M19-R19</f>
        <v>0</v>
      </c>
      <c r="O19" s="53">
        <f t="shared" ref="O19" si="40">R19+S19+T19</f>
        <v>0</v>
      </c>
      <c r="P19" s="56"/>
      <c r="Q19" s="50"/>
      <c r="R19" s="50"/>
      <c r="S19" s="50"/>
      <c r="T19" s="57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 t="shared" ref="G21" si="41">F21*6%</f>
        <v>0</v>
      </c>
      <c r="H21" s="43"/>
      <c r="I21" s="44">
        <f t="shared" ref="I21" si="42">F21-G21-H21</f>
        <v>0</v>
      </c>
      <c r="J21" s="44">
        <f t="shared" ref="J21" si="43">S21+T21</f>
        <v>0</v>
      </c>
      <c r="K21" s="44">
        <f t="shared" ref="K21" si="44">I21-J21</f>
        <v>0</v>
      </c>
      <c r="L21" s="45"/>
      <c r="M21" s="40"/>
      <c r="N21" s="43">
        <f t="shared" ref="N21" si="45">I21-J21-M21-R21</f>
        <v>0</v>
      </c>
      <c r="O21" s="43">
        <f t="shared" ref="O21" si="46">R21+S21+T21</f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50"/>
      <c r="B23" s="51"/>
      <c r="C23" s="52"/>
      <c r="D23" s="50"/>
      <c r="E23" s="50"/>
      <c r="F23" s="50"/>
      <c r="G23" s="43">
        <f t="shared" ref="G23" si="47">F23*6%</f>
        <v>0</v>
      </c>
      <c r="H23" s="53"/>
      <c r="I23" s="78">
        <f t="shared" ref="I23" si="48">F23-G23-H23</f>
        <v>0</v>
      </c>
      <c r="J23" s="54">
        <f t="shared" ref="J23" si="49">S23+T23</f>
        <v>0</v>
      </c>
      <c r="K23" s="54">
        <f t="shared" ref="K23" si="50">I23-J23</f>
        <v>0</v>
      </c>
      <c r="L23" s="55"/>
      <c r="M23" s="50"/>
      <c r="N23" s="53">
        <f t="shared" ref="N23" si="51">I23-J23-M23-R23</f>
        <v>0</v>
      </c>
      <c r="O23" s="53">
        <f t="shared" ref="O23" si="52">R23+S23+T23</f>
        <v>0</v>
      </c>
      <c r="P23" s="56"/>
      <c r="Q23" s="50"/>
      <c r="R23" s="50"/>
      <c r="S23" s="50"/>
      <c r="T2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968" priority="34" operator="containsText" text="SIN FACTURA ">
      <formula>NOT(ISERROR(SEARCH("SIN FACTURA ",A2)))</formula>
    </cfRule>
  </conditionalFormatting>
  <conditionalFormatting sqref="J7:T7 J5:T5 A5:H5 A7:H7 I4:I7">
    <cfRule type="containsText" dxfId="2967" priority="33" operator="containsText" text="SIN FACTURA">
      <formula>NOT(ISERROR(SEARCH("SIN FACTURA",A4)))</formula>
    </cfRule>
  </conditionalFormatting>
  <conditionalFormatting sqref="C4:H4 J4:V4">
    <cfRule type="containsText" dxfId="2966" priority="22" operator="containsText" text="SIN FACTURA">
      <formula>NOT(ISERROR(SEARCH("SIN FACTURA",C4)))</formula>
    </cfRule>
  </conditionalFormatting>
  <conditionalFormatting sqref="C6:H6 J6:V6">
    <cfRule type="containsText" dxfId="2965" priority="21" operator="containsText" text="SIN FACTURA">
      <formula>NOT(ISERROR(SEARCH("SIN FACTURA",C6)))</formula>
    </cfRule>
  </conditionalFormatting>
  <conditionalFormatting sqref="A6:B6">
    <cfRule type="containsText" dxfId="2964" priority="9" operator="containsText" text="SIN FACTURA">
      <formula>NOT(ISERROR(SEARCH("SIN FACTURA",A6)))</formula>
    </cfRule>
  </conditionalFormatting>
  <conditionalFormatting sqref="A4:B4">
    <cfRule type="containsText" dxfId="2963" priority="10" operator="containsText" text="SIN FACTURA">
      <formula>NOT(ISERROR(SEARCH("SIN FACTURA",A4)))</formula>
    </cfRule>
  </conditionalFormatting>
  <conditionalFormatting sqref="J11:T11 J15:T15 J19:T19 J23:T23 J9:T9 J13:T13 J17:T17 J21:T21 A9:H9 A13:H13 A17:H17 A21:H21 A11:H11 A15:H15 A19:H19 A23:H23 I8:I23">
    <cfRule type="containsText" dxfId="2962" priority="5" operator="containsText" text="SIN FACTURA">
      <formula>NOT(ISERROR(SEARCH("SIN FACTURA",A8)))</formula>
    </cfRule>
  </conditionalFormatting>
  <conditionalFormatting sqref="C8:H8 C12:H12 C16:H16 C20:H20 J8:V8 J12:V12 J16:V16 J20:V20">
    <cfRule type="containsText" dxfId="2961" priority="4" operator="containsText" text="SIN FACTURA">
      <formula>NOT(ISERROR(SEARCH("SIN FACTURA",C8)))</formula>
    </cfRule>
  </conditionalFormatting>
  <conditionalFormatting sqref="C10:H10 C14:H14 C18:H18 C22:H22 J10:V10 J14:V14 J18:V18 J22:V22">
    <cfRule type="containsText" dxfId="2960" priority="3" operator="containsText" text="SIN FACTURA">
      <formula>NOT(ISERROR(SEARCH("SIN FACTURA",C10)))</formula>
    </cfRule>
  </conditionalFormatting>
  <conditionalFormatting sqref="A10:B10 A14:B14 A18:B18 A22:B22">
    <cfRule type="containsText" dxfId="2959" priority="2" operator="containsText" text="SIN FACTURA">
      <formula>NOT(ISERROR(SEARCH("SIN FACTURA",A10)))</formula>
    </cfRule>
  </conditionalFormatting>
  <conditionalFormatting sqref="A8:B8 A12:B12 A16:B16 A20:B20">
    <cfRule type="containsText" dxfId="2958" priority="1" operator="containsText" text="SIN FACTURA">
      <formula>NOT(ISERROR(SEARCH("SIN FACTURA",A8)))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49.xml><?xml version="1.0" encoding="utf-8"?>
<worksheet xmlns="http://schemas.openxmlformats.org/spreadsheetml/2006/main" xmlns:r="http://schemas.openxmlformats.org/officeDocument/2006/relationships">
  <sheetPr codeName="Hoja127"/>
  <dimension ref="A1:Y42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P5" sqref="P5:T5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4">
        <v>41</v>
      </c>
      <c r="B1" s="15" t="s">
        <v>163</v>
      </c>
      <c r="C1" s="1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6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1" si="0">F5-G5-H5</f>
        <v>0</v>
      </c>
      <c r="J5" s="44">
        <f t="shared" ref="J5:J41" si="1">S5+T5</f>
        <v>0</v>
      </c>
      <c r="K5" s="44">
        <f t="shared" ref="K5:K41" si="2">I5-J5</f>
        <v>0</v>
      </c>
      <c r="L5" s="45"/>
      <c r="M5" s="40"/>
      <c r="N5" s="43">
        <f t="shared" ref="N5:N41" si="3">I5-J5-M5-R5</f>
        <v>0</v>
      </c>
      <c r="O5" s="43">
        <f t="shared" ref="O5:O41" si="4">R5+S5+T5</f>
        <v>0</v>
      </c>
      <c r="P5" s="46"/>
      <c r="Q5" s="40"/>
      <c r="R5" s="43"/>
      <c r="S5" s="43"/>
      <c r="T5" s="49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>I7-J7</f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>S15+T15</f>
        <v>0</v>
      </c>
      <c r="K15" s="44">
        <f t="shared" si="2"/>
        <v>0</v>
      </c>
      <c r="L15" s="45"/>
      <c r="M15" s="40"/>
      <c r="N15" s="43">
        <f>I15-J15-M15-R15</f>
        <v>0</v>
      </c>
      <c r="O15" s="43">
        <f>R15+S15+T15</f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69"/>
      <c r="B42" s="70"/>
      <c r="C42" s="71"/>
      <c r="D42" s="69"/>
      <c r="E42" s="69"/>
      <c r="F42" s="69"/>
      <c r="G42" s="69"/>
      <c r="H42" s="69"/>
      <c r="I42" s="72">
        <f t="shared" ref="I42" si="5">F42-G42</f>
        <v>0</v>
      </c>
      <c r="J42" s="72">
        <f t="shared" ref="J42" si="6">S42+T42</f>
        <v>0</v>
      </c>
      <c r="K42" s="72">
        <f t="shared" ref="K42" si="7">I42-J42</f>
        <v>0</v>
      </c>
      <c r="L42" s="73"/>
      <c r="M42" s="69"/>
      <c r="N42" s="74">
        <f t="shared" ref="N42" si="8">I42-J42-M42-R42</f>
        <v>0</v>
      </c>
      <c r="O42" s="74">
        <f t="shared" ref="O42" si="9">R42+S42+T42</f>
        <v>0</v>
      </c>
      <c r="P42" s="75"/>
      <c r="Q42" s="69"/>
      <c r="R42" s="69"/>
      <c r="S42" s="69"/>
      <c r="T42" s="76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957" priority="27" operator="containsText" text="SIN FACTURA ">
      <formula>NOT(ISERROR(SEARCH("SIN FACTURA ",A2)))</formula>
    </cfRule>
  </conditionalFormatting>
  <conditionalFormatting sqref="A42:T42 J5:T9 I5:I41 A5:H9 A4:T4">
    <cfRule type="containsText" dxfId="2956" priority="26" operator="containsText" text="SIN FACTURA">
      <formula>NOT(ISERROR(SEARCH("SIN FACTURA",A4)))</formula>
    </cfRule>
  </conditionalFormatting>
  <conditionalFormatting sqref="J41:T41 J39:T39 J37:T37 J35:T35 J33:T33 J31:T31 J29:T29 J27:T27 J25:T25 J23:T23 J21:T21 J11:T19 A11:H19 A21:H21 A23:H23 A25:H25 A27:H27 A29:H29 A31:H31 A33:H33 A35:H35 A37:H37 A39:H39 A41:H41">
    <cfRule type="containsText" dxfId="2955" priority="25" operator="containsText" text="SIN FACTURA">
      <formula>NOT(ISERROR(SEARCH("SIN FACTURA",A11)))</formula>
    </cfRule>
  </conditionalFormatting>
  <conditionalFormatting sqref="C10:H10 J10:V10">
    <cfRule type="containsText" dxfId="2954" priority="24" operator="containsText" text="SIN FACTURA">
      <formula>NOT(ISERROR(SEARCH("SIN FACTURA",C10)))</formula>
    </cfRule>
  </conditionalFormatting>
  <conditionalFormatting sqref="C20:H20 J20:V20">
    <cfRule type="containsText" dxfId="2953" priority="23" operator="containsText" text="SIN FACTURA">
      <formula>NOT(ISERROR(SEARCH("SIN FACTURA",C20)))</formula>
    </cfRule>
  </conditionalFormatting>
  <conditionalFormatting sqref="C22:H22 J22:V22">
    <cfRule type="containsText" dxfId="2952" priority="22" operator="containsText" text="SIN FACTURA">
      <formula>NOT(ISERROR(SEARCH("SIN FACTURA",C22)))</formula>
    </cfRule>
  </conditionalFormatting>
  <conditionalFormatting sqref="C24:H24 J24:V24">
    <cfRule type="containsText" dxfId="2951" priority="21" operator="containsText" text="SIN FACTURA">
      <formula>NOT(ISERROR(SEARCH("SIN FACTURA",C24)))</formula>
    </cfRule>
  </conditionalFormatting>
  <conditionalFormatting sqref="C26:H26 J26:V26">
    <cfRule type="containsText" dxfId="2950" priority="20" operator="containsText" text="SIN FACTURA">
      <formula>NOT(ISERROR(SEARCH("SIN FACTURA",C26)))</formula>
    </cfRule>
  </conditionalFormatting>
  <conditionalFormatting sqref="C28:H28 J28:V28">
    <cfRule type="containsText" dxfId="2949" priority="19" operator="containsText" text="SIN FACTURA">
      <formula>NOT(ISERROR(SEARCH("SIN FACTURA",C28)))</formula>
    </cfRule>
  </conditionalFormatting>
  <conditionalFormatting sqref="C30:H30 J30:V30">
    <cfRule type="containsText" dxfId="2948" priority="18" operator="containsText" text="SIN FACTURA">
      <formula>NOT(ISERROR(SEARCH("SIN FACTURA",C30)))</formula>
    </cfRule>
  </conditionalFormatting>
  <conditionalFormatting sqref="C32:H32 J32:V32">
    <cfRule type="containsText" dxfId="2947" priority="17" operator="containsText" text="SIN FACTURA">
      <formula>NOT(ISERROR(SEARCH("SIN FACTURA",C32)))</formula>
    </cfRule>
  </conditionalFormatting>
  <conditionalFormatting sqref="C34:H34 J34:V34">
    <cfRule type="containsText" dxfId="2946" priority="16" operator="containsText" text="SIN FACTURA">
      <formula>NOT(ISERROR(SEARCH("SIN FACTURA",C34)))</formula>
    </cfRule>
  </conditionalFormatting>
  <conditionalFormatting sqref="C36:H36 J36:V36">
    <cfRule type="containsText" dxfId="2945" priority="15" operator="containsText" text="SIN FACTURA">
      <formula>NOT(ISERROR(SEARCH("SIN FACTURA",C36)))</formula>
    </cfRule>
  </conditionalFormatting>
  <conditionalFormatting sqref="C38:H38 J38:V38">
    <cfRule type="containsText" dxfId="2944" priority="14" operator="containsText" text="SIN FACTURA">
      <formula>NOT(ISERROR(SEARCH("SIN FACTURA",C38)))</formula>
    </cfRule>
  </conditionalFormatting>
  <conditionalFormatting sqref="C40:H40 J40:V40">
    <cfRule type="containsText" dxfId="2943" priority="13" operator="containsText" text="SIN FACTURA">
      <formula>NOT(ISERROR(SEARCH("SIN FACTURA",C40)))</formula>
    </cfRule>
  </conditionalFormatting>
  <conditionalFormatting sqref="A10:B10">
    <cfRule type="containsText" dxfId="2942" priority="12" operator="containsText" text="SIN FACTURA">
      <formula>NOT(ISERROR(SEARCH("SIN FACTURA",A10)))</formula>
    </cfRule>
  </conditionalFormatting>
  <conditionalFormatting sqref="A20:B20">
    <cfRule type="containsText" dxfId="2941" priority="11" operator="containsText" text="SIN FACTURA">
      <formula>NOT(ISERROR(SEARCH("SIN FACTURA",A20)))</formula>
    </cfRule>
  </conditionalFormatting>
  <conditionalFormatting sqref="A22:B22">
    <cfRule type="containsText" dxfId="2940" priority="10" operator="containsText" text="SIN FACTURA">
      <formula>NOT(ISERROR(SEARCH("SIN FACTURA",A22)))</formula>
    </cfRule>
  </conditionalFormatting>
  <conditionalFormatting sqref="A24:B24">
    <cfRule type="containsText" dxfId="2939" priority="9" operator="containsText" text="SIN FACTURA">
      <formula>NOT(ISERROR(SEARCH("SIN FACTURA",A24)))</formula>
    </cfRule>
  </conditionalFormatting>
  <conditionalFormatting sqref="A26:B26">
    <cfRule type="containsText" dxfId="2938" priority="8" operator="containsText" text="SIN FACTURA">
      <formula>NOT(ISERROR(SEARCH("SIN FACTURA",A26)))</formula>
    </cfRule>
  </conditionalFormatting>
  <conditionalFormatting sqref="A28:B28">
    <cfRule type="containsText" dxfId="2937" priority="7" operator="containsText" text="SIN FACTURA">
      <formula>NOT(ISERROR(SEARCH("SIN FACTURA",A28)))</formula>
    </cfRule>
  </conditionalFormatting>
  <conditionalFormatting sqref="A40:B40">
    <cfRule type="containsText" dxfId="2936" priority="1" operator="containsText" text="SIN FACTURA">
      <formula>NOT(ISERROR(SEARCH("SIN FACTURA",A40)))</formula>
    </cfRule>
  </conditionalFormatting>
  <conditionalFormatting sqref="A30:B30">
    <cfRule type="containsText" dxfId="2935" priority="6" operator="containsText" text="SIN FACTURA">
      <formula>NOT(ISERROR(SEARCH("SIN FACTURA",A30)))</formula>
    </cfRule>
  </conditionalFormatting>
  <conditionalFormatting sqref="A32:B32">
    <cfRule type="containsText" dxfId="2934" priority="5" operator="containsText" text="SIN FACTURA">
      <formula>NOT(ISERROR(SEARCH("SIN FACTURA",A32)))</formula>
    </cfRule>
  </conditionalFormatting>
  <conditionalFormatting sqref="A34:B34">
    <cfRule type="containsText" dxfId="2933" priority="4" operator="containsText" text="SIN FACTURA">
      <formula>NOT(ISERROR(SEARCH("SIN FACTURA",A34)))</formula>
    </cfRule>
  </conditionalFormatting>
  <conditionalFormatting sqref="A36:B36">
    <cfRule type="containsText" dxfId="2932" priority="3" operator="containsText" text="SIN FACTURA">
      <formula>NOT(ISERROR(SEARCH("SIN FACTURA",A36)))</formula>
    </cfRule>
  </conditionalFormatting>
  <conditionalFormatting sqref="A38:B38">
    <cfRule type="containsText" dxfId="2931" priority="2" operator="containsText" text="SIN FACTURA">
      <formula>NOT(ISERROR(SEARCH("SIN FACTURA",A38)))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50.xml><?xml version="1.0" encoding="utf-8"?>
<worksheet xmlns="http://schemas.openxmlformats.org/spreadsheetml/2006/main" xmlns:r="http://schemas.openxmlformats.org/officeDocument/2006/relationships">
  <dimension ref="A1:Y43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482</v>
      </c>
      <c r="B1" s="18" t="s">
        <v>299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78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930" priority="26" operator="containsText" text="SIN FACTURA ">
      <formula>NOT(ISERROR(SEARCH("SIN FACTURA ",A2)))</formula>
    </cfRule>
  </conditionalFormatting>
  <conditionalFormatting sqref="J43:T43 J41:T41 J39:T39 J37:T37 J35:T35 J33:T33 J31:T31 J29:T29 J27:T27 J25:T25 J23:T23 J13:T21 A13:H21 A23:H23 A25:H25 A27:H27 A29:H29 A31:H31 A33:H33 A35:H35 A37:H37 A39:H39 A41:H41 A43:H43 A4:T4 J5:T11 I5:I43 A5:H11">
    <cfRule type="containsText" dxfId="2929" priority="25" operator="containsText" text="SIN FACTURA">
      <formula>NOT(ISERROR(SEARCH("SIN FACTURA",A4)))</formula>
    </cfRule>
  </conditionalFormatting>
  <conditionalFormatting sqref="C12:H12 J12:V12">
    <cfRule type="containsText" dxfId="2928" priority="24" operator="containsText" text="SIN FACTURA">
      <formula>NOT(ISERROR(SEARCH("SIN FACTURA",C12)))</formula>
    </cfRule>
  </conditionalFormatting>
  <conditionalFormatting sqref="C22:H22 J22:V22">
    <cfRule type="containsText" dxfId="2927" priority="23" operator="containsText" text="SIN FACTURA">
      <formula>NOT(ISERROR(SEARCH("SIN FACTURA",C22)))</formula>
    </cfRule>
  </conditionalFormatting>
  <conditionalFormatting sqref="C24:H24 J24:V24">
    <cfRule type="containsText" dxfId="2926" priority="22" operator="containsText" text="SIN FACTURA">
      <formula>NOT(ISERROR(SEARCH("SIN FACTURA",C24)))</formula>
    </cfRule>
  </conditionalFormatting>
  <conditionalFormatting sqref="C26:H26 J26:V26">
    <cfRule type="containsText" dxfId="2925" priority="21" operator="containsText" text="SIN FACTURA">
      <formula>NOT(ISERROR(SEARCH("SIN FACTURA",C26)))</formula>
    </cfRule>
  </conditionalFormatting>
  <conditionalFormatting sqref="C28:H28 J28:V28">
    <cfRule type="containsText" dxfId="2924" priority="20" operator="containsText" text="SIN FACTURA">
      <formula>NOT(ISERROR(SEARCH("SIN FACTURA",C28)))</formula>
    </cfRule>
  </conditionalFormatting>
  <conditionalFormatting sqref="C30:H30 J30:V30">
    <cfRule type="containsText" dxfId="2923" priority="19" operator="containsText" text="SIN FACTURA">
      <formula>NOT(ISERROR(SEARCH("SIN FACTURA",C30)))</formula>
    </cfRule>
  </conditionalFormatting>
  <conditionalFormatting sqref="C32:H32 J32:V32">
    <cfRule type="containsText" dxfId="2922" priority="18" operator="containsText" text="SIN FACTURA">
      <formula>NOT(ISERROR(SEARCH("SIN FACTURA",C32)))</formula>
    </cfRule>
  </conditionalFormatting>
  <conditionalFormatting sqref="C34:H34 J34:V34">
    <cfRule type="containsText" dxfId="2921" priority="17" operator="containsText" text="SIN FACTURA">
      <formula>NOT(ISERROR(SEARCH("SIN FACTURA",C34)))</formula>
    </cfRule>
  </conditionalFormatting>
  <conditionalFormatting sqref="C36:H36 J36:V36">
    <cfRule type="containsText" dxfId="2920" priority="16" operator="containsText" text="SIN FACTURA">
      <formula>NOT(ISERROR(SEARCH("SIN FACTURA",C36)))</formula>
    </cfRule>
  </conditionalFormatting>
  <conditionalFormatting sqref="C38:H38 J38:V38">
    <cfRule type="containsText" dxfId="2919" priority="15" operator="containsText" text="SIN FACTURA">
      <formula>NOT(ISERROR(SEARCH("SIN FACTURA",C38)))</formula>
    </cfRule>
  </conditionalFormatting>
  <conditionalFormatting sqref="C40:H40 J40:V40">
    <cfRule type="containsText" dxfId="2918" priority="14" operator="containsText" text="SIN FACTURA">
      <formula>NOT(ISERROR(SEARCH("SIN FACTURA",C40)))</formula>
    </cfRule>
  </conditionalFormatting>
  <conditionalFormatting sqref="C42:H42 J42:V42">
    <cfRule type="containsText" dxfId="2917" priority="13" operator="containsText" text="SIN FACTURA">
      <formula>NOT(ISERROR(SEARCH("SIN FACTURA",C42)))</formula>
    </cfRule>
  </conditionalFormatting>
  <conditionalFormatting sqref="A12:B12">
    <cfRule type="containsText" dxfId="2916" priority="12" operator="containsText" text="SIN FACTURA">
      <formula>NOT(ISERROR(SEARCH("SIN FACTURA",A12)))</formula>
    </cfRule>
  </conditionalFormatting>
  <conditionalFormatting sqref="A22:B22">
    <cfRule type="containsText" dxfId="2915" priority="11" operator="containsText" text="SIN FACTURA">
      <formula>NOT(ISERROR(SEARCH("SIN FACTURA",A22)))</formula>
    </cfRule>
  </conditionalFormatting>
  <conditionalFormatting sqref="A24:B24">
    <cfRule type="containsText" dxfId="2914" priority="10" operator="containsText" text="SIN FACTURA">
      <formula>NOT(ISERROR(SEARCH("SIN FACTURA",A24)))</formula>
    </cfRule>
  </conditionalFormatting>
  <conditionalFormatting sqref="A26:B26">
    <cfRule type="containsText" dxfId="2913" priority="9" operator="containsText" text="SIN FACTURA">
      <formula>NOT(ISERROR(SEARCH("SIN FACTURA",A26)))</formula>
    </cfRule>
  </conditionalFormatting>
  <conditionalFormatting sqref="A28:B28">
    <cfRule type="containsText" dxfId="2912" priority="8" operator="containsText" text="SIN FACTURA">
      <formula>NOT(ISERROR(SEARCH("SIN FACTURA",A28)))</formula>
    </cfRule>
  </conditionalFormatting>
  <conditionalFormatting sqref="A30:B30">
    <cfRule type="containsText" dxfId="2911" priority="7" operator="containsText" text="SIN FACTURA">
      <formula>NOT(ISERROR(SEARCH("SIN FACTURA",A30)))</formula>
    </cfRule>
  </conditionalFormatting>
  <conditionalFormatting sqref="A42:B42">
    <cfRule type="containsText" dxfId="2910" priority="6" operator="containsText" text="SIN FACTURA">
      <formula>NOT(ISERROR(SEARCH("SIN FACTURA",A42)))</formula>
    </cfRule>
  </conditionalFormatting>
  <conditionalFormatting sqref="A32:B32">
    <cfRule type="containsText" dxfId="2909" priority="5" operator="containsText" text="SIN FACTURA">
      <formula>NOT(ISERROR(SEARCH("SIN FACTURA",A32)))</formula>
    </cfRule>
  </conditionalFormatting>
  <conditionalFormatting sqref="A34:B34">
    <cfRule type="containsText" dxfId="2908" priority="4" operator="containsText" text="SIN FACTURA">
      <formula>NOT(ISERROR(SEARCH("SIN FACTURA",A34)))</formula>
    </cfRule>
  </conditionalFormatting>
  <conditionalFormatting sqref="A36:B36">
    <cfRule type="containsText" dxfId="2907" priority="3" operator="containsText" text="SIN FACTURA">
      <formula>NOT(ISERROR(SEARCH("SIN FACTURA",A36)))</formula>
    </cfRule>
  </conditionalFormatting>
  <conditionalFormatting sqref="A38:B38">
    <cfRule type="containsText" dxfId="2906" priority="2" operator="containsText" text="SIN FACTURA">
      <formula>NOT(ISERROR(SEARCH("SIN FACTURA",A38)))</formula>
    </cfRule>
  </conditionalFormatting>
  <conditionalFormatting sqref="A40:B40">
    <cfRule type="containsText" dxfId="2905" priority="1" operator="containsText" text="SIN FACTURA">
      <formula>NOT(ISERROR(SEARCH("SIN FACTURA",A40)))</formula>
    </cfRule>
  </conditionalFormatting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>
  <sheetPr codeName="Hoja54"/>
  <dimension ref="A1:Y43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6"/>
    </sheetView>
  </sheetViews>
  <sheetFormatPr baseColWidth="10" defaultColWidth="10.875" defaultRowHeight="15.75"/>
  <cols>
    <col min="1" max="1" width="16" style="1" bestFit="1" customWidth="1"/>
    <col min="2" max="2" width="14.625" style="2" customWidth="1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192</v>
      </c>
      <c r="B1" s="18"/>
      <c r="C1" s="20">
        <v>90038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78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904" priority="26" operator="containsText" text="SIN FACTURA ">
      <formula>NOT(ISERROR(SEARCH("SIN FACTURA ",A2)))</formula>
    </cfRule>
  </conditionalFormatting>
  <conditionalFormatting sqref="J43:T43 J41:T41 J39:T39 J37:T37 J35:T35 J33:T33 J31:T31 J29:T29 J27:T27 J25:T25 J23:T23 J13:T21 A13:H21 A23:H23 A25:H25 A27:H27 A29:H29 A31:H31 A33:H33 A35:H35 A37:H37 A39:H39 A41:H41 A43:H43 A4:T4 J5:T11 I5:I43 A5:H11">
    <cfRule type="containsText" dxfId="2903" priority="25" operator="containsText" text="SIN FACTURA">
      <formula>NOT(ISERROR(SEARCH("SIN FACTURA",A4)))</formula>
    </cfRule>
  </conditionalFormatting>
  <conditionalFormatting sqref="C12:H12 J12:V12">
    <cfRule type="containsText" dxfId="2902" priority="24" operator="containsText" text="SIN FACTURA">
      <formula>NOT(ISERROR(SEARCH("SIN FACTURA",C12)))</formula>
    </cfRule>
  </conditionalFormatting>
  <conditionalFormatting sqref="C22:H22 J22:V22">
    <cfRule type="containsText" dxfId="2901" priority="23" operator="containsText" text="SIN FACTURA">
      <formula>NOT(ISERROR(SEARCH("SIN FACTURA",C22)))</formula>
    </cfRule>
  </conditionalFormatting>
  <conditionalFormatting sqref="C24:H24 J24:V24">
    <cfRule type="containsText" dxfId="2900" priority="22" operator="containsText" text="SIN FACTURA">
      <formula>NOT(ISERROR(SEARCH("SIN FACTURA",C24)))</formula>
    </cfRule>
  </conditionalFormatting>
  <conditionalFormatting sqref="C26:H26 J26:V26">
    <cfRule type="containsText" dxfId="2899" priority="21" operator="containsText" text="SIN FACTURA">
      <formula>NOT(ISERROR(SEARCH("SIN FACTURA",C26)))</formula>
    </cfRule>
  </conditionalFormatting>
  <conditionalFormatting sqref="C28:H28 J28:V28">
    <cfRule type="containsText" dxfId="2898" priority="20" operator="containsText" text="SIN FACTURA">
      <formula>NOT(ISERROR(SEARCH("SIN FACTURA",C28)))</formula>
    </cfRule>
  </conditionalFormatting>
  <conditionalFormatting sqref="C30:H30 J30:V30">
    <cfRule type="containsText" dxfId="2897" priority="19" operator="containsText" text="SIN FACTURA">
      <formula>NOT(ISERROR(SEARCH("SIN FACTURA",C30)))</formula>
    </cfRule>
  </conditionalFormatting>
  <conditionalFormatting sqref="C32:H32 J32:V32">
    <cfRule type="containsText" dxfId="2896" priority="18" operator="containsText" text="SIN FACTURA">
      <formula>NOT(ISERROR(SEARCH("SIN FACTURA",C32)))</formula>
    </cfRule>
  </conditionalFormatting>
  <conditionalFormatting sqref="C34:H34 J34:V34">
    <cfRule type="containsText" dxfId="2895" priority="17" operator="containsText" text="SIN FACTURA">
      <formula>NOT(ISERROR(SEARCH("SIN FACTURA",C34)))</formula>
    </cfRule>
  </conditionalFormatting>
  <conditionalFormatting sqref="C36:H36 J36:V36">
    <cfRule type="containsText" dxfId="2894" priority="16" operator="containsText" text="SIN FACTURA">
      <formula>NOT(ISERROR(SEARCH("SIN FACTURA",C36)))</formula>
    </cfRule>
  </conditionalFormatting>
  <conditionalFormatting sqref="C38:H38 J38:V38">
    <cfRule type="containsText" dxfId="2893" priority="15" operator="containsText" text="SIN FACTURA">
      <formula>NOT(ISERROR(SEARCH("SIN FACTURA",C38)))</formula>
    </cfRule>
  </conditionalFormatting>
  <conditionalFormatting sqref="C40:H40 J40:V40">
    <cfRule type="containsText" dxfId="2892" priority="14" operator="containsText" text="SIN FACTURA">
      <formula>NOT(ISERROR(SEARCH("SIN FACTURA",C40)))</formula>
    </cfRule>
  </conditionalFormatting>
  <conditionalFormatting sqref="C42:H42 J42:V42">
    <cfRule type="containsText" dxfId="2891" priority="13" operator="containsText" text="SIN FACTURA">
      <formula>NOT(ISERROR(SEARCH("SIN FACTURA",C42)))</formula>
    </cfRule>
  </conditionalFormatting>
  <conditionalFormatting sqref="A12:B12">
    <cfRule type="containsText" dxfId="2890" priority="12" operator="containsText" text="SIN FACTURA">
      <formula>NOT(ISERROR(SEARCH("SIN FACTURA",A12)))</formula>
    </cfRule>
  </conditionalFormatting>
  <conditionalFormatting sqref="A22:B22">
    <cfRule type="containsText" dxfId="2889" priority="11" operator="containsText" text="SIN FACTURA">
      <formula>NOT(ISERROR(SEARCH("SIN FACTURA",A22)))</formula>
    </cfRule>
  </conditionalFormatting>
  <conditionalFormatting sqref="A24:B24">
    <cfRule type="containsText" dxfId="2888" priority="10" operator="containsText" text="SIN FACTURA">
      <formula>NOT(ISERROR(SEARCH("SIN FACTURA",A24)))</formula>
    </cfRule>
  </conditionalFormatting>
  <conditionalFormatting sqref="A26:B26">
    <cfRule type="containsText" dxfId="2887" priority="9" operator="containsText" text="SIN FACTURA">
      <formula>NOT(ISERROR(SEARCH("SIN FACTURA",A26)))</formula>
    </cfRule>
  </conditionalFormatting>
  <conditionalFormatting sqref="A28:B28">
    <cfRule type="containsText" dxfId="2886" priority="8" operator="containsText" text="SIN FACTURA">
      <formula>NOT(ISERROR(SEARCH("SIN FACTURA",A28)))</formula>
    </cfRule>
  </conditionalFormatting>
  <conditionalFormatting sqref="A30:B30">
    <cfRule type="containsText" dxfId="2885" priority="7" operator="containsText" text="SIN FACTURA">
      <formula>NOT(ISERROR(SEARCH("SIN FACTURA",A30)))</formula>
    </cfRule>
  </conditionalFormatting>
  <conditionalFormatting sqref="A42:B42">
    <cfRule type="containsText" dxfId="2884" priority="1" operator="containsText" text="SIN FACTURA">
      <formula>NOT(ISERROR(SEARCH("SIN FACTURA",A42)))</formula>
    </cfRule>
  </conditionalFormatting>
  <conditionalFormatting sqref="A32:B32">
    <cfRule type="containsText" dxfId="2883" priority="6" operator="containsText" text="SIN FACTURA">
      <formula>NOT(ISERROR(SEARCH("SIN FACTURA",A32)))</formula>
    </cfRule>
  </conditionalFormatting>
  <conditionalFormatting sqref="A34:B34">
    <cfRule type="containsText" dxfId="2882" priority="5" operator="containsText" text="SIN FACTURA">
      <formula>NOT(ISERROR(SEARCH("SIN FACTURA",A34)))</formula>
    </cfRule>
  </conditionalFormatting>
  <conditionalFormatting sqref="A36:B36">
    <cfRule type="containsText" dxfId="2881" priority="4" operator="containsText" text="SIN FACTURA">
      <formula>NOT(ISERROR(SEARCH("SIN FACTURA",A36)))</formula>
    </cfRule>
  </conditionalFormatting>
  <conditionalFormatting sqref="A38:B38">
    <cfRule type="containsText" dxfId="2880" priority="3" operator="containsText" text="SIN FACTURA">
      <formula>NOT(ISERROR(SEARCH("SIN FACTURA",A38)))</formula>
    </cfRule>
  </conditionalFormatting>
  <conditionalFormatting sqref="A40:B40">
    <cfRule type="containsText" dxfId="2879" priority="2" operator="containsText" text="SIN FACTURA">
      <formula>NOT(ISERROR(SEARCH("SIN FACTURA",A40)))</formula>
    </cfRule>
  </conditionalFormatting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>
  <sheetPr codeName="Hoja19"/>
  <dimension ref="A1:Y43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4" sqref="A4:XFD21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239</v>
      </c>
      <c r="B1" s="18" t="s">
        <v>49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44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2878" priority="29" operator="containsText" text="SIN FACTURA ">
      <formula>NOT(ISERROR(SEARCH("SIN FACTURA ",A2)))</formula>
    </cfRule>
  </conditionalFormatting>
  <conditionalFormatting sqref="A40:B40 J5:T11 I5:I43 A5:H11">
    <cfRule type="containsText" dxfId="2877" priority="3" operator="containsText" text="SIN FACTURA">
      <formula>NOT(ISERROR(SEARCH("SIN FACTURA",A5)))</formula>
    </cfRule>
  </conditionalFormatting>
  <conditionalFormatting sqref="A4:T4 J43:T43 J41:T41 J39:T39 J37:T37 J35:T35 J33:T33 J31:T31 J29:T29 J27:T27 J25:T25 J23:T23 J13:T21 A13:H21 A23:H23 A25:H25 A27:H27 A29:H29 A31:H31 A33:H33 A35:H35 A37:H37 A39:H39 A41:H41 A43:H43">
    <cfRule type="containsText" dxfId="2876" priority="26" operator="containsText" text="SIN FACTURA">
      <formula>NOT(ISERROR(SEARCH("SIN FACTURA",A4)))</formula>
    </cfRule>
  </conditionalFormatting>
  <conditionalFormatting sqref="C12:H12 J12:V12">
    <cfRule type="containsText" dxfId="2875" priority="25" operator="containsText" text="SIN FACTURA">
      <formula>NOT(ISERROR(SEARCH("SIN FACTURA",C12)))</formula>
    </cfRule>
  </conditionalFormatting>
  <conditionalFormatting sqref="C22:H22 J22:V22">
    <cfRule type="containsText" dxfId="2874" priority="24" operator="containsText" text="SIN FACTURA">
      <formula>NOT(ISERROR(SEARCH("SIN FACTURA",C22)))</formula>
    </cfRule>
  </conditionalFormatting>
  <conditionalFormatting sqref="C24:H24 J24:V24">
    <cfRule type="containsText" dxfId="2873" priority="23" operator="containsText" text="SIN FACTURA">
      <formula>NOT(ISERROR(SEARCH("SIN FACTURA",C24)))</formula>
    </cfRule>
  </conditionalFormatting>
  <conditionalFormatting sqref="C26:H26 J26:V26">
    <cfRule type="containsText" dxfId="2872" priority="22" operator="containsText" text="SIN FACTURA">
      <formula>NOT(ISERROR(SEARCH("SIN FACTURA",C26)))</formula>
    </cfRule>
  </conditionalFormatting>
  <conditionalFormatting sqref="C28:H28 J28:V28">
    <cfRule type="containsText" dxfId="2871" priority="21" operator="containsText" text="SIN FACTURA">
      <formula>NOT(ISERROR(SEARCH("SIN FACTURA",C28)))</formula>
    </cfRule>
  </conditionalFormatting>
  <conditionalFormatting sqref="C30:H30 J30:V30">
    <cfRule type="containsText" dxfId="2870" priority="20" operator="containsText" text="SIN FACTURA">
      <formula>NOT(ISERROR(SEARCH("SIN FACTURA",C30)))</formula>
    </cfRule>
  </conditionalFormatting>
  <conditionalFormatting sqref="C32:H32 J32:V32">
    <cfRule type="containsText" dxfId="2869" priority="19" operator="containsText" text="SIN FACTURA">
      <formula>NOT(ISERROR(SEARCH("SIN FACTURA",C32)))</formula>
    </cfRule>
  </conditionalFormatting>
  <conditionalFormatting sqref="C34:H34 J34:V34">
    <cfRule type="containsText" dxfId="2868" priority="18" operator="containsText" text="SIN FACTURA">
      <formula>NOT(ISERROR(SEARCH("SIN FACTURA",C34)))</formula>
    </cfRule>
  </conditionalFormatting>
  <conditionalFormatting sqref="C36:H36 J36:V36">
    <cfRule type="containsText" dxfId="2867" priority="17" operator="containsText" text="SIN FACTURA">
      <formula>NOT(ISERROR(SEARCH("SIN FACTURA",C36)))</formula>
    </cfRule>
  </conditionalFormatting>
  <conditionalFormatting sqref="C38:H38 J38:V38">
    <cfRule type="containsText" dxfId="2866" priority="16" operator="containsText" text="SIN FACTURA">
      <formula>NOT(ISERROR(SEARCH("SIN FACTURA",C38)))</formula>
    </cfRule>
  </conditionalFormatting>
  <conditionalFormatting sqref="C40:H40 J40:V40">
    <cfRule type="containsText" dxfId="2865" priority="15" operator="containsText" text="SIN FACTURA">
      <formula>NOT(ISERROR(SEARCH("SIN FACTURA",C40)))</formula>
    </cfRule>
  </conditionalFormatting>
  <conditionalFormatting sqref="C42:H42 J42:V42">
    <cfRule type="containsText" dxfId="2864" priority="14" operator="containsText" text="SIN FACTURA">
      <formula>NOT(ISERROR(SEARCH("SIN FACTURA",C42)))</formula>
    </cfRule>
  </conditionalFormatting>
  <conditionalFormatting sqref="A12:B12">
    <cfRule type="containsText" dxfId="2863" priority="13" operator="containsText" text="SIN FACTURA">
      <formula>NOT(ISERROR(SEARCH("SIN FACTURA",A12)))</formula>
    </cfRule>
  </conditionalFormatting>
  <conditionalFormatting sqref="A22:B22">
    <cfRule type="containsText" dxfId="2862" priority="12" operator="containsText" text="SIN FACTURA">
      <formula>NOT(ISERROR(SEARCH("SIN FACTURA",A22)))</formula>
    </cfRule>
  </conditionalFormatting>
  <conditionalFormatting sqref="A24:B24">
    <cfRule type="containsText" dxfId="2861" priority="11" operator="containsText" text="SIN FACTURA">
      <formula>NOT(ISERROR(SEARCH("SIN FACTURA",A24)))</formula>
    </cfRule>
  </conditionalFormatting>
  <conditionalFormatting sqref="A26:B26">
    <cfRule type="containsText" dxfId="2860" priority="10" operator="containsText" text="SIN FACTURA">
      <formula>NOT(ISERROR(SEARCH("SIN FACTURA",A26)))</formula>
    </cfRule>
  </conditionalFormatting>
  <conditionalFormatting sqref="A28:B28">
    <cfRule type="containsText" dxfId="2859" priority="9" operator="containsText" text="SIN FACTURA">
      <formula>NOT(ISERROR(SEARCH("SIN FACTURA",A28)))</formula>
    </cfRule>
  </conditionalFormatting>
  <conditionalFormatting sqref="A30:B30">
    <cfRule type="containsText" dxfId="2858" priority="8" operator="containsText" text="SIN FACTURA">
      <formula>NOT(ISERROR(SEARCH("SIN FACTURA",A30)))</formula>
    </cfRule>
  </conditionalFormatting>
  <conditionalFormatting sqref="A42:B42">
    <cfRule type="containsText" dxfId="2857" priority="2" operator="containsText" text="SIN FACTURA">
      <formula>NOT(ISERROR(SEARCH("SIN FACTURA",A42)))</formula>
    </cfRule>
  </conditionalFormatting>
  <conditionalFormatting sqref="A32:B32">
    <cfRule type="containsText" dxfId="2856" priority="7" operator="containsText" text="SIN FACTURA">
      <formula>NOT(ISERROR(SEARCH("SIN FACTURA",A32)))</formula>
    </cfRule>
  </conditionalFormatting>
  <conditionalFormatting sqref="A34:B34">
    <cfRule type="containsText" dxfId="2855" priority="6" operator="containsText" text="SIN FACTURA">
      <formula>NOT(ISERROR(SEARCH("SIN FACTURA",A34)))</formula>
    </cfRule>
  </conditionalFormatting>
  <conditionalFormatting sqref="A36:B36">
    <cfRule type="containsText" dxfId="2854" priority="5" operator="containsText" text="SIN FACTURA">
      <formula>NOT(ISERROR(SEARCH("SIN FACTURA",A36)))</formula>
    </cfRule>
  </conditionalFormatting>
  <conditionalFormatting sqref="A38:B38">
    <cfRule type="containsText" dxfId="2853" priority="4" operator="containsText" text="SIN FACTURA">
      <formula>NOT(ISERROR(SEARCH("SIN FACTURA",A38)))</formula>
    </cfRule>
  </conditionalFormatting>
  <pageMargins left="0.75" right="0.75" top="1" bottom="1" header="0.5" footer="0.5"/>
  <pageSetup paperSize="9" orientation="portrait" horizontalDpi="4294967292" verticalDpi="4294967292"/>
</worksheet>
</file>

<file path=xl/worksheets/sheet53.xml><?xml version="1.0" encoding="utf-8"?>
<worksheet xmlns="http://schemas.openxmlformats.org/spreadsheetml/2006/main" xmlns:r="http://schemas.openxmlformats.org/officeDocument/2006/relationships">
  <sheetPr codeName="Hoja20"/>
  <dimension ref="A1:Y21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4" sqref="A4:XFD21"/>
    </sheetView>
  </sheetViews>
  <sheetFormatPr baseColWidth="10" defaultColWidth="10.875" defaultRowHeight="15.75"/>
  <cols>
    <col min="1" max="1" width="18.5" style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5" width="10.875" style="1"/>
    <col min="16" max="16" width="10.875" style="9"/>
    <col min="17" max="17" width="15.125" style="138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35</v>
      </c>
      <c r="B1" s="18" t="s">
        <v>31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34"/>
      <c r="Q1" s="11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21" si="0">F5-G5-H5</f>
        <v>0</v>
      </c>
      <c r="J5" s="44">
        <f t="shared" ref="J5:J21" si="1">S5+T5</f>
        <v>0</v>
      </c>
      <c r="K5" s="44">
        <f t="shared" ref="K5:K21" si="2">I5-J5</f>
        <v>0</v>
      </c>
      <c r="L5" s="45"/>
      <c r="M5" s="40"/>
      <c r="N5" s="43">
        <f t="shared" ref="N5:N21" si="3">I5-J5-M5-R5</f>
        <v>0</v>
      </c>
      <c r="O5" s="43">
        <f t="shared" ref="O5:O21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0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0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0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0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0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2852" priority="70" operator="containsText" text="SIN FACTURA ">
      <formula>NOT(ISERROR(SEARCH("SIN FACTURA ",A2)))</formula>
    </cfRule>
  </conditionalFormatting>
  <conditionalFormatting sqref="A4:T4">
    <cfRule type="containsText" dxfId="2851" priority="69" operator="containsText" text="SIN FACTURA">
      <formula>NOT(ISERROR(SEARCH("SIN FACTURA",A4)))</formula>
    </cfRule>
  </conditionalFormatting>
  <conditionalFormatting sqref="A5:T5 A7:T7">
    <cfRule type="containsText" dxfId="2850" priority="36" operator="containsText" text="SIN FACTURA">
      <formula>NOT(ISERROR(SEARCH("SIN FACTURA",A5)))</formula>
    </cfRule>
  </conditionalFormatting>
  <conditionalFormatting sqref="A6:T6">
    <cfRule type="containsText" dxfId="2849" priority="12" operator="containsText" text="SIN FACTURA">
      <formula>NOT(ISERROR(SEARCH("SIN FACTURA",A6)))</formula>
    </cfRule>
  </conditionalFormatting>
  <conditionalFormatting sqref="A6:B6">
    <cfRule type="containsText" dxfId="2848" priority="11" operator="containsText" text="SIN FACTURA">
      <formula>NOT(ISERROR(SEARCH("SIN FACTURA",A6)))</formula>
    </cfRule>
  </conditionalFormatting>
  <conditionalFormatting sqref="I6">
    <cfRule type="containsText" dxfId="2847" priority="10" operator="containsText" text="SIN FACTURA">
      <formula>NOT(ISERROR(SEARCH("SIN FACTURA",I6)))</formula>
    </cfRule>
  </conditionalFormatting>
  <conditionalFormatting sqref="C6:H6 J6:T6">
    <cfRule type="containsText" dxfId="2846" priority="9" operator="containsText" text="SIN FACTURA">
      <formula>NOT(ISERROR(SEARCH("SIN FACTURA",C6)))</formula>
    </cfRule>
  </conditionalFormatting>
  <conditionalFormatting sqref="A8:T8">
    <cfRule type="containsText" dxfId="2845" priority="8" operator="containsText" text="SIN FACTURA">
      <formula>NOT(ISERROR(SEARCH("SIN FACTURA",A8)))</formula>
    </cfRule>
  </conditionalFormatting>
  <conditionalFormatting sqref="A8:B8">
    <cfRule type="containsText" dxfId="2844" priority="7" operator="containsText" text="SIN FACTURA">
      <formula>NOT(ISERROR(SEARCH("SIN FACTURA",A8)))</formula>
    </cfRule>
  </conditionalFormatting>
  <conditionalFormatting sqref="I8">
    <cfRule type="containsText" dxfId="2843" priority="6" operator="containsText" text="SIN FACTURA">
      <formula>NOT(ISERROR(SEARCH("SIN FACTURA",I8)))</formula>
    </cfRule>
  </conditionalFormatting>
  <conditionalFormatting sqref="C8:H8 J8:T8">
    <cfRule type="containsText" dxfId="2842" priority="5" operator="containsText" text="SIN FACTURA">
      <formula>NOT(ISERROR(SEARCH("SIN FACTURA",C8)))</formula>
    </cfRule>
  </conditionalFormatting>
  <conditionalFormatting sqref="J5:T11 I5:I21 A5:H11">
    <cfRule type="containsText" dxfId="2841" priority="4" operator="containsText" text="SIN FACTURA">
      <formula>NOT(ISERROR(SEARCH("SIN FACTURA",A5)))</formula>
    </cfRule>
  </conditionalFormatting>
  <conditionalFormatting sqref="A4:T4 J13:T21 A13:H21">
    <cfRule type="containsText" dxfId="2840" priority="3" operator="containsText" text="SIN FACTURA">
      <formula>NOT(ISERROR(SEARCH("SIN FACTURA",A4)))</formula>
    </cfRule>
  </conditionalFormatting>
  <conditionalFormatting sqref="C12:H12 J12:V12">
    <cfRule type="containsText" dxfId="2839" priority="2" operator="containsText" text="SIN FACTURA">
      <formula>NOT(ISERROR(SEARCH("SIN FACTURA",C12)))</formula>
    </cfRule>
  </conditionalFormatting>
  <conditionalFormatting sqref="A12:B12">
    <cfRule type="containsText" dxfId="2838" priority="1" operator="containsText" text="SIN FACTURA">
      <formula>NOT(ISERROR(SEARCH("SIN FACTURA",A12)))</formula>
    </cfRule>
  </conditionalFormatting>
  <pageMargins left="0.75" right="0.75" top="1" bottom="1" header="0.5" footer="0.5"/>
  <pageSetup paperSize="9" orientation="portrait" horizontalDpi="4294967292" verticalDpi="4294967292" r:id="rId1"/>
</worksheet>
</file>

<file path=xl/worksheets/sheet54.xml><?xml version="1.0" encoding="utf-8"?>
<worksheet xmlns="http://schemas.openxmlformats.org/spreadsheetml/2006/main" xmlns:r="http://schemas.openxmlformats.org/officeDocument/2006/relationships">
  <sheetPr codeName="Hoja22"/>
  <dimension ref="A1:Y39"/>
  <sheetViews>
    <sheetView zoomScale="125" zoomScaleNormal="125" zoomScalePageLayoutView="125" workbookViewId="0">
      <pane ySplit="3" topLeftCell="A4" activePane="bottomLeft" state="frozen"/>
      <selection pane="bottomLeft" activeCell="A5" sqref="A5:XFD10"/>
    </sheetView>
  </sheetViews>
  <sheetFormatPr baseColWidth="10" defaultColWidth="10.875" defaultRowHeight="15.75"/>
  <cols>
    <col min="1" max="1" width="18.875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234</v>
      </c>
      <c r="B1" s="18" t="s">
        <v>39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9" si="0">F5-G5-H5</f>
        <v>0</v>
      </c>
      <c r="J5" s="44">
        <f>S5+T5</f>
        <v>0</v>
      </c>
      <c r="K5" s="44">
        <f>I5-J5</f>
        <v>0</v>
      </c>
      <c r="L5" s="45"/>
      <c r="M5" s="40"/>
      <c r="N5" s="43">
        <f t="shared" ref="N5:N39" si="1">I5-J5-M5-R5</f>
        <v>0</v>
      </c>
      <c r="O5" s="43">
        <f t="shared" ref="O5:O39" si="2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ref="J7:J39" si="3">S7+T7</f>
        <v>0</v>
      </c>
      <c r="K7" s="44">
        <f t="shared" ref="K7:K39" si="4">I7-J7</f>
        <v>0</v>
      </c>
      <c r="L7" s="45"/>
      <c r="M7" s="40"/>
      <c r="N7" s="43">
        <f t="shared" si="1"/>
        <v>0</v>
      </c>
      <c r="O7" s="43">
        <f t="shared" si="2"/>
        <v>0</v>
      </c>
      <c r="P7" s="46"/>
      <c r="Q7" s="40"/>
      <c r="R7" s="47"/>
      <c r="S7" s="47"/>
      <c r="T7" s="48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3"/>
        <v>0</v>
      </c>
      <c r="K9" s="44">
        <f t="shared" si="4"/>
        <v>0</v>
      </c>
      <c r="L9" s="45"/>
      <c r="M9" s="40"/>
      <c r="N9" s="43">
        <f t="shared" si="1"/>
        <v>0</v>
      </c>
      <c r="O9" s="43">
        <f t="shared" si="2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3"/>
        <v>0</v>
      </c>
      <c r="K11" s="44">
        <f t="shared" si="4"/>
        <v>0</v>
      </c>
      <c r="L11" s="45"/>
      <c r="M11" s="40"/>
      <c r="N11" s="43">
        <f t="shared" si="1"/>
        <v>0</v>
      </c>
      <c r="O11" s="43">
        <f t="shared" si="2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>S13+T13</f>
        <v>0</v>
      </c>
      <c r="K13" s="44">
        <f t="shared" si="4"/>
        <v>0</v>
      </c>
      <c r="L13" s="45"/>
      <c r="M13" s="40"/>
      <c r="N13" s="43">
        <f>I13-J13-M13-R13</f>
        <v>0</v>
      </c>
      <c r="O13" s="43">
        <f>R13+S13+T13</f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3"/>
        <v>0</v>
      </c>
      <c r="K15" s="44">
        <f t="shared" si="4"/>
        <v>0</v>
      </c>
      <c r="L15" s="45"/>
      <c r="M15" s="40"/>
      <c r="N15" s="43">
        <f t="shared" si="1"/>
        <v>0</v>
      </c>
      <c r="O15" s="43">
        <f t="shared" si="2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3"/>
        <v>0</v>
      </c>
      <c r="K17" s="44">
        <f t="shared" si="4"/>
        <v>0</v>
      </c>
      <c r="L17" s="45"/>
      <c r="M17" s="40"/>
      <c r="N17" s="43">
        <f t="shared" si="1"/>
        <v>0</v>
      </c>
      <c r="O17" s="43">
        <f t="shared" si="2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3"/>
        <v>0</v>
      </c>
      <c r="K19" s="44">
        <f t="shared" si="4"/>
        <v>0</v>
      </c>
      <c r="L19" s="45"/>
      <c r="M19" s="40"/>
      <c r="N19" s="43">
        <f t="shared" si="1"/>
        <v>0</v>
      </c>
      <c r="O19" s="43">
        <f t="shared" si="2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3"/>
        <v>0</v>
      </c>
      <c r="K21" s="44">
        <f t="shared" si="4"/>
        <v>0</v>
      </c>
      <c r="L21" s="45"/>
      <c r="M21" s="40"/>
      <c r="N21" s="43">
        <f t="shared" si="1"/>
        <v>0</v>
      </c>
      <c r="O21" s="43">
        <f t="shared" si="2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3"/>
        <v>0</v>
      </c>
      <c r="K23" s="44">
        <f t="shared" si="4"/>
        <v>0</v>
      </c>
      <c r="L23" s="45"/>
      <c r="M23" s="40"/>
      <c r="N23" s="43">
        <f t="shared" si="1"/>
        <v>0</v>
      </c>
      <c r="O23" s="43">
        <f t="shared" si="2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3"/>
        <v>0</v>
      </c>
      <c r="K25" s="44">
        <f t="shared" si="4"/>
        <v>0</v>
      </c>
      <c r="L25" s="45"/>
      <c r="M25" s="40"/>
      <c r="N25" s="43">
        <f t="shared" si="1"/>
        <v>0</v>
      </c>
      <c r="O25" s="43">
        <f t="shared" si="2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3"/>
        <v>0</v>
      </c>
      <c r="K27" s="44">
        <f t="shared" si="4"/>
        <v>0</v>
      </c>
      <c r="L27" s="45"/>
      <c r="M27" s="40"/>
      <c r="N27" s="43">
        <f t="shared" si="1"/>
        <v>0</v>
      </c>
      <c r="O27" s="43">
        <f t="shared" si="2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3"/>
        <v>0</v>
      </c>
      <c r="K29" s="44">
        <f t="shared" si="4"/>
        <v>0</v>
      </c>
      <c r="L29" s="45"/>
      <c r="M29" s="40"/>
      <c r="N29" s="43">
        <f t="shared" si="1"/>
        <v>0</v>
      </c>
      <c r="O29" s="43">
        <f t="shared" si="2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3"/>
        <v>0</v>
      </c>
      <c r="K31" s="44">
        <f t="shared" si="4"/>
        <v>0</v>
      </c>
      <c r="L31" s="45"/>
      <c r="M31" s="40"/>
      <c r="N31" s="43">
        <f t="shared" si="1"/>
        <v>0</v>
      </c>
      <c r="O31" s="43">
        <f t="shared" si="2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3"/>
        <v>0</v>
      </c>
      <c r="K33" s="44">
        <f t="shared" si="4"/>
        <v>0</v>
      </c>
      <c r="L33" s="45"/>
      <c r="M33" s="40"/>
      <c r="N33" s="43">
        <f t="shared" si="1"/>
        <v>0</v>
      </c>
      <c r="O33" s="43">
        <f t="shared" si="2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3"/>
        <v>0</v>
      </c>
      <c r="K35" s="44">
        <f t="shared" si="4"/>
        <v>0</v>
      </c>
      <c r="L35" s="45"/>
      <c r="M35" s="40"/>
      <c r="N35" s="43">
        <f t="shared" si="1"/>
        <v>0</v>
      </c>
      <c r="O35" s="43">
        <f t="shared" si="2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3"/>
        <v>0</v>
      </c>
      <c r="K37" s="44">
        <f t="shared" si="4"/>
        <v>0</v>
      </c>
      <c r="L37" s="45"/>
      <c r="M37" s="40"/>
      <c r="N37" s="43">
        <f t="shared" si="1"/>
        <v>0</v>
      </c>
      <c r="O37" s="43">
        <f t="shared" si="2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50"/>
      <c r="B39" s="51"/>
      <c r="C39" s="52"/>
      <c r="D39" s="50"/>
      <c r="E39" s="50"/>
      <c r="F39" s="50"/>
      <c r="G39" s="43">
        <f>F39*6%</f>
        <v>0</v>
      </c>
      <c r="H39" s="53"/>
      <c r="I39" s="78">
        <f t="shared" si="0"/>
        <v>0</v>
      </c>
      <c r="J39" s="54">
        <f t="shared" si="3"/>
        <v>0</v>
      </c>
      <c r="K39" s="54">
        <f t="shared" si="4"/>
        <v>0</v>
      </c>
      <c r="L39" s="55"/>
      <c r="M39" s="50"/>
      <c r="N39" s="53">
        <f t="shared" si="1"/>
        <v>0</v>
      </c>
      <c r="O39" s="53">
        <f t="shared" si="2"/>
        <v>0</v>
      </c>
      <c r="P39" s="56"/>
      <c r="Q39" s="50"/>
      <c r="R39" s="50"/>
      <c r="S39" s="50"/>
      <c r="T39" s="5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2837" priority="26" operator="containsText" text="SIN FACTURA ">
      <formula>NOT(ISERROR(SEARCH("SIN FACTURA ",A2)))</formula>
    </cfRule>
  </conditionalFormatting>
  <conditionalFormatting sqref="J39:T39 J37:T37 J35:T35 J33:T33 J31:T31 J29:T29 J27:T27 J25:T25 J23:T23 J21:T21 J19:T19 J9:T17 A9:H17 A19:H19 A21:H21 A23:H23 A25:H25 A27:H27 A29:H29 A31:H31 A33:H33 A35:H35 A37:H37 A39:H39 A4:T4 J5:T7 I5:I39 A5:H7">
    <cfRule type="containsText" dxfId="2836" priority="25" operator="containsText" text="SIN FACTURA">
      <formula>NOT(ISERROR(SEARCH("SIN FACTURA",A4)))</formula>
    </cfRule>
  </conditionalFormatting>
  <conditionalFormatting sqref="C8:H8 J8:V8">
    <cfRule type="containsText" dxfId="2835" priority="24" operator="containsText" text="SIN FACTURA">
      <formula>NOT(ISERROR(SEARCH("SIN FACTURA",C8)))</formula>
    </cfRule>
  </conditionalFormatting>
  <conditionalFormatting sqref="C18:H18 J18:V18">
    <cfRule type="containsText" dxfId="2834" priority="23" operator="containsText" text="SIN FACTURA">
      <formula>NOT(ISERROR(SEARCH("SIN FACTURA",C18)))</formula>
    </cfRule>
  </conditionalFormatting>
  <conditionalFormatting sqref="C20:H20 J20:V20">
    <cfRule type="containsText" dxfId="2833" priority="22" operator="containsText" text="SIN FACTURA">
      <formula>NOT(ISERROR(SEARCH("SIN FACTURA",C20)))</formula>
    </cfRule>
  </conditionalFormatting>
  <conditionalFormatting sqref="C22:H22 J22:V22">
    <cfRule type="containsText" dxfId="2832" priority="21" operator="containsText" text="SIN FACTURA">
      <formula>NOT(ISERROR(SEARCH("SIN FACTURA",C22)))</formula>
    </cfRule>
  </conditionalFormatting>
  <conditionalFormatting sqref="C24:H24 J24:V24">
    <cfRule type="containsText" dxfId="2831" priority="20" operator="containsText" text="SIN FACTURA">
      <formula>NOT(ISERROR(SEARCH("SIN FACTURA",C24)))</formula>
    </cfRule>
  </conditionalFormatting>
  <conditionalFormatting sqref="C26:H26 J26:V26">
    <cfRule type="containsText" dxfId="2830" priority="19" operator="containsText" text="SIN FACTURA">
      <formula>NOT(ISERROR(SEARCH("SIN FACTURA",C26)))</formula>
    </cfRule>
  </conditionalFormatting>
  <conditionalFormatting sqref="C28:H28 J28:V28">
    <cfRule type="containsText" dxfId="2829" priority="18" operator="containsText" text="SIN FACTURA">
      <formula>NOT(ISERROR(SEARCH("SIN FACTURA",C28)))</formula>
    </cfRule>
  </conditionalFormatting>
  <conditionalFormatting sqref="C30:H30 J30:V30">
    <cfRule type="containsText" dxfId="2828" priority="17" operator="containsText" text="SIN FACTURA">
      <formula>NOT(ISERROR(SEARCH("SIN FACTURA",C30)))</formula>
    </cfRule>
  </conditionalFormatting>
  <conditionalFormatting sqref="C32:H32 J32:V32">
    <cfRule type="containsText" dxfId="2827" priority="16" operator="containsText" text="SIN FACTURA">
      <formula>NOT(ISERROR(SEARCH("SIN FACTURA",C32)))</formula>
    </cfRule>
  </conditionalFormatting>
  <conditionalFormatting sqref="C34:H34 J34:V34">
    <cfRule type="containsText" dxfId="2826" priority="15" operator="containsText" text="SIN FACTURA">
      <formula>NOT(ISERROR(SEARCH("SIN FACTURA",C34)))</formula>
    </cfRule>
  </conditionalFormatting>
  <conditionalFormatting sqref="C36:H36 J36:V36">
    <cfRule type="containsText" dxfId="2825" priority="14" operator="containsText" text="SIN FACTURA">
      <formula>NOT(ISERROR(SEARCH("SIN FACTURA",C36)))</formula>
    </cfRule>
  </conditionalFormatting>
  <conditionalFormatting sqref="C38:H38 J38:V38">
    <cfRule type="containsText" dxfId="2824" priority="13" operator="containsText" text="SIN FACTURA">
      <formula>NOT(ISERROR(SEARCH("SIN FACTURA",C38)))</formula>
    </cfRule>
  </conditionalFormatting>
  <conditionalFormatting sqref="A8:B8">
    <cfRule type="containsText" dxfId="2823" priority="12" operator="containsText" text="SIN FACTURA">
      <formula>NOT(ISERROR(SEARCH("SIN FACTURA",A8)))</formula>
    </cfRule>
  </conditionalFormatting>
  <conditionalFormatting sqref="A18:B18">
    <cfRule type="containsText" dxfId="2822" priority="11" operator="containsText" text="SIN FACTURA">
      <formula>NOT(ISERROR(SEARCH("SIN FACTURA",A18)))</formula>
    </cfRule>
  </conditionalFormatting>
  <conditionalFormatting sqref="A20:B20">
    <cfRule type="containsText" dxfId="2821" priority="10" operator="containsText" text="SIN FACTURA">
      <formula>NOT(ISERROR(SEARCH("SIN FACTURA",A20)))</formula>
    </cfRule>
  </conditionalFormatting>
  <conditionalFormatting sqref="A22:B22">
    <cfRule type="containsText" dxfId="2820" priority="9" operator="containsText" text="SIN FACTURA">
      <formula>NOT(ISERROR(SEARCH("SIN FACTURA",A22)))</formula>
    </cfRule>
  </conditionalFormatting>
  <conditionalFormatting sqref="A24:B24">
    <cfRule type="containsText" dxfId="2819" priority="8" operator="containsText" text="SIN FACTURA">
      <formula>NOT(ISERROR(SEARCH("SIN FACTURA",A24)))</formula>
    </cfRule>
  </conditionalFormatting>
  <conditionalFormatting sqref="A26:B26">
    <cfRule type="containsText" dxfId="2818" priority="7" operator="containsText" text="SIN FACTURA">
      <formula>NOT(ISERROR(SEARCH("SIN FACTURA",A26)))</formula>
    </cfRule>
  </conditionalFormatting>
  <conditionalFormatting sqref="A38:B38">
    <cfRule type="containsText" dxfId="2817" priority="1" operator="containsText" text="SIN FACTURA">
      <formula>NOT(ISERROR(SEARCH("SIN FACTURA",A38)))</formula>
    </cfRule>
  </conditionalFormatting>
  <conditionalFormatting sqref="A28:B28">
    <cfRule type="containsText" dxfId="2816" priority="6" operator="containsText" text="SIN FACTURA">
      <formula>NOT(ISERROR(SEARCH("SIN FACTURA",A28)))</formula>
    </cfRule>
  </conditionalFormatting>
  <conditionalFormatting sqref="A30:B30">
    <cfRule type="containsText" dxfId="2815" priority="5" operator="containsText" text="SIN FACTURA">
      <formula>NOT(ISERROR(SEARCH("SIN FACTURA",A30)))</formula>
    </cfRule>
  </conditionalFormatting>
  <conditionalFormatting sqref="A32:B32">
    <cfRule type="containsText" dxfId="2814" priority="4" operator="containsText" text="SIN FACTURA">
      <formula>NOT(ISERROR(SEARCH("SIN FACTURA",A32)))</formula>
    </cfRule>
  </conditionalFormatting>
  <conditionalFormatting sqref="A34:B34">
    <cfRule type="containsText" dxfId="2813" priority="3" operator="containsText" text="SIN FACTURA">
      <formula>NOT(ISERROR(SEARCH("SIN FACTURA",A34)))</formula>
    </cfRule>
  </conditionalFormatting>
  <conditionalFormatting sqref="A36:B36">
    <cfRule type="containsText" dxfId="2812" priority="2" operator="containsText" text="SIN FACTURA">
      <formula>NOT(ISERROR(SEARCH("SIN FACTURA",A36)))</formula>
    </cfRule>
  </conditionalFormatting>
  <pageMargins left="0.75" right="0.75" top="1" bottom="1" header="0.5" footer="0.5"/>
  <pageSetup paperSize="9" orientation="portrait" horizontalDpi="4294967292" verticalDpi="4294967292"/>
</worksheet>
</file>

<file path=xl/worksheets/sheet55.xml><?xml version="1.0" encoding="utf-8"?>
<worksheet xmlns="http://schemas.openxmlformats.org/spreadsheetml/2006/main" xmlns:r="http://schemas.openxmlformats.org/officeDocument/2006/relationships">
  <dimension ref="A1:Y41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8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230</v>
      </c>
      <c r="B1" s="18"/>
      <c r="C1" s="20">
        <v>496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1" si="0">F5-G5-H5</f>
        <v>0</v>
      </c>
      <c r="J5" s="44">
        <f t="shared" ref="J5:J41" si="1">S5+T5</f>
        <v>0</v>
      </c>
      <c r="K5" s="44">
        <f t="shared" ref="K5:K41" si="2">I5-J5</f>
        <v>0</v>
      </c>
      <c r="L5" s="45"/>
      <c r="M5" s="40"/>
      <c r="N5" s="43">
        <f t="shared" ref="N5:N41" si="3">I5-J5-M5-R5</f>
        <v>0</v>
      </c>
      <c r="O5" s="43">
        <f t="shared" ref="O5:O41" si="4">R5+S5+T5</f>
        <v>0</v>
      </c>
      <c r="P5" s="46"/>
      <c r="Q5" s="40"/>
      <c r="R5" s="43"/>
      <c r="S5" s="43"/>
      <c r="T5" s="49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>I7-J7</f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>S15+T15</f>
        <v>0</v>
      </c>
      <c r="K15" s="44">
        <f t="shared" si="2"/>
        <v>0</v>
      </c>
      <c r="L15" s="45"/>
      <c r="M15" s="40"/>
      <c r="N15" s="43">
        <f>I15-J15-M15-R15</f>
        <v>0</v>
      </c>
      <c r="O15" s="43">
        <f>R15+S15+T15</f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50"/>
      <c r="B41" s="51"/>
      <c r="C41" s="52"/>
      <c r="D41" s="50"/>
      <c r="E41" s="50"/>
      <c r="F41" s="50"/>
      <c r="G41" s="43">
        <f>F41*6%</f>
        <v>0</v>
      </c>
      <c r="H41" s="53"/>
      <c r="I41" s="78">
        <f t="shared" si="0"/>
        <v>0</v>
      </c>
      <c r="J41" s="54">
        <f t="shared" si="1"/>
        <v>0</v>
      </c>
      <c r="K41" s="54">
        <f t="shared" si="2"/>
        <v>0</v>
      </c>
      <c r="L41" s="55"/>
      <c r="M41" s="50"/>
      <c r="N41" s="53">
        <f t="shared" si="3"/>
        <v>0</v>
      </c>
      <c r="O41" s="53">
        <f t="shared" si="4"/>
        <v>0</v>
      </c>
      <c r="P41" s="56"/>
      <c r="Q41" s="50"/>
      <c r="R41" s="50"/>
      <c r="S41" s="50"/>
      <c r="T41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811" priority="26" operator="containsText" text="SIN FACTURA ">
      <formula>NOT(ISERROR(SEARCH("SIN FACTURA ",A2)))</formula>
    </cfRule>
  </conditionalFormatting>
  <conditionalFormatting sqref="J41:T41 J39:T39 J37:T37 J35:T35 J33:T33 J31:T31 J29:T29 J27:T27 J25:T25 J23:T23 J21:T21 J11:T19 A11:H19 A21:H21 A23:H23 A25:H25 A27:H27 A29:H29 A31:H31 A33:H33 A35:H35 A37:H37 A39:H39 A41:H41 A4:T4 J5:T9 I5:I41 A5:H9">
    <cfRule type="containsText" dxfId="2810" priority="25" operator="containsText" text="SIN FACTURA">
      <formula>NOT(ISERROR(SEARCH("SIN FACTURA",A4)))</formula>
    </cfRule>
  </conditionalFormatting>
  <conditionalFormatting sqref="C10:H10 J10:V10">
    <cfRule type="containsText" dxfId="2809" priority="24" operator="containsText" text="SIN FACTURA">
      <formula>NOT(ISERROR(SEARCH("SIN FACTURA",C10)))</formula>
    </cfRule>
  </conditionalFormatting>
  <conditionalFormatting sqref="C20:H20 J20:V20">
    <cfRule type="containsText" dxfId="2808" priority="23" operator="containsText" text="SIN FACTURA">
      <formula>NOT(ISERROR(SEARCH("SIN FACTURA",C20)))</formula>
    </cfRule>
  </conditionalFormatting>
  <conditionalFormatting sqref="C22:H22 J22:V22">
    <cfRule type="containsText" dxfId="2807" priority="22" operator="containsText" text="SIN FACTURA">
      <formula>NOT(ISERROR(SEARCH("SIN FACTURA",C22)))</formula>
    </cfRule>
  </conditionalFormatting>
  <conditionalFormatting sqref="C24:H24 J24:V24">
    <cfRule type="containsText" dxfId="2806" priority="21" operator="containsText" text="SIN FACTURA">
      <formula>NOT(ISERROR(SEARCH("SIN FACTURA",C24)))</formula>
    </cfRule>
  </conditionalFormatting>
  <conditionalFormatting sqref="C26:H26 J26:V26">
    <cfRule type="containsText" dxfId="2805" priority="20" operator="containsText" text="SIN FACTURA">
      <formula>NOT(ISERROR(SEARCH("SIN FACTURA",C26)))</formula>
    </cfRule>
  </conditionalFormatting>
  <conditionalFormatting sqref="C28:H28 J28:V28">
    <cfRule type="containsText" dxfId="2804" priority="19" operator="containsText" text="SIN FACTURA">
      <formula>NOT(ISERROR(SEARCH("SIN FACTURA",C28)))</formula>
    </cfRule>
  </conditionalFormatting>
  <conditionalFormatting sqref="C30:H30 J30:V30">
    <cfRule type="containsText" dxfId="2803" priority="18" operator="containsText" text="SIN FACTURA">
      <formula>NOT(ISERROR(SEARCH("SIN FACTURA",C30)))</formula>
    </cfRule>
  </conditionalFormatting>
  <conditionalFormatting sqref="C32:H32 J32:V32">
    <cfRule type="containsText" dxfId="2802" priority="17" operator="containsText" text="SIN FACTURA">
      <formula>NOT(ISERROR(SEARCH("SIN FACTURA",C32)))</formula>
    </cfRule>
  </conditionalFormatting>
  <conditionalFormatting sqref="C34:H34 J34:V34">
    <cfRule type="containsText" dxfId="2801" priority="16" operator="containsText" text="SIN FACTURA">
      <formula>NOT(ISERROR(SEARCH("SIN FACTURA",C34)))</formula>
    </cfRule>
  </conditionalFormatting>
  <conditionalFormatting sqref="C36:H36 J36:V36">
    <cfRule type="containsText" dxfId="2800" priority="15" operator="containsText" text="SIN FACTURA">
      <formula>NOT(ISERROR(SEARCH("SIN FACTURA",C36)))</formula>
    </cfRule>
  </conditionalFormatting>
  <conditionalFormatting sqref="C38:H38 J38:V38">
    <cfRule type="containsText" dxfId="2799" priority="14" operator="containsText" text="SIN FACTURA">
      <formula>NOT(ISERROR(SEARCH("SIN FACTURA",C38)))</formula>
    </cfRule>
  </conditionalFormatting>
  <conditionalFormatting sqref="C40:H40 J40:V40">
    <cfRule type="containsText" dxfId="2798" priority="13" operator="containsText" text="SIN FACTURA">
      <formula>NOT(ISERROR(SEARCH("SIN FACTURA",C40)))</formula>
    </cfRule>
  </conditionalFormatting>
  <conditionalFormatting sqref="A10:B10">
    <cfRule type="containsText" dxfId="2797" priority="12" operator="containsText" text="SIN FACTURA">
      <formula>NOT(ISERROR(SEARCH("SIN FACTURA",A10)))</formula>
    </cfRule>
  </conditionalFormatting>
  <conditionalFormatting sqref="A20:B20">
    <cfRule type="containsText" dxfId="2796" priority="11" operator="containsText" text="SIN FACTURA">
      <formula>NOT(ISERROR(SEARCH("SIN FACTURA",A20)))</formula>
    </cfRule>
  </conditionalFormatting>
  <conditionalFormatting sqref="A22:B22">
    <cfRule type="containsText" dxfId="2795" priority="10" operator="containsText" text="SIN FACTURA">
      <formula>NOT(ISERROR(SEARCH("SIN FACTURA",A22)))</formula>
    </cfRule>
  </conditionalFormatting>
  <conditionalFormatting sqref="A24:B24">
    <cfRule type="containsText" dxfId="2794" priority="9" operator="containsText" text="SIN FACTURA">
      <formula>NOT(ISERROR(SEARCH("SIN FACTURA",A24)))</formula>
    </cfRule>
  </conditionalFormatting>
  <conditionalFormatting sqref="A26:B26">
    <cfRule type="containsText" dxfId="2793" priority="8" operator="containsText" text="SIN FACTURA">
      <formula>NOT(ISERROR(SEARCH("SIN FACTURA",A26)))</formula>
    </cfRule>
  </conditionalFormatting>
  <conditionalFormatting sqref="A28:B28">
    <cfRule type="containsText" dxfId="2792" priority="7" operator="containsText" text="SIN FACTURA">
      <formula>NOT(ISERROR(SEARCH("SIN FACTURA",A28)))</formula>
    </cfRule>
  </conditionalFormatting>
  <conditionalFormatting sqref="A40:B40">
    <cfRule type="containsText" dxfId="2791" priority="1" operator="containsText" text="SIN FACTURA">
      <formula>NOT(ISERROR(SEARCH("SIN FACTURA",A40)))</formula>
    </cfRule>
  </conditionalFormatting>
  <conditionalFormatting sqref="A30:B30">
    <cfRule type="containsText" dxfId="2790" priority="6" operator="containsText" text="SIN FACTURA">
      <formula>NOT(ISERROR(SEARCH("SIN FACTURA",A30)))</formula>
    </cfRule>
  </conditionalFormatting>
  <conditionalFormatting sqref="A32:B32">
    <cfRule type="containsText" dxfId="2789" priority="5" operator="containsText" text="SIN FACTURA">
      <formula>NOT(ISERROR(SEARCH("SIN FACTURA",A32)))</formula>
    </cfRule>
  </conditionalFormatting>
  <conditionalFormatting sqref="A34:B34">
    <cfRule type="containsText" dxfId="2788" priority="4" operator="containsText" text="SIN FACTURA">
      <formula>NOT(ISERROR(SEARCH("SIN FACTURA",A34)))</formula>
    </cfRule>
  </conditionalFormatting>
  <conditionalFormatting sqref="A36:B36">
    <cfRule type="containsText" dxfId="2787" priority="3" operator="containsText" text="SIN FACTURA">
      <formula>NOT(ISERROR(SEARCH("SIN FACTURA",A36)))</formula>
    </cfRule>
  </conditionalFormatting>
  <conditionalFormatting sqref="A38:B38">
    <cfRule type="containsText" dxfId="2786" priority="2" operator="containsText" text="SIN FACTURA">
      <formula>NOT(ISERROR(SEARCH("SIN FACTURA",A38)))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56.xml><?xml version="1.0" encoding="utf-8"?>
<worksheet xmlns="http://schemas.openxmlformats.org/spreadsheetml/2006/main" xmlns:r="http://schemas.openxmlformats.org/officeDocument/2006/relationships">
  <sheetPr codeName="Hoja58"/>
  <dimension ref="A1:Y43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7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408</v>
      </c>
      <c r="B1" s="18" t="s">
        <v>133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78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785" priority="26" operator="containsText" text="SIN FACTURA ">
      <formula>NOT(ISERROR(SEARCH("SIN FACTURA ",A2)))</formula>
    </cfRule>
  </conditionalFormatting>
  <conditionalFormatting sqref="A4:T4 J43:T43 J41:T41 J39:T39 J37:T37 J35:T35 J33:T33 J31:T31 J29:T29 J27:T27 J25:T25 J23:T23 J13:T21 A13:H21 A23:H23 A25:H25 A27:H27 A29:H29 A31:H31 A33:H33 A35:H35 A37:H37 A39:H39 A41:H41 A43:H43 J5:T11 I5:I43 A5:H11">
    <cfRule type="containsText" dxfId="2784" priority="25" operator="containsText" text="SIN FACTURA">
      <formula>NOT(ISERROR(SEARCH("SIN FACTURA",A4)))</formula>
    </cfRule>
  </conditionalFormatting>
  <conditionalFormatting sqref="C12:H12 J12:V12">
    <cfRule type="containsText" dxfId="2783" priority="24" operator="containsText" text="SIN FACTURA">
      <formula>NOT(ISERROR(SEARCH("SIN FACTURA",C12)))</formula>
    </cfRule>
  </conditionalFormatting>
  <conditionalFormatting sqref="C22:H22 J22:V22">
    <cfRule type="containsText" dxfId="2782" priority="23" operator="containsText" text="SIN FACTURA">
      <formula>NOT(ISERROR(SEARCH("SIN FACTURA",C22)))</formula>
    </cfRule>
  </conditionalFormatting>
  <conditionalFormatting sqref="C24:H24 J24:V24">
    <cfRule type="containsText" dxfId="2781" priority="22" operator="containsText" text="SIN FACTURA">
      <formula>NOT(ISERROR(SEARCH("SIN FACTURA",C24)))</formula>
    </cfRule>
  </conditionalFormatting>
  <conditionalFormatting sqref="C26:H26 J26:V26">
    <cfRule type="containsText" dxfId="2780" priority="21" operator="containsText" text="SIN FACTURA">
      <formula>NOT(ISERROR(SEARCH("SIN FACTURA",C26)))</formula>
    </cfRule>
  </conditionalFormatting>
  <conditionalFormatting sqref="C28:H28 J28:V28">
    <cfRule type="containsText" dxfId="2779" priority="20" operator="containsText" text="SIN FACTURA">
      <formula>NOT(ISERROR(SEARCH("SIN FACTURA",C28)))</formula>
    </cfRule>
  </conditionalFormatting>
  <conditionalFormatting sqref="C30:H30 J30:V30">
    <cfRule type="containsText" dxfId="2778" priority="19" operator="containsText" text="SIN FACTURA">
      <formula>NOT(ISERROR(SEARCH("SIN FACTURA",C30)))</formula>
    </cfRule>
  </conditionalFormatting>
  <conditionalFormatting sqref="C32:H32 J32:V32">
    <cfRule type="containsText" dxfId="2777" priority="18" operator="containsText" text="SIN FACTURA">
      <formula>NOT(ISERROR(SEARCH("SIN FACTURA",C32)))</formula>
    </cfRule>
  </conditionalFormatting>
  <conditionalFormatting sqref="C34:H34 J34:V34">
    <cfRule type="containsText" dxfId="2776" priority="17" operator="containsText" text="SIN FACTURA">
      <formula>NOT(ISERROR(SEARCH("SIN FACTURA",C34)))</formula>
    </cfRule>
  </conditionalFormatting>
  <conditionalFormatting sqref="C36:H36 J36:V36">
    <cfRule type="containsText" dxfId="2775" priority="16" operator="containsText" text="SIN FACTURA">
      <formula>NOT(ISERROR(SEARCH("SIN FACTURA",C36)))</formula>
    </cfRule>
  </conditionalFormatting>
  <conditionalFormatting sqref="C38:H38 J38:V38">
    <cfRule type="containsText" dxfId="2774" priority="15" operator="containsText" text="SIN FACTURA">
      <formula>NOT(ISERROR(SEARCH("SIN FACTURA",C38)))</formula>
    </cfRule>
  </conditionalFormatting>
  <conditionalFormatting sqref="C40:H40 J40:V40">
    <cfRule type="containsText" dxfId="2773" priority="14" operator="containsText" text="SIN FACTURA">
      <formula>NOT(ISERROR(SEARCH("SIN FACTURA",C40)))</formula>
    </cfRule>
  </conditionalFormatting>
  <conditionalFormatting sqref="C42:H42 J42:V42">
    <cfRule type="containsText" dxfId="2772" priority="13" operator="containsText" text="SIN FACTURA">
      <formula>NOT(ISERROR(SEARCH("SIN FACTURA",C42)))</formula>
    </cfRule>
  </conditionalFormatting>
  <conditionalFormatting sqref="A12:B12">
    <cfRule type="containsText" dxfId="2771" priority="12" operator="containsText" text="SIN FACTURA">
      <formula>NOT(ISERROR(SEARCH("SIN FACTURA",A12)))</formula>
    </cfRule>
  </conditionalFormatting>
  <conditionalFormatting sqref="A22:B22">
    <cfRule type="containsText" dxfId="2770" priority="11" operator="containsText" text="SIN FACTURA">
      <formula>NOT(ISERROR(SEARCH("SIN FACTURA",A22)))</formula>
    </cfRule>
  </conditionalFormatting>
  <conditionalFormatting sqref="A24:B24">
    <cfRule type="containsText" dxfId="2769" priority="10" operator="containsText" text="SIN FACTURA">
      <formula>NOT(ISERROR(SEARCH("SIN FACTURA",A24)))</formula>
    </cfRule>
  </conditionalFormatting>
  <conditionalFormatting sqref="A26:B26">
    <cfRule type="containsText" dxfId="2768" priority="9" operator="containsText" text="SIN FACTURA">
      <formula>NOT(ISERROR(SEARCH("SIN FACTURA",A26)))</formula>
    </cfRule>
  </conditionalFormatting>
  <conditionalFormatting sqref="A28:B28">
    <cfRule type="containsText" dxfId="2767" priority="8" operator="containsText" text="SIN FACTURA">
      <formula>NOT(ISERROR(SEARCH("SIN FACTURA",A28)))</formula>
    </cfRule>
  </conditionalFormatting>
  <conditionalFormatting sqref="A30:B30">
    <cfRule type="containsText" dxfId="2766" priority="7" operator="containsText" text="SIN FACTURA">
      <formula>NOT(ISERROR(SEARCH("SIN FACTURA",A30)))</formula>
    </cfRule>
  </conditionalFormatting>
  <conditionalFormatting sqref="A42:B42">
    <cfRule type="containsText" dxfId="2765" priority="1" operator="containsText" text="SIN FACTURA">
      <formula>NOT(ISERROR(SEARCH("SIN FACTURA",A42)))</formula>
    </cfRule>
  </conditionalFormatting>
  <conditionalFormatting sqref="A32:B32">
    <cfRule type="containsText" dxfId="2764" priority="6" operator="containsText" text="SIN FACTURA">
      <formula>NOT(ISERROR(SEARCH("SIN FACTURA",A32)))</formula>
    </cfRule>
  </conditionalFormatting>
  <conditionalFormatting sqref="A34:B34">
    <cfRule type="containsText" dxfId="2763" priority="5" operator="containsText" text="SIN FACTURA">
      <formula>NOT(ISERROR(SEARCH("SIN FACTURA",A34)))</formula>
    </cfRule>
  </conditionalFormatting>
  <conditionalFormatting sqref="A36:B36">
    <cfRule type="containsText" dxfId="2762" priority="4" operator="containsText" text="SIN FACTURA">
      <formula>NOT(ISERROR(SEARCH("SIN FACTURA",A36)))</formula>
    </cfRule>
  </conditionalFormatting>
  <conditionalFormatting sqref="A38:B38">
    <cfRule type="containsText" dxfId="2761" priority="3" operator="containsText" text="SIN FACTURA">
      <formula>NOT(ISERROR(SEARCH("SIN FACTURA",A38)))</formula>
    </cfRule>
  </conditionalFormatting>
  <conditionalFormatting sqref="A40:B40">
    <cfRule type="containsText" dxfId="2760" priority="2" operator="containsText" text="SIN FACTURA">
      <formula>NOT(ISERROR(SEARCH("SIN FACTURA",A40)))</formula>
    </cfRule>
  </conditionalFormatting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>
  <sheetPr codeName="Hoja25"/>
  <dimension ref="A1:Y47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B1" sqref="B1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117</v>
      </c>
      <c r="B1" s="18" t="s">
        <v>37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>F5-G5-H5</f>
        <v>0</v>
      </c>
      <c r="J5" s="44">
        <f t="shared" ref="J5:J45" si="0">S5+T5</f>
        <v>0</v>
      </c>
      <c r="K5" s="44">
        <f t="shared" ref="K5:K45" si="1">I5-J5</f>
        <v>0</v>
      </c>
      <c r="L5" s="45"/>
      <c r="M5" s="40"/>
      <c r="N5" s="43">
        <f t="shared" ref="N5:N45" si="2">I5-J5-M5-R5</f>
        <v>0</v>
      </c>
      <c r="O5" s="43">
        <f t="shared" ref="O5:O45" si="3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ref="I7:I45" si="4">F7-G7-H7</f>
        <v>0</v>
      </c>
      <c r="J7" s="44">
        <f t="shared" si="0"/>
        <v>0</v>
      </c>
      <c r="K7" s="44">
        <f t="shared" si="1"/>
        <v>0</v>
      </c>
      <c r="L7" s="45"/>
      <c r="M7" s="40"/>
      <c r="N7" s="43">
        <f t="shared" si="2"/>
        <v>0</v>
      </c>
      <c r="O7" s="43">
        <f t="shared" si="3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4"/>
        <v>0</v>
      </c>
      <c r="J9" s="44">
        <f t="shared" si="0"/>
        <v>0</v>
      </c>
      <c r="K9" s="44">
        <f t="shared" si="1"/>
        <v>0</v>
      </c>
      <c r="L9" s="45"/>
      <c r="M9" s="40"/>
      <c r="N9" s="43">
        <f t="shared" si="2"/>
        <v>0</v>
      </c>
      <c r="O9" s="43">
        <f t="shared" si="3"/>
        <v>0</v>
      </c>
      <c r="P9" s="46"/>
      <c r="Q9" s="40"/>
      <c r="R9" s="43"/>
      <c r="S9" s="43"/>
      <c r="T9" s="49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4"/>
        <v>0</v>
      </c>
      <c r="J11" s="44">
        <f>S11+T11</f>
        <v>0</v>
      </c>
      <c r="K11" s="44">
        <f>I11-J11</f>
        <v>0</v>
      </c>
      <c r="L11" s="45"/>
      <c r="M11" s="40"/>
      <c r="N11" s="43">
        <f t="shared" si="2"/>
        <v>0</v>
      </c>
      <c r="O11" s="43">
        <f t="shared" si="3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4"/>
        <v>0</v>
      </c>
      <c r="J13" s="44">
        <f t="shared" si="0"/>
        <v>0</v>
      </c>
      <c r="K13" s="44">
        <f t="shared" si="1"/>
        <v>0</v>
      </c>
      <c r="L13" s="45"/>
      <c r="M13" s="40"/>
      <c r="N13" s="43">
        <f t="shared" si="2"/>
        <v>0</v>
      </c>
      <c r="O13" s="43">
        <f t="shared" si="3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4"/>
        <v>0</v>
      </c>
      <c r="J15" s="44">
        <f t="shared" si="0"/>
        <v>0</v>
      </c>
      <c r="K15" s="44">
        <f t="shared" si="1"/>
        <v>0</v>
      </c>
      <c r="L15" s="45"/>
      <c r="M15" s="40"/>
      <c r="N15" s="43">
        <f t="shared" si="2"/>
        <v>0</v>
      </c>
      <c r="O15" s="43">
        <f t="shared" si="3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4"/>
        <v>0</v>
      </c>
      <c r="J17" s="44">
        <f t="shared" si="0"/>
        <v>0</v>
      </c>
      <c r="K17" s="44">
        <f t="shared" si="1"/>
        <v>0</v>
      </c>
      <c r="L17" s="45"/>
      <c r="M17" s="40"/>
      <c r="N17" s="43">
        <f t="shared" si="2"/>
        <v>0</v>
      </c>
      <c r="O17" s="43">
        <f t="shared" si="3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4"/>
        <v>0</v>
      </c>
      <c r="J19" s="44">
        <f>S19+T19</f>
        <v>0</v>
      </c>
      <c r="K19" s="44">
        <f t="shared" si="1"/>
        <v>0</v>
      </c>
      <c r="L19" s="45"/>
      <c r="M19" s="40"/>
      <c r="N19" s="43">
        <f>I19-J19-M19-R19</f>
        <v>0</v>
      </c>
      <c r="O19" s="43">
        <f>R19+S19+T19</f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4"/>
        <v>0</v>
      </c>
      <c r="J21" s="44">
        <f t="shared" si="0"/>
        <v>0</v>
      </c>
      <c r="K21" s="44">
        <f t="shared" si="1"/>
        <v>0</v>
      </c>
      <c r="L21" s="45"/>
      <c r="M21" s="40"/>
      <c r="N21" s="43">
        <f t="shared" si="2"/>
        <v>0</v>
      </c>
      <c r="O21" s="43">
        <f t="shared" si="3"/>
        <v>0</v>
      </c>
      <c r="P21" s="46"/>
      <c r="Q21" s="40"/>
      <c r="R21" s="47"/>
      <c r="S21" s="47"/>
      <c r="T21" s="48"/>
    </row>
    <row r="22" spans="1:22" ht="15">
      <c r="A22" s="32"/>
      <c r="B22" s="33"/>
      <c r="C22" s="34"/>
      <c r="D22" s="32"/>
      <c r="E22" s="32"/>
      <c r="F22" s="32"/>
      <c r="G22" s="37"/>
      <c r="H22" s="37"/>
      <c r="I22" s="37"/>
      <c r="J22" s="35"/>
      <c r="K22" s="35"/>
      <c r="L22" s="36"/>
      <c r="M22" s="32"/>
      <c r="N22" s="37"/>
      <c r="O22" s="37"/>
      <c r="P22" s="38"/>
      <c r="Q22" s="32"/>
      <c r="R22" s="32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4"/>
        <v>0</v>
      </c>
      <c r="J23" s="44">
        <f t="shared" si="0"/>
        <v>0</v>
      </c>
      <c r="K23" s="44">
        <f t="shared" si="1"/>
        <v>0</v>
      </c>
      <c r="L23" s="45"/>
      <c r="M23" s="40"/>
      <c r="N23" s="43">
        <f t="shared" si="2"/>
        <v>0</v>
      </c>
      <c r="O23" s="43">
        <f t="shared" si="3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4"/>
        <v>0</v>
      </c>
      <c r="J25" s="44">
        <f t="shared" si="0"/>
        <v>0</v>
      </c>
      <c r="K25" s="44">
        <f t="shared" si="1"/>
        <v>0</v>
      </c>
      <c r="L25" s="45"/>
      <c r="M25" s="40"/>
      <c r="N25" s="43">
        <f t="shared" si="2"/>
        <v>0</v>
      </c>
      <c r="O25" s="43">
        <f t="shared" si="3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4"/>
        <v>0</v>
      </c>
      <c r="J27" s="44">
        <f t="shared" si="0"/>
        <v>0</v>
      </c>
      <c r="K27" s="44">
        <f t="shared" si="1"/>
        <v>0</v>
      </c>
      <c r="L27" s="45"/>
      <c r="M27" s="40"/>
      <c r="N27" s="43">
        <f t="shared" si="2"/>
        <v>0</v>
      </c>
      <c r="O27" s="43">
        <f t="shared" si="3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4"/>
        <v>0</v>
      </c>
      <c r="J29" s="44">
        <f t="shared" si="0"/>
        <v>0</v>
      </c>
      <c r="K29" s="44">
        <f t="shared" si="1"/>
        <v>0</v>
      </c>
      <c r="L29" s="45"/>
      <c r="M29" s="40"/>
      <c r="N29" s="43">
        <f t="shared" si="2"/>
        <v>0</v>
      </c>
      <c r="O29" s="43">
        <f t="shared" si="3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4"/>
        <v>0</v>
      </c>
      <c r="J31" s="44">
        <f t="shared" si="0"/>
        <v>0</v>
      </c>
      <c r="K31" s="44">
        <f t="shared" si="1"/>
        <v>0</v>
      </c>
      <c r="L31" s="45"/>
      <c r="M31" s="40"/>
      <c r="N31" s="43">
        <f t="shared" si="2"/>
        <v>0</v>
      </c>
      <c r="O31" s="43">
        <f t="shared" si="3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4"/>
        <v>0</v>
      </c>
      <c r="J33" s="44">
        <f t="shared" si="0"/>
        <v>0</v>
      </c>
      <c r="K33" s="44">
        <f t="shared" si="1"/>
        <v>0</v>
      </c>
      <c r="L33" s="45"/>
      <c r="M33" s="40"/>
      <c r="N33" s="43">
        <f t="shared" si="2"/>
        <v>0</v>
      </c>
      <c r="O33" s="43">
        <f t="shared" si="3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4"/>
        <v>0</v>
      </c>
      <c r="J35" s="44">
        <f t="shared" si="0"/>
        <v>0</v>
      </c>
      <c r="K35" s="44">
        <f t="shared" si="1"/>
        <v>0</v>
      </c>
      <c r="L35" s="45"/>
      <c r="M35" s="40"/>
      <c r="N35" s="43">
        <f t="shared" si="2"/>
        <v>0</v>
      </c>
      <c r="O35" s="43">
        <f t="shared" si="3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4"/>
        <v>0</v>
      </c>
      <c r="J37" s="44">
        <f t="shared" si="0"/>
        <v>0</v>
      </c>
      <c r="K37" s="44">
        <f t="shared" si="1"/>
        <v>0</v>
      </c>
      <c r="L37" s="45"/>
      <c r="M37" s="40"/>
      <c r="N37" s="43">
        <f t="shared" si="2"/>
        <v>0</v>
      </c>
      <c r="O37" s="43">
        <f t="shared" si="3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4"/>
        <v>0</v>
      </c>
      <c r="J39" s="44">
        <f t="shared" si="0"/>
        <v>0</v>
      </c>
      <c r="K39" s="44">
        <f t="shared" si="1"/>
        <v>0</v>
      </c>
      <c r="L39" s="45"/>
      <c r="M39" s="40"/>
      <c r="N39" s="43">
        <f t="shared" si="2"/>
        <v>0</v>
      </c>
      <c r="O39" s="43">
        <f t="shared" si="3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4"/>
        <v>0</v>
      </c>
      <c r="J41" s="44">
        <f t="shared" si="0"/>
        <v>0</v>
      </c>
      <c r="K41" s="44">
        <f t="shared" si="1"/>
        <v>0</v>
      </c>
      <c r="L41" s="45"/>
      <c r="M41" s="40"/>
      <c r="N41" s="43">
        <f t="shared" si="2"/>
        <v>0</v>
      </c>
      <c r="O41" s="43">
        <f t="shared" si="3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40"/>
      <c r="B43" s="41"/>
      <c r="C43" s="42"/>
      <c r="D43" s="40"/>
      <c r="E43" s="40"/>
      <c r="F43" s="40"/>
      <c r="G43" s="43">
        <f>F43*6%</f>
        <v>0</v>
      </c>
      <c r="H43" s="43"/>
      <c r="I43" s="44">
        <f t="shared" si="4"/>
        <v>0</v>
      </c>
      <c r="J43" s="44">
        <f t="shared" si="0"/>
        <v>0</v>
      </c>
      <c r="K43" s="44">
        <f t="shared" si="1"/>
        <v>0</v>
      </c>
      <c r="L43" s="45"/>
      <c r="M43" s="40"/>
      <c r="N43" s="43">
        <f t="shared" si="2"/>
        <v>0</v>
      </c>
      <c r="O43" s="43">
        <f t="shared" si="3"/>
        <v>0</v>
      </c>
      <c r="P43" s="46"/>
      <c r="Q43" s="40"/>
      <c r="R43" s="40"/>
      <c r="S43" s="40"/>
      <c r="T43" s="5"/>
    </row>
    <row r="44" spans="1:22" ht="15">
      <c r="A44" s="32"/>
      <c r="B44" s="33"/>
      <c r="C44" s="32"/>
      <c r="D44" s="33"/>
      <c r="E44" s="34"/>
      <c r="F44" s="32"/>
      <c r="G44" s="32"/>
      <c r="H44" s="32"/>
      <c r="I44" s="37"/>
      <c r="J44" s="37"/>
      <c r="K44" s="35"/>
      <c r="L44" s="35"/>
      <c r="M44" s="35"/>
      <c r="N44" s="36"/>
      <c r="O44" s="32"/>
      <c r="P44" s="37"/>
      <c r="Q44" s="37"/>
      <c r="R44" s="38"/>
      <c r="S44" s="32"/>
      <c r="T44" s="39"/>
      <c r="U44" s="6"/>
      <c r="V44" s="6"/>
    </row>
    <row r="45" spans="1:22" ht="15">
      <c r="A45" s="40"/>
      <c r="B45" s="41"/>
      <c r="C45" s="42"/>
      <c r="D45" s="40"/>
      <c r="E45" s="40"/>
      <c r="F45" s="40"/>
      <c r="G45" s="43">
        <f>F45*6%</f>
        <v>0</v>
      </c>
      <c r="H45" s="43"/>
      <c r="I45" s="44">
        <f t="shared" si="4"/>
        <v>0</v>
      </c>
      <c r="J45" s="44">
        <f t="shared" si="0"/>
        <v>0</v>
      </c>
      <c r="K45" s="44">
        <f t="shared" si="1"/>
        <v>0</v>
      </c>
      <c r="L45" s="45"/>
      <c r="M45" s="40"/>
      <c r="N45" s="43">
        <f t="shared" si="2"/>
        <v>0</v>
      </c>
      <c r="O45" s="43">
        <f t="shared" si="3"/>
        <v>0</v>
      </c>
      <c r="P45" s="46"/>
      <c r="Q45" s="40"/>
      <c r="R45" s="40"/>
      <c r="S45" s="40"/>
      <c r="T45" s="5"/>
    </row>
    <row r="46" spans="1:22" ht="15">
      <c r="A46" s="79"/>
      <c r="B46" s="80"/>
      <c r="C46" s="81"/>
      <c r="D46" s="79"/>
      <c r="E46" s="79"/>
      <c r="F46" s="79"/>
      <c r="G46" s="79"/>
      <c r="H46" s="79"/>
      <c r="I46" s="82" t="e">
        <f>SUM(#REF!)</f>
        <v>#REF!</v>
      </c>
      <c r="J46" s="82"/>
      <c r="K46" s="82"/>
      <c r="L46" s="83"/>
      <c r="M46" s="79"/>
      <c r="N46" s="84"/>
      <c r="O46" s="84"/>
      <c r="P46" s="85"/>
      <c r="Q46" s="79"/>
      <c r="R46" s="79"/>
      <c r="S46" s="79"/>
      <c r="T46" s="86"/>
    </row>
    <row r="47" spans="1:22">
      <c r="J47" s="7" t="e">
        <f>SUM(#REF!)</f>
        <v>#REF!</v>
      </c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2759" priority="27" operator="containsText" text="SIN FACTURA ">
      <formula>NOT(ISERROR(SEARCH("SIN FACTURA ",A2)))</formula>
    </cfRule>
  </conditionalFormatting>
  <conditionalFormatting sqref="A46:T46">
    <cfRule type="containsText" dxfId="2758" priority="26" operator="containsText" text="SIN FACTURA">
      <formula>NOT(ISERROR(SEARCH("SIN FACTURA",A46)))</formula>
    </cfRule>
  </conditionalFormatting>
  <conditionalFormatting sqref="A4:T5 J45:T45 J43:T43 J41:T41 J39:T39 J37:T37 J35:T35 J33:T33 J31:T31 J29:T29 J27:T27 J25:T25 J15:T23 J6:T13 I6:I45 A6:H13 A15:H23 A25:H25 A27:H27 A29:H29 A31:H31 A33:H33 A35:H35 A37:H37 A39:H39 A41:H41 A43:H43 A45:H45">
    <cfRule type="containsText" dxfId="2757" priority="25" operator="containsText" text="SIN FACTURA">
      <formula>NOT(ISERROR(SEARCH("SIN FACTURA",A4)))</formula>
    </cfRule>
  </conditionalFormatting>
  <conditionalFormatting sqref="C14:H14 J14:V14">
    <cfRule type="containsText" dxfId="2756" priority="24" operator="containsText" text="SIN FACTURA">
      <formula>NOT(ISERROR(SEARCH("SIN FACTURA",C14)))</formula>
    </cfRule>
  </conditionalFormatting>
  <conditionalFormatting sqref="C24:H24 J24:V24">
    <cfRule type="containsText" dxfId="2755" priority="23" operator="containsText" text="SIN FACTURA">
      <formula>NOT(ISERROR(SEARCH("SIN FACTURA",C24)))</formula>
    </cfRule>
  </conditionalFormatting>
  <conditionalFormatting sqref="C26:H26 J26:V26">
    <cfRule type="containsText" dxfId="2754" priority="22" operator="containsText" text="SIN FACTURA">
      <formula>NOT(ISERROR(SEARCH("SIN FACTURA",C26)))</formula>
    </cfRule>
  </conditionalFormatting>
  <conditionalFormatting sqref="C28:H28 J28:V28">
    <cfRule type="containsText" dxfId="2753" priority="21" operator="containsText" text="SIN FACTURA">
      <formula>NOT(ISERROR(SEARCH("SIN FACTURA",C28)))</formula>
    </cfRule>
  </conditionalFormatting>
  <conditionalFormatting sqref="C30:H30 J30:V30">
    <cfRule type="containsText" dxfId="2752" priority="20" operator="containsText" text="SIN FACTURA">
      <formula>NOT(ISERROR(SEARCH("SIN FACTURA",C30)))</formula>
    </cfRule>
  </conditionalFormatting>
  <conditionalFormatting sqref="C32:H32 J32:V32">
    <cfRule type="containsText" dxfId="2751" priority="19" operator="containsText" text="SIN FACTURA">
      <formula>NOT(ISERROR(SEARCH("SIN FACTURA",C32)))</formula>
    </cfRule>
  </conditionalFormatting>
  <conditionalFormatting sqref="C34:H34 J34:V34">
    <cfRule type="containsText" dxfId="2750" priority="18" operator="containsText" text="SIN FACTURA">
      <formula>NOT(ISERROR(SEARCH("SIN FACTURA",C34)))</formula>
    </cfRule>
  </conditionalFormatting>
  <conditionalFormatting sqref="C36:H36 J36:V36">
    <cfRule type="containsText" dxfId="2749" priority="17" operator="containsText" text="SIN FACTURA">
      <formula>NOT(ISERROR(SEARCH("SIN FACTURA",C36)))</formula>
    </cfRule>
  </conditionalFormatting>
  <conditionalFormatting sqref="C38:H38 J38:V38">
    <cfRule type="containsText" dxfId="2748" priority="16" operator="containsText" text="SIN FACTURA">
      <formula>NOT(ISERROR(SEARCH("SIN FACTURA",C38)))</formula>
    </cfRule>
  </conditionalFormatting>
  <conditionalFormatting sqref="C40:H40 J40:V40">
    <cfRule type="containsText" dxfId="2747" priority="15" operator="containsText" text="SIN FACTURA">
      <formula>NOT(ISERROR(SEARCH("SIN FACTURA",C40)))</formula>
    </cfRule>
  </conditionalFormatting>
  <conditionalFormatting sqref="C42:H42 J42:V42">
    <cfRule type="containsText" dxfId="2746" priority="14" operator="containsText" text="SIN FACTURA">
      <formula>NOT(ISERROR(SEARCH("SIN FACTURA",C42)))</formula>
    </cfRule>
  </conditionalFormatting>
  <conditionalFormatting sqref="C44:H44 J44:V44">
    <cfRule type="containsText" dxfId="2745" priority="13" operator="containsText" text="SIN FACTURA">
      <formula>NOT(ISERROR(SEARCH("SIN FACTURA",C44)))</formula>
    </cfRule>
  </conditionalFormatting>
  <conditionalFormatting sqref="A14:B14">
    <cfRule type="containsText" dxfId="2744" priority="12" operator="containsText" text="SIN FACTURA">
      <formula>NOT(ISERROR(SEARCH("SIN FACTURA",A14)))</formula>
    </cfRule>
  </conditionalFormatting>
  <conditionalFormatting sqref="A24:B24">
    <cfRule type="containsText" dxfId="2743" priority="11" operator="containsText" text="SIN FACTURA">
      <formula>NOT(ISERROR(SEARCH("SIN FACTURA",A24)))</formula>
    </cfRule>
  </conditionalFormatting>
  <conditionalFormatting sqref="A26:B26">
    <cfRule type="containsText" dxfId="2742" priority="10" operator="containsText" text="SIN FACTURA">
      <formula>NOT(ISERROR(SEARCH("SIN FACTURA",A26)))</formula>
    </cfRule>
  </conditionalFormatting>
  <conditionalFormatting sqref="A28:B28">
    <cfRule type="containsText" dxfId="2741" priority="9" operator="containsText" text="SIN FACTURA">
      <formula>NOT(ISERROR(SEARCH("SIN FACTURA",A28)))</formula>
    </cfRule>
  </conditionalFormatting>
  <conditionalFormatting sqref="A30:B30">
    <cfRule type="containsText" dxfId="2740" priority="8" operator="containsText" text="SIN FACTURA">
      <formula>NOT(ISERROR(SEARCH("SIN FACTURA",A30)))</formula>
    </cfRule>
  </conditionalFormatting>
  <conditionalFormatting sqref="A32:B32">
    <cfRule type="containsText" dxfId="2739" priority="7" operator="containsText" text="SIN FACTURA">
      <formula>NOT(ISERROR(SEARCH("SIN FACTURA",A32)))</formula>
    </cfRule>
  </conditionalFormatting>
  <conditionalFormatting sqref="A44:B44">
    <cfRule type="containsText" dxfId="2738" priority="1" operator="containsText" text="SIN FACTURA">
      <formula>NOT(ISERROR(SEARCH("SIN FACTURA",A44)))</formula>
    </cfRule>
  </conditionalFormatting>
  <conditionalFormatting sqref="A34:B34">
    <cfRule type="containsText" dxfId="2737" priority="6" operator="containsText" text="SIN FACTURA">
      <formula>NOT(ISERROR(SEARCH("SIN FACTURA",A34)))</formula>
    </cfRule>
  </conditionalFormatting>
  <conditionalFormatting sqref="A36:B36">
    <cfRule type="containsText" dxfId="2736" priority="5" operator="containsText" text="SIN FACTURA">
      <formula>NOT(ISERROR(SEARCH("SIN FACTURA",A36)))</formula>
    </cfRule>
  </conditionalFormatting>
  <conditionalFormatting sqref="A38:B38">
    <cfRule type="containsText" dxfId="2735" priority="4" operator="containsText" text="SIN FACTURA">
      <formula>NOT(ISERROR(SEARCH("SIN FACTURA",A38)))</formula>
    </cfRule>
  </conditionalFormatting>
  <conditionalFormatting sqref="A40:B40">
    <cfRule type="containsText" dxfId="2734" priority="3" operator="containsText" text="SIN FACTURA">
      <formula>NOT(ISERROR(SEARCH("SIN FACTURA",A40)))</formula>
    </cfRule>
  </conditionalFormatting>
  <conditionalFormatting sqref="A42:B42">
    <cfRule type="containsText" dxfId="2733" priority="2" operator="containsText" text="SIN FACTURA">
      <formula>NOT(ISERROR(SEARCH("SIN FACTURA",A42)))</formula>
    </cfRule>
  </conditionalFormatting>
  <pageMargins left="0.75" right="0.75" top="1" bottom="1" header="0.5" footer="0.5"/>
  <pageSetup paperSize="9" orientation="portrait" horizontalDpi="4294967292" verticalDpi="4294967292"/>
</worksheet>
</file>

<file path=xl/worksheets/sheet58.xml><?xml version="1.0" encoding="utf-8"?>
<worksheet xmlns="http://schemas.openxmlformats.org/spreadsheetml/2006/main" xmlns:r="http://schemas.openxmlformats.org/officeDocument/2006/relationships">
  <sheetPr codeName="Hoja27"/>
  <dimension ref="A1:Y53"/>
  <sheetViews>
    <sheetView zoomScale="125" zoomScaleNormal="125" zoomScalePageLayoutView="125" workbookViewId="0">
      <pane ySplit="1" topLeftCell="A2" activePane="bottomLeft" state="frozen"/>
      <selection activeCell="C52" sqref="C52"/>
      <selection pane="bottomLeft" activeCell="A4" sqref="A4:XFD19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53</v>
      </c>
      <c r="B1" s="18" t="s">
        <v>53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52" si="1">S5+T5</f>
        <v>0</v>
      </c>
      <c r="K5" s="44">
        <f t="shared" ref="K5:K52" si="2">I5-J5</f>
        <v>0</v>
      </c>
      <c r="L5" s="45"/>
      <c r="M5" s="40"/>
      <c r="N5" s="43">
        <f t="shared" ref="N5:N52" si="3">I5-J5-M5-R5</f>
        <v>0</v>
      </c>
      <c r="O5" s="43">
        <f t="shared" ref="O5:O52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40"/>
      <c r="B43" s="41"/>
      <c r="C43" s="42"/>
      <c r="D43" s="40"/>
      <c r="E43" s="40"/>
      <c r="F43" s="40"/>
      <c r="G43" s="43">
        <f>F43*6%</f>
        <v>0</v>
      </c>
      <c r="H43" s="43"/>
      <c r="I43" s="44">
        <f t="shared" si="0"/>
        <v>0</v>
      </c>
      <c r="J43" s="44">
        <f t="shared" si="1"/>
        <v>0</v>
      </c>
      <c r="K43" s="44">
        <f t="shared" si="2"/>
        <v>0</v>
      </c>
      <c r="L43" s="45"/>
      <c r="M43" s="40"/>
      <c r="N43" s="43">
        <f t="shared" si="3"/>
        <v>0</v>
      </c>
      <c r="O43" s="43">
        <f t="shared" si="4"/>
        <v>0</v>
      </c>
      <c r="P43" s="46"/>
      <c r="Q43" s="40"/>
      <c r="R43" s="40"/>
      <c r="S43" s="40"/>
      <c r="T43" s="5"/>
    </row>
    <row r="44" spans="1:22" ht="15">
      <c r="A44" s="58"/>
      <c r="B44" s="59"/>
      <c r="C44" s="60"/>
      <c r="D44" s="58"/>
      <c r="E44" s="58"/>
      <c r="F44" s="58"/>
      <c r="G44" s="58"/>
      <c r="H44" s="58"/>
      <c r="I44" s="61">
        <f t="shared" ref="I44:I52" si="5">F44-G44</f>
        <v>0</v>
      </c>
      <c r="J44" s="61">
        <f t="shared" si="1"/>
        <v>0</v>
      </c>
      <c r="K44" s="61">
        <f t="shared" si="2"/>
        <v>0</v>
      </c>
      <c r="L44" s="62"/>
      <c r="M44" s="58"/>
      <c r="N44" s="63">
        <f t="shared" si="3"/>
        <v>0</v>
      </c>
      <c r="O44" s="63">
        <f t="shared" si="4"/>
        <v>0</v>
      </c>
      <c r="P44" s="64"/>
      <c r="Q44" s="58"/>
      <c r="R44" s="58"/>
      <c r="S44" s="58"/>
      <c r="T44" s="68"/>
    </row>
    <row r="45" spans="1:22" ht="15">
      <c r="A45" s="40"/>
      <c r="B45" s="41"/>
      <c r="C45" s="42"/>
      <c r="D45" s="40"/>
      <c r="E45" s="40"/>
      <c r="F45" s="40"/>
      <c r="G45" s="40"/>
      <c r="H45" s="40"/>
      <c r="I45" s="44">
        <f t="shared" si="5"/>
        <v>0</v>
      </c>
      <c r="J45" s="44">
        <f t="shared" si="1"/>
        <v>0</v>
      </c>
      <c r="K45" s="44">
        <f t="shared" si="2"/>
        <v>0</v>
      </c>
      <c r="L45" s="45"/>
      <c r="M45" s="40"/>
      <c r="N45" s="43">
        <f t="shared" si="3"/>
        <v>0</v>
      </c>
      <c r="O45" s="43">
        <f t="shared" si="4"/>
        <v>0</v>
      </c>
      <c r="P45" s="46"/>
      <c r="Q45" s="40"/>
      <c r="R45" s="40"/>
      <c r="S45" s="40"/>
      <c r="T45" s="5"/>
    </row>
    <row r="46" spans="1:22" ht="15">
      <c r="A46" s="58"/>
      <c r="B46" s="59"/>
      <c r="C46" s="60"/>
      <c r="D46" s="58"/>
      <c r="E46" s="58"/>
      <c r="F46" s="58"/>
      <c r="G46" s="58"/>
      <c r="H46" s="58"/>
      <c r="I46" s="61">
        <f t="shared" si="5"/>
        <v>0</v>
      </c>
      <c r="J46" s="61">
        <f t="shared" si="1"/>
        <v>0</v>
      </c>
      <c r="K46" s="61">
        <f t="shared" si="2"/>
        <v>0</v>
      </c>
      <c r="L46" s="62"/>
      <c r="M46" s="58"/>
      <c r="N46" s="63">
        <f t="shared" si="3"/>
        <v>0</v>
      </c>
      <c r="O46" s="63">
        <f t="shared" si="4"/>
        <v>0</v>
      </c>
      <c r="P46" s="64"/>
      <c r="Q46" s="58"/>
      <c r="R46" s="58"/>
      <c r="S46" s="58"/>
      <c r="T46" s="68"/>
    </row>
    <row r="47" spans="1:22" ht="15">
      <c r="A47" s="40"/>
      <c r="B47" s="41"/>
      <c r="C47" s="42"/>
      <c r="D47" s="40"/>
      <c r="E47" s="40"/>
      <c r="F47" s="40"/>
      <c r="G47" s="40"/>
      <c r="H47" s="40"/>
      <c r="I47" s="44">
        <f t="shared" si="5"/>
        <v>0</v>
      </c>
      <c r="J47" s="44">
        <f t="shared" si="1"/>
        <v>0</v>
      </c>
      <c r="K47" s="44">
        <f t="shared" si="2"/>
        <v>0</v>
      </c>
      <c r="L47" s="45"/>
      <c r="M47" s="40"/>
      <c r="N47" s="43">
        <f t="shared" si="3"/>
        <v>0</v>
      </c>
      <c r="O47" s="43">
        <f t="shared" si="4"/>
        <v>0</v>
      </c>
      <c r="P47" s="46"/>
      <c r="Q47" s="40"/>
      <c r="R47" s="40"/>
      <c r="S47" s="40"/>
      <c r="T47" s="5"/>
    </row>
    <row r="48" spans="1:22" ht="15">
      <c r="A48" s="58"/>
      <c r="B48" s="59"/>
      <c r="C48" s="60"/>
      <c r="D48" s="58"/>
      <c r="E48" s="58"/>
      <c r="F48" s="58"/>
      <c r="G48" s="58"/>
      <c r="H48" s="58"/>
      <c r="I48" s="61">
        <f t="shared" si="5"/>
        <v>0</v>
      </c>
      <c r="J48" s="61">
        <f t="shared" si="1"/>
        <v>0</v>
      </c>
      <c r="K48" s="61">
        <f t="shared" si="2"/>
        <v>0</v>
      </c>
      <c r="L48" s="62"/>
      <c r="M48" s="58"/>
      <c r="N48" s="63">
        <f t="shared" si="3"/>
        <v>0</v>
      </c>
      <c r="O48" s="63">
        <f t="shared" si="4"/>
        <v>0</v>
      </c>
      <c r="P48" s="64"/>
      <c r="Q48" s="58"/>
      <c r="R48" s="58"/>
      <c r="S48" s="58"/>
      <c r="T48" s="68"/>
    </row>
    <row r="49" spans="1:20" ht="15">
      <c r="A49" s="40"/>
      <c r="B49" s="41"/>
      <c r="C49" s="42"/>
      <c r="D49" s="40"/>
      <c r="E49" s="40"/>
      <c r="F49" s="40"/>
      <c r="G49" s="40"/>
      <c r="H49" s="40"/>
      <c r="I49" s="44">
        <f t="shared" si="5"/>
        <v>0</v>
      </c>
      <c r="J49" s="44">
        <f t="shared" si="1"/>
        <v>0</v>
      </c>
      <c r="K49" s="44">
        <f t="shared" si="2"/>
        <v>0</v>
      </c>
      <c r="L49" s="45"/>
      <c r="M49" s="40"/>
      <c r="N49" s="43">
        <f t="shared" si="3"/>
        <v>0</v>
      </c>
      <c r="O49" s="43">
        <f t="shared" si="4"/>
        <v>0</v>
      </c>
      <c r="P49" s="46"/>
      <c r="Q49" s="40"/>
      <c r="R49" s="40"/>
      <c r="S49" s="40"/>
      <c r="T49" s="5"/>
    </row>
    <row r="50" spans="1:20" ht="15">
      <c r="A50" s="58"/>
      <c r="B50" s="59"/>
      <c r="C50" s="60"/>
      <c r="D50" s="58"/>
      <c r="E50" s="58"/>
      <c r="F50" s="58"/>
      <c r="G50" s="58"/>
      <c r="H50" s="58"/>
      <c r="I50" s="61">
        <f t="shared" si="5"/>
        <v>0</v>
      </c>
      <c r="J50" s="61">
        <f t="shared" si="1"/>
        <v>0</v>
      </c>
      <c r="K50" s="61">
        <f t="shared" si="2"/>
        <v>0</v>
      </c>
      <c r="L50" s="62"/>
      <c r="M50" s="58"/>
      <c r="N50" s="63">
        <f t="shared" si="3"/>
        <v>0</v>
      </c>
      <c r="O50" s="63">
        <f t="shared" si="4"/>
        <v>0</v>
      </c>
      <c r="P50" s="64"/>
      <c r="Q50" s="58"/>
      <c r="R50" s="58"/>
      <c r="S50" s="58"/>
      <c r="T50" s="68"/>
    </row>
    <row r="51" spans="1:20" ht="15">
      <c r="A51" s="40"/>
      <c r="B51" s="41"/>
      <c r="C51" s="42"/>
      <c r="D51" s="40"/>
      <c r="E51" s="40"/>
      <c r="F51" s="40"/>
      <c r="G51" s="40"/>
      <c r="H51" s="40"/>
      <c r="I51" s="44">
        <f t="shared" si="5"/>
        <v>0</v>
      </c>
      <c r="J51" s="44">
        <f t="shared" si="1"/>
        <v>0</v>
      </c>
      <c r="K51" s="44">
        <f t="shared" si="2"/>
        <v>0</v>
      </c>
      <c r="L51" s="45"/>
      <c r="M51" s="40"/>
      <c r="N51" s="43">
        <f t="shared" si="3"/>
        <v>0</v>
      </c>
      <c r="O51" s="43">
        <f t="shared" si="4"/>
        <v>0</v>
      </c>
      <c r="P51" s="46"/>
      <c r="Q51" s="40"/>
      <c r="R51" s="40"/>
      <c r="S51" s="40"/>
      <c r="T51" s="5"/>
    </row>
    <row r="52" spans="1:20" ht="15">
      <c r="A52" s="69"/>
      <c r="B52" s="70"/>
      <c r="C52" s="71"/>
      <c r="D52" s="69"/>
      <c r="E52" s="69"/>
      <c r="F52" s="69"/>
      <c r="G52" s="69"/>
      <c r="H52" s="69"/>
      <c r="I52" s="72">
        <f t="shared" si="5"/>
        <v>0</v>
      </c>
      <c r="J52" s="72">
        <f t="shared" si="1"/>
        <v>0</v>
      </c>
      <c r="K52" s="72">
        <f t="shared" si="2"/>
        <v>0</v>
      </c>
      <c r="L52" s="73"/>
      <c r="M52" s="69"/>
      <c r="N52" s="74">
        <f t="shared" si="3"/>
        <v>0</v>
      </c>
      <c r="O52" s="74">
        <f t="shared" si="4"/>
        <v>0</v>
      </c>
      <c r="P52" s="75"/>
      <c r="Q52" s="69"/>
      <c r="R52" s="69"/>
      <c r="S52" s="69"/>
      <c r="T52" s="76"/>
    </row>
    <row r="53" spans="1:20">
      <c r="J53" s="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2732" priority="27" operator="containsText" text="SIN FACTURA ">
      <formula>NOT(ISERROR(SEARCH("SIN FACTURA ",A2)))</formula>
    </cfRule>
  </conditionalFormatting>
  <conditionalFormatting sqref="A44:T52 A3:T4 J5:T11 I5:I43 A5:H11">
    <cfRule type="containsText" dxfId="2731" priority="26" operator="containsText" text="SIN FACTURA">
      <formula>NOT(ISERROR(SEARCH("SIN FACTURA",A3)))</formula>
    </cfRule>
  </conditionalFormatting>
  <conditionalFormatting sqref="A34:B34">
    <cfRule type="containsText" dxfId="2730" priority="5" operator="containsText" text="SIN FACTURA">
      <formula>NOT(ISERROR(SEARCH("SIN FACTURA",A34)))</formula>
    </cfRule>
  </conditionalFormatting>
  <conditionalFormatting sqref="A36:B36">
    <cfRule type="containsText" dxfId="2729" priority="4" operator="containsText" text="SIN FACTURA">
      <formula>NOT(ISERROR(SEARCH("SIN FACTURA",A36)))</formula>
    </cfRule>
  </conditionalFormatting>
  <conditionalFormatting sqref="A38:B38">
    <cfRule type="containsText" dxfId="2728" priority="3" operator="containsText" text="SIN FACTURA">
      <formula>NOT(ISERROR(SEARCH("SIN FACTURA",A38)))</formula>
    </cfRule>
  </conditionalFormatting>
  <conditionalFormatting sqref="A40:B40">
    <cfRule type="containsText" dxfId="2727" priority="2" operator="containsText" text="SIN FACTURA">
      <formula>NOT(ISERROR(SEARCH("SIN FACTURA",A40)))</formula>
    </cfRule>
  </conditionalFormatting>
  <conditionalFormatting sqref="A42:B42">
    <cfRule type="containsText" dxfId="2726" priority="1" operator="containsText" text="SIN FACTURA">
      <formula>NOT(ISERROR(SEARCH("SIN FACTURA",A42)))</formula>
    </cfRule>
  </conditionalFormatting>
  <conditionalFormatting sqref="J43:T43 J41:T41 J39:T39 J37:T37 J35:T35 J33:T33 J31:T31 J29:T29 J27:T27 J25:T25 J23:T23 J13:T21 A13:H21 A23:H23 A25:H25 A27:H27 A29:H29 A31:H31 A33:H33 A35:H35 A37:H37 A39:H39 A41:H41 A43:H43">
    <cfRule type="containsText" dxfId="2725" priority="25" operator="containsText" text="SIN FACTURA">
      <formula>NOT(ISERROR(SEARCH("SIN FACTURA",A13)))</formula>
    </cfRule>
  </conditionalFormatting>
  <conditionalFormatting sqref="C12:H12 J12:V12">
    <cfRule type="containsText" dxfId="2724" priority="24" operator="containsText" text="SIN FACTURA">
      <formula>NOT(ISERROR(SEARCH("SIN FACTURA",C12)))</formula>
    </cfRule>
  </conditionalFormatting>
  <conditionalFormatting sqref="C22:H22 J22:V22">
    <cfRule type="containsText" dxfId="2723" priority="23" operator="containsText" text="SIN FACTURA">
      <formula>NOT(ISERROR(SEARCH("SIN FACTURA",C22)))</formula>
    </cfRule>
  </conditionalFormatting>
  <conditionalFormatting sqref="C24:H24 J24:V24">
    <cfRule type="containsText" dxfId="2722" priority="22" operator="containsText" text="SIN FACTURA">
      <formula>NOT(ISERROR(SEARCH("SIN FACTURA",C24)))</formula>
    </cfRule>
  </conditionalFormatting>
  <conditionalFormatting sqref="C26:H26 J26:V26">
    <cfRule type="containsText" dxfId="2721" priority="21" operator="containsText" text="SIN FACTURA">
      <formula>NOT(ISERROR(SEARCH("SIN FACTURA",C26)))</formula>
    </cfRule>
  </conditionalFormatting>
  <conditionalFormatting sqref="C28:H28 J28:V28">
    <cfRule type="containsText" dxfId="2720" priority="20" operator="containsText" text="SIN FACTURA">
      <formula>NOT(ISERROR(SEARCH("SIN FACTURA",C28)))</formula>
    </cfRule>
  </conditionalFormatting>
  <conditionalFormatting sqref="C30:H30 J30:V30">
    <cfRule type="containsText" dxfId="2719" priority="19" operator="containsText" text="SIN FACTURA">
      <formula>NOT(ISERROR(SEARCH("SIN FACTURA",C30)))</formula>
    </cfRule>
  </conditionalFormatting>
  <conditionalFormatting sqref="C32:H32 J32:V32">
    <cfRule type="containsText" dxfId="2718" priority="18" operator="containsText" text="SIN FACTURA">
      <formula>NOT(ISERROR(SEARCH("SIN FACTURA",C32)))</formula>
    </cfRule>
  </conditionalFormatting>
  <conditionalFormatting sqref="C34:H34 J34:V34">
    <cfRule type="containsText" dxfId="2717" priority="17" operator="containsText" text="SIN FACTURA">
      <formula>NOT(ISERROR(SEARCH("SIN FACTURA",C34)))</formula>
    </cfRule>
  </conditionalFormatting>
  <conditionalFormatting sqref="C36:H36 J36:V36">
    <cfRule type="containsText" dxfId="2716" priority="16" operator="containsText" text="SIN FACTURA">
      <formula>NOT(ISERROR(SEARCH("SIN FACTURA",C36)))</formula>
    </cfRule>
  </conditionalFormatting>
  <conditionalFormatting sqref="C38:H38 J38:V38">
    <cfRule type="containsText" dxfId="2715" priority="15" operator="containsText" text="SIN FACTURA">
      <formula>NOT(ISERROR(SEARCH("SIN FACTURA",C38)))</formula>
    </cfRule>
  </conditionalFormatting>
  <conditionalFormatting sqref="C40:H40 J40:V40">
    <cfRule type="containsText" dxfId="2714" priority="14" operator="containsText" text="SIN FACTURA">
      <formula>NOT(ISERROR(SEARCH("SIN FACTURA",C40)))</formula>
    </cfRule>
  </conditionalFormatting>
  <conditionalFormatting sqref="C42:H42 J42:V42">
    <cfRule type="containsText" dxfId="2713" priority="13" operator="containsText" text="SIN FACTURA">
      <formula>NOT(ISERROR(SEARCH("SIN FACTURA",C42)))</formula>
    </cfRule>
  </conditionalFormatting>
  <conditionalFormatting sqref="A12:B12">
    <cfRule type="containsText" dxfId="2712" priority="12" operator="containsText" text="SIN FACTURA">
      <formula>NOT(ISERROR(SEARCH("SIN FACTURA",A12)))</formula>
    </cfRule>
  </conditionalFormatting>
  <conditionalFormatting sqref="A22:B22">
    <cfRule type="containsText" dxfId="2711" priority="11" operator="containsText" text="SIN FACTURA">
      <formula>NOT(ISERROR(SEARCH("SIN FACTURA",A22)))</formula>
    </cfRule>
  </conditionalFormatting>
  <conditionalFormatting sqref="A24:B24">
    <cfRule type="containsText" dxfId="2710" priority="10" operator="containsText" text="SIN FACTURA">
      <formula>NOT(ISERROR(SEARCH("SIN FACTURA",A24)))</formula>
    </cfRule>
  </conditionalFormatting>
  <conditionalFormatting sqref="A26:B26">
    <cfRule type="containsText" dxfId="2709" priority="9" operator="containsText" text="SIN FACTURA">
      <formula>NOT(ISERROR(SEARCH("SIN FACTURA",A26)))</formula>
    </cfRule>
  </conditionalFormatting>
  <conditionalFormatting sqref="A28:B28">
    <cfRule type="containsText" dxfId="2708" priority="8" operator="containsText" text="SIN FACTURA">
      <formula>NOT(ISERROR(SEARCH("SIN FACTURA",A28)))</formula>
    </cfRule>
  </conditionalFormatting>
  <conditionalFormatting sqref="A30:B30">
    <cfRule type="containsText" dxfId="2707" priority="7" operator="containsText" text="SIN FACTURA">
      <formula>NOT(ISERROR(SEARCH("SIN FACTURA",A30)))</formula>
    </cfRule>
  </conditionalFormatting>
  <conditionalFormatting sqref="A32:B32">
    <cfRule type="containsText" dxfId="2706" priority="6" operator="containsText" text="SIN FACTURA">
      <formula>NOT(ISERROR(SEARCH("SIN FACTURA",A32)))</formula>
    </cfRule>
  </conditionalFormatting>
  <pageMargins left="0.75" right="0.75" top="1" bottom="1" header="0.5" footer="0.5"/>
  <pageSetup paperSize="9" orientation="portrait" horizontalDpi="4294967292" verticalDpi="4294967292"/>
</worksheet>
</file>

<file path=xl/worksheets/sheet59.xml><?xml version="1.0" encoding="utf-8"?>
<worksheet xmlns="http://schemas.openxmlformats.org/spreadsheetml/2006/main" xmlns:r="http://schemas.openxmlformats.org/officeDocument/2006/relationships">
  <sheetPr codeName="Hoja134"/>
  <dimension ref="A1:Y30"/>
  <sheetViews>
    <sheetView zoomScale="125" zoomScaleNormal="125" zoomScalePageLayoutView="125" workbookViewId="0">
      <pane ySplit="3" topLeftCell="A4" activePane="bottomLeft" state="frozen"/>
      <selection activeCell="C52" sqref="C52"/>
      <selection pane="bottomLeft" activeCell="A19" sqref="A19:XFD19"/>
    </sheetView>
  </sheetViews>
  <sheetFormatPr baseColWidth="10" defaultColWidth="10.875" defaultRowHeight="15.75"/>
  <cols>
    <col min="1" max="1" width="18.125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5" width="10.875" style="1"/>
    <col min="16" max="16" width="10.875" style="9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4">
        <v>282</v>
      </c>
      <c r="B1" s="15" t="s">
        <v>69</v>
      </c>
      <c r="C1" s="1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32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17" si="0">F5-G5-H5</f>
        <v>0</v>
      </c>
      <c r="J5" s="44">
        <f t="shared" ref="J5:J15" si="1">S5+T5</f>
        <v>0</v>
      </c>
      <c r="K5" s="44">
        <f t="shared" ref="K5:K17" si="2">I5-J5</f>
        <v>0</v>
      </c>
      <c r="L5" s="45"/>
      <c r="M5" s="40"/>
      <c r="N5" s="43">
        <f t="shared" ref="N5:N15" si="3">I5-J5-M5-R5</f>
        <v>0</v>
      </c>
      <c r="O5" s="43">
        <f t="shared" ref="O5:O15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0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0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0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ref="I19" si="5">F19-G19-H19</f>
        <v>0</v>
      </c>
      <c r="J19" s="44">
        <f t="shared" ref="J19" si="6">S19+T19</f>
        <v>0</v>
      </c>
      <c r="K19" s="44">
        <f t="shared" ref="K19" si="7">I19-J19</f>
        <v>0</v>
      </c>
      <c r="L19" s="45"/>
      <c r="M19" s="40"/>
      <c r="N19" s="43">
        <f t="shared" ref="N19" si="8">I19-J19-M19-R19</f>
        <v>0</v>
      </c>
      <c r="O19" s="43">
        <f t="shared" ref="O19" si="9">R19+S19+T19</f>
        <v>0</v>
      </c>
      <c r="P19" s="46"/>
      <c r="Q19" s="40"/>
      <c r="R19" s="43"/>
      <c r="S19" s="43"/>
      <c r="T19" s="49"/>
    </row>
    <row r="20" spans="1:20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0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ref="I21" si="10">F21-G21-H21</f>
        <v>0</v>
      </c>
      <c r="J21" s="44">
        <f>S21+T21</f>
        <v>0</v>
      </c>
      <c r="K21" s="44">
        <f>I21-J21</f>
        <v>0</v>
      </c>
      <c r="L21" s="45"/>
      <c r="M21" s="40"/>
      <c r="N21" s="43">
        <f t="shared" ref="N21" si="11">I21-J21-M21-R21</f>
        <v>0</v>
      </c>
      <c r="O21" s="43">
        <f t="shared" ref="O21" si="12">R21+S21+T21</f>
        <v>0</v>
      </c>
      <c r="P21" s="46"/>
      <c r="Q21" s="40"/>
      <c r="R21" s="47"/>
      <c r="S21" s="47"/>
      <c r="T21" s="48"/>
    </row>
    <row r="22" spans="1:20" ht="15">
      <c r="A22" s="32"/>
      <c r="B22" s="33"/>
      <c r="C22" s="34"/>
      <c r="D22" s="32"/>
      <c r="E22" s="32"/>
      <c r="F22" s="32"/>
      <c r="G22" s="37"/>
      <c r="H22" s="37"/>
      <c r="I22" s="37"/>
      <c r="J22" s="35"/>
      <c r="K22" s="35"/>
      <c r="L22" s="36"/>
      <c r="M22" s="32"/>
      <c r="N22" s="37"/>
      <c r="O22" s="37"/>
      <c r="P22" s="38"/>
      <c r="Q22" s="32"/>
      <c r="R22" s="32"/>
      <c r="S22" s="32"/>
      <c r="T22" s="39"/>
    </row>
    <row r="23" spans="1:20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ref="I23" si="13">F23-G23-H23</f>
        <v>0</v>
      </c>
      <c r="J23" s="44">
        <f t="shared" ref="J23" si="14">S23+T23</f>
        <v>0</v>
      </c>
      <c r="K23" s="44">
        <f t="shared" ref="K23" si="15">I23-J23</f>
        <v>0</v>
      </c>
      <c r="L23" s="45"/>
      <c r="M23" s="40"/>
      <c r="N23" s="43">
        <f t="shared" ref="N23" si="16">I23-J23-M23-R23</f>
        <v>0</v>
      </c>
      <c r="O23" s="43">
        <f t="shared" ref="O23" si="17">R23+S23+T23</f>
        <v>0</v>
      </c>
      <c r="P23" s="46"/>
      <c r="Q23" s="40"/>
      <c r="R23" s="47"/>
      <c r="S23" s="47"/>
      <c r="T23" s="48"/>
    </row>
    <row r="24" spans="1:20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</row>
    <row r="25" spans="1:20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ref="I25" si="18">F25-G25-H25</f>
        <v>0</v>
      </c>
      <c r="J25" s="44">
        <f t="shared" ref="J25" si="19">S25+T25</f>
        <v>0</v>
      </c>
      <c r="K25" s="44">
        <f t="shared" ref="K25" si="20">I25-J25</f>
        <v>0</v>
      </c>
      <c r="L25" s="45"/>
      <c r="M25" s="40"/>
      <c r="N25" s="43">
        <f t="shared" ref="N25" si="21">I25-J25-M25-R25</f>
        <v>0</v>
      </c>
      <c r="O25" s="43">
        <f t="shared" ref="O25" si="22">R25+S25+T25</f>
        <v>0</v>
      </c>
      <c r="P25" s="46"/>
      <c r="Q25" s="40"/>
      <c r="R25" s="47"/>
      <c r="S25" s="47"/>
      <c r="T25" s="48"/>
    </row>
    <row r="26" spans="1:20" ht="15">
      <c r="A26" s="32"/>
      <c r="B26" s="33"/>
      <c r="C26" s="34"/>
      <c r="D26" s="32"/>
      <c r="E26" s="32"/>
      <c r="F26" s="32"/>
      <c r="G26" s="37"/>
      <c r="H26" s="37"/>
      <c r="I26" s="37"/>
      <c r="J26" s="35"/>
      <c r="K26" s="35"/>
      <c r="L26" s="36"/>
      <c r="M26" s="32"/>
      <c r="N26" s="37"/>
      <c r="O26" s="37"/>
      <c r="P26" s="38"/>
      <c r="Q26" s="32"/>
      <c r="R26" s="32"/>
      <c r="S26" s="32"/>
      <c r="T26" s="39"/>
    </row>
    <row r="27" spans="1:20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ref="I27" si="23">F27-G27-H27</f>
        <v>0</v>
      </c>
      <c r="J27" s="44">
        <f t="shared" ref="J27" si="24">S27+T27</f>
        <v>0</v>
      </c>
      <c r="K27" s="44">
        <f t="shared" ref="K27" si="25">I27-J27</f>
        <v>0</v>
      </c>
      <c r="L27" s="45"/>
      <c r="M27" s="40"/>
      <c r="N27" s="43">
        <f t="shared" ref="N27" si="26">I27-J27-M27-R27</f>
        <v>0</v>
      </c>
      <c r="O27" s="43">
        <f t="shared" ref="O27" si="27">R27+S27+T27</f>
        <v>0</v>
      </c>
      <c r="P27" s="46"/>
      <c r="Q27" s="40"/>
      <c r="R27" s="40"/>
      <c r="S27" s="40"/>
      <c r="T27" s="5"/>
    </row>
    <row r="28" spans="1:20" ht="15">
      <c r="A28" s="32"/>
      <c r="B28" s="33"/>
      <c r="C28" s="34"/>
      <c r="D28" s="32"/>
      <c r="E28" s="32"/>
      <c r="F28" s="32"/>
      <c r="G28" s="37"/>
      <c r="H28" s="37"/>
      <c r="I28" s="37"/>
      <c r="J28" s="35"/>
      <c r="K28" s="35"/>
      <c r="L28" s="36"/>
      <c r="M28" s="32"/>
      <c r="N28" s="37"/>
      <c r="O28" s="37"/>
      <c r="P28" s="38"/>
      <c r="Q28" s="32"/>
      <c r="R28" s="32"/>
      <c r="S28" s="32"/>
      <c r="T28" s="39"/>
    </row>
    <row r="29" spans="1:20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ref="I29" si="28">F29-G29-H29</f>
        <v>0</v>
      </c>
      <c r="J29" s="44">
        <f>S29+T29</f>
        <v>0</v>
      </c>
      <c r="K29" s="44">
        <f t="shared" ref="K29" si="29">I29-J29</f>
        <v>0</v>
      </c>
      <c r="L29" s="45"/>
      <c r="M29" s="40"/>
      <c r="N29" s="43">
        <f>I29-J29-M29-R29</f>
        <v>0</v>
      </c>
      <c r="O29" s="43">
        <f>R29+S29+T29</f>
        <v>0</v>
      </c>
      <c r="P29" s="46"/>
      <c r="Q29" s="40"/>
      <c r="R29" s="47"/>
      <c r="S29" s="47"/>
      <c r="T29" s="48"/>
    </row>
    <row r="30" spans="1:20" ht="15">
      <c r="A30" s="32"/>
      <c r="B30" s="33"/>
      <c r="C30" s="34"/>
      <c r="D30" s="32"/>
      <c r="E30" s="32"/>
      <c r="F30" s="32"/>
      <c r="G30" s="37"/>
      <c r="H30" s="37"/>
      <c r="I30" s="37"/>
      <c r="J30" s="35"/>
      <c r="K30" s="35"/>
      <c r="L30" s="36"/>
      <c r="M30" s="32"/>
      <c r="N30" s="37"/>
      <c r="O30" s="37"/>
      <c r="P30" s="38"/>
      <c r="Q30" s="32"/>
      <c r="R30" s="32"/>
      <c r="S30" s="32"/>
      <c r="T30" s="39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2705" priority="114" operator="containsText" text="SIN FACTURA ">
      <formula>NOT(ISERROR(SEARCH("SIN FACTURA ",A2)))</formula>
    </cfRule>
  </conditionalFormatting>
  <conditionalFormatting sqref="A4:T4 J5:T11 J13:T18 J12:V12 A5:I18">
    <cfRule type="containsText" dxfId="2704" priority="8" operator="containsText" text="SIN FACTURA">
      <formula>NOT(ISERROR(SEARCH("SIN FACTURA",A4)))</formula>
    </cfRule>
  </conditionalFormatting>
  <conditionalFormatting sqref="J19:T23 I19:I30 A19:H23">
    <cfRule type="containsText" dxfId="2703" priority="4" operator="containsText" text="SIN FACTURA">
      <formula>NOT(ISERROR(SEARCH("SIN FACTURA",A19)))</formula>
    </cfRule>
  </conditionalFormatting>
  <conditionalFormatting sqref="J25:T30 A25:H30">
    <cfRule type="containsText" dxfId="2702" priority="3" operator="containsText" text="SIN FACTURA">
      <formula>NOT(ISERROR(SEARCH("SIN FACTURA",A25)))</formula>
    </cfRule>
  </conditionalFormatting>
  <conditionalFormatting sqref="C24:H24 J24:V24">
    <cfRule type="containsText" dxfId="2701" priority="2" operator="containsText" text="SIN FACTURA">
      <formula>NOT(ISERROR(SEARCH("SIN FACTURA",C24)))</formula>
    </cfRule>
  </conditionalFormatting>
  <conditionalFormatting sqref="A24:B24">
    <cfRule type="containsText" dxfId="2700" priority="1" operator="containsText" text="SIN FACTURA">
      <formula>NOT(ISERROR(SEARCH("SIN FACTURA",A24)))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60.xml><?xml version="1.0" encoding="utf-8"?>
<worksheet xmlns="http://schemas.openxmlformats.org/spreadsheetml/2006/main" xmlns:r="http://schemas.openxmlformats.org/officeDocument/2006/relationships">
  <sheetPr codeName="Hoja135"/>
  <dimension ref="A1:Y24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C24" sqref="C24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354</v>
      </c>
      <c r="B1" s="18" t="s">
        <v>88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32"/>
      <c r="B5" s="33"/>
      <c r="C5" s="32"/>
      <c r="D5" s="33"/>
      <c r="E5" s="34"/>
      <c r="F5" s="32"/>
      <c r="G5" s="32"/>
      <c r="H5" s="32"/>
      <c r="I5" s="37"/>
      <c r="J5" s="37"/>
      <c r="K5" s="35"/>
      <c r="L5" s="35"/>
      <c r="M5" s="35"/>
      <c r="N5" s="36"/>
      <c r="O5" s="32"/>
      <c r="P5" s="37"/>
      <c r="Q5" s="37"/>
      <c r="R5" s="38"/>
      <c r="S5" s="32"/>
      <c r="T5" s="39"/>
      <c r="U5" s="6"/>
      <c r="V5" s="6"/>
    </row>
    <row r="6" spans="1:25" ht="15">
      <c r="A6" s="40"/>
      <c r="B6" s="41"/>
      <c r="C6" s="42"/>
      <c r="D6" s="40"/>
      <c r="E6" s="40"/>
      <c r="F6" s="40"/>
      <c r="G6" s="43">
        <f>F6*6%</f>
        <v>0</v>
      </c>
      <c r="H6" s="43"/>
      <c r="I6" s="44">
        <f t="shared" ref="I6:I24" si="0">F6-G6-H6</f>
        <v>0</v>
      </c>
      <c r="J6" s="44">
        <f t="shared" ref="J6:J24" si="1">S6+T6</f>
        <v>0</v>
      </c>
      <c r="K6" s="44">
        <f t="shared" ref="K6:K24" si="2">I6-J6</f>
        <v>0</v>
      </c>
      <c r="L6" s="45"/>
      <c r="M6" s="40"/>
      <c r="N6" s="43">
        <f t="shared" ref="N6:N24" si="3">I6-J6-M6-R6</f>
        <v>0</v>
      </c>
      <c r="O6" s="43">
        <f t="shared" ref="O6:O24" si="4">R6+S6+T6</f>
        <v>0</v>
      </c>
      <c r="P6" s="46"/>
      <c r="Q6" s="40"/>
      <c r="R6" s="40"/>
      <c r="S6" s="40"/>
      <c r="T6" s="5"/>
    </row>
    <row r="7" spans="1:25" ht="15">
      <c r="A7" s="32"/>
      <c r="B7" s="33"/>
      <c r="C7" s="32"/>
      <c r="D7" s="33"/>
      <c r="E7" s="34"/>
      <c r="F7" s="32"/>
      <c r="G7" s="37"/>
      <c r="H7" s="32"/>
      <c r="I7" s="37"/>
      <c r="J7" s="37"/>
      <c r="K7" s="35"/>
      <c r="L7" s="35"/>
      <c r="M7" s="35"/>
      <c r="N7" s="36"/>
      <c r="O7" s="32"/>
      <c r="P7" s="37"/>
      <c r="Q7" s="37"/>
      <c r="R7" s="38"/>
      <c r="S7" s="32"/>
      <c r="T7" s="39"/>
      <c r="U7" s="6"/>
      <c r="V7" s="6"/>
    </row>
    <row r="8" spans="1:25" ht="15">
      <c r="A8" s="40"/>
      <c r="B8" s="41"/>
      <c r="C8" s="42"/>
      <c r="D8" s="40"/>
      <c r="E8" s="40"/>
      <c r="F8" s="40"/>
      <c r="G8" s="43">
        <f>F8*6%</f>
        <v>0</v>
      </c>
      <c r="H8" s="43"/>
      <c r="I8" s="44">
        <f t="shared" si="0"/>
        <v>0</v>
      </c>
      <c r="J8" s="44">
        <f t="shared" si="1"/>
        <v>0</v>
      </c>
      <c r="K8" s="44">
        <f t="shared" si="2"/>
        <v>0</v>
      </c>
      <c r="L8" s="45"/>
      <c r="M8" s="40"/>
      <c r="N8" s="43">
        <f t="shared" si="3"/>
        <v>0</v>
      </c>
      <c r="O8" s="43">
        <f t="shared" si="4"/>
        <v>0</v>
      </c>
      <c r="P8" s="46"/>
      <c r="Q8" s="40"/>
      <c r="R8" s="40"/>
      <c r="S8" s="40"/>
      <c r="T8" s="5"/>
    </row>
    <row r="9" spans="1:25" ht="15">
      <c r="A9" s="32"/>
      <c r="B9" s="33"/>
      <c r="C9" s="32"/>
      <c r="D9" s="33"/>
      <c r="E9" s="34"/>
      <c r="F9" s="32"/>
      <c r="G9" s="32"/>
      <c r="H9" s="32"/>
      <c r="I9" s="37"/>
      <c r="J9" s="37"/>
      <c r="K9" s="35"/>
      <c r="L9" s="35"/>
      <c r="M9" s="35"/>
      <c r="N9" s="36"/>
      <c r="O9" s="32"/>
      <c r="P9" s="37"/>
      <c r="Q9" s="37"/>
      <c r="R9" s="38"/>
      <c r="S9" s="32"/>
      <c r="T9" s="39"/>
      <c r="U9" s="6"/>
      <c r="V9" s="6"/>
    </row>
    <row r="10" spans="1:25" ht="15">
      <c r="A10" s="40"/>
      <c r="B10" s="41"/>
      <c r="C10" s="42"/>
      <c r="D10" s="40"/>
      <c r="E10" s="40"/>
      <c r="F10" s="40"/>
      <c r="G10" s="43">
        <f>F10*6%</f>
        <v>0</v>
      </c>
      <c r="H10" s="43"/>
      <c r="I10" s="44">
        <f t="shared" si="0"/>
        <v>0</v>
      </c>
      <c r="J10" s="44">
        <f t="shared" si="1"/>
        <v>0</v>
      </c>
      <c r="K10" s="44">
        <f t="shared" si="2"/>
        <v>0</v>
      </c>
      <c r="L10" s="45"/>
      <c r="M10" s="40"/>
      <c r="N10" s="43">
        <f t="shared" si="3"/>
        <v>0</v>
      </c>
      <c r="O10" s="43">
        <f t="shared" si="4"/>
        <v>0</v>
      </c>
      <c r="P10" s="46"/>
      <c r="Q10" s="40"/>
      <c r="R10" s="40"/>
      <c r="S10" s="40"/>
      <c r="T10" s="5"/>
    </row>
    <row r="11" spans="1:25" ht="15">
      <c r="A11" s="32"/>
      <c r="B11" s="33"/>
      <c r="C11" s="32"/>
      <c r="D11" s="33"/>
      <c r="E11" s="34"/>
      <c r="F11" s="32"/>
      <c r="G11" s="32"/>
      <c r="H11" s="32"/>
      <c r="I11" s="37"/>
      <c r="J11" s="37"/>
      <c r="K11" s="35"/>
      <c r="L11" s="35"/>
      <c r="M11" s="35"/>
      <c r="N11" s="36"/>
      <c r="O11" s="32"/>
      <c r="P11" s="37"/>
      <c r="Q11" s="37"/>
      <c r="R11" s="38"/>
      <c r="S11" s="32"/>
      <c r="T11" s="39"/>
      <c r="U11" s="6"/>
      <c r="V11" s="6"/>
    </row>
    <row r="12" spans="1:25" ht="15">
      <c r="A12" s="40"/>
      <c r="B12" s="41"/>
      <c r="C12" s="42"/>
      <c r="D12" s="40"/>
      <c r="E12" s="40"/>
      <c r="F12" s="40"/>
      <c r="G12" s="43">
        <f>F12*6%</f>
        <v>0</v>
      </c>
      <c r="H12" s="43"/>
      <c r="I12" s="44">
        <f t="shared" si="0"/>
        <v>0</v>
      </c>
      <c r="J12" s="44">
        <f t="shared" si="1"/>
        <v>0</v>
      </c>
      <c r="K12" s="44">
        <f t="shared" si="2"/>
        <v>0</v>
      </c>
      <c r="L12" s="45"/>
      <c r="M12" s="40"/>
      <c r="N12" s="43">
        <f t="shared" si="3"/>
        <v>0</v>
      </c>
      <c r="O12" s="43">
        <f t="shared" si="4"/>
        <v>0</v>
      </c>
      <c r="P12" s="46"/>
      <c r="Q12" s="40"/>
      <c r="R12" s="40"/>
      <c r="S12" s="40"/>
      <c r="T12" s="5"/>
    </row>
    <row r="13" spans="1:25" ht="15">
      <c r="A13" s="32"/>
      <c r="B13" s="33"/>
      <c r="C13" s="32"/>
      <c r="D13" s="33"/>
      <c r="E13" s="34"/>
      <c r="F13" s="32"/>
      <c r="G13" s="32"/>
      <c r="H13" s="32"/>
      <c r="I13" s="37"/>
      <c r="J13" s="37"/>
      <c r="K13" s="35"/>
      <c r="L13" s="35"/>
      <c r="M13" s="35"/>
      <c r="N13" s="36"/>
      <c r="O13" s="32"/>
      <c r="P13" s="37"/>
      <c r="Q13" s="37"/>
      <c r="R13" s="38"/>
      <c r="S13" s="32"/>
      <c r="T13" s="39"/>
      <c r="U13" s="6"/>
      <c r="V13" s="6"/>
    </row>
    <row r="14" spans="1:25" ht="15">
      <c r="A14" s="40"/>
      <c r="B14" s="41"/>
      <c r="C14" s="42"/>
      <c r="D14" s="40"/>
      <c r="E14" s="40"/>
      <c r="F14" s="40"/>
      <c r="G14" s="43">
        <f>F14*6%</f>
        <v>0</v>
      </c>
      <c r="H14" s="43"/>
      <c r="I14" s="44">
        <f t="shared" si="0"/>
        <v>0</v>
      </c>
      <c r="J14" s="44">
        <f t="shared" si="1"/>
        <v>0</v>
      </c>
      <c r="K14" s="44">
        <f t="shared" si="2"/>
        <v>0</v>
      </c>
      <c r="L14" s="45"/>
      <c r="M14" s="40"/>
      <c r="N14" s="43">
        <f t="shared" si="3"/>
        <v>0</v>
      </c>
      <c r="O14" s="43">
        <f t="shared" si="4"/>
        <v>0</v>
      </c>
      <c r="P14" s="46"/>
      <c r="Q14" s="40"/>
      <c r="R14" s="40"/>
      <c r="S14" s="40"/>
      <c r="T14" s="5"/>
    </row>
    <row r="15" spans="1:25" ht="15">
      <c r="A15" s="32"/>
      <c r="B15" s="33"/>
      <c r="C15" s="32"/>
      <c r="D15" s="33"/>
      <c r="E15" s="34"/>
      <c r="F15" s="32"/>
      <c r="G15" s="32"/>
      <c r="H15" s="32"/>
      <c r="I15" s="37"/>
      <c r="J15" s="37"/>
      <c r="K15" s="35"/>
      <c r="L15" s="35"/>
      <c r="M15" s="35"/>
      <c r="N15" s="36"/>
      <c r="O15" s="32"/>
      <c r="P15" s="37"/>
      <c r="Q15" s="37"/>
      <c r="R15" s="38"/>
      <c r="S15" s="32"/>
      <c r="T15" s="39"/>
      <c r="U15" s="6"/>
      <c r="V15" s="6"/>
    </row>
    <row r="16" spans="1:25" ht="15">
      <c r="A16" s="40"/>
      <c r="B16" s="41"/>
      <c r="C16" s="42"/>
      <c r="D16" s="40"/>
      <c r="E16" s="40"/>
      <c r="F16" s="40"/>
      <c r="G16" s="43">
        <f>F16*6%</f>
        <v>0</v>
      </c>
      <c r="H16" s="43"/>
      <c r="I16" s="44">
        <f t="shared" si="0"/>
        <v>0</v>
      </c>
      <c r="J16" s="44">
        <f t="shared" si="1"/>
        <v>0</v>
      </c>
      <c r="K16" s="44">
        <f t="shared" si="2"/>
        <v>0</v>
      </c>
      <c r="L16" s="45"/>
      <c r="M16" s="40"/>
      <c r="N16" s="43">
        <f t="shared" si="3"/>
        <v>0</v>
      </c>
      <c r="O16" s="43">
        <f t="shared" si="4"/>
        <v>0</v>
      </c>
      <c r="P16" s="46"/>
      <c r="Q16" s="40"/>
      <c r="R16" s="40"/>
      <c r="S16" s="40"/>
      <c r="T16" s="5"/>
    </row>
    <row r="17" spans="1:22" ht="15">
      <c r="A17" s="32"/>
      <c r="B17" s="33"/>
      <c r="C17" s="32"/>
      <c r="D17" s="33"/>
      <c r="E17" s="34"/>
      <c r="F17" s="32"/>
      <c r="G17" s="32"/>
      <c r="H17" s="32"/>
      <c r="I17" s="37"/>
      <c r="J17" s="37"/>
      <c r="K17" s="35"/>
      <c r="L17" s="35"/>
      <c r="M17" s="35"/>
      <c r="N17" s="36"/>
      <c r="O17" s="32"/>
      <c r="P17" s="37"/>
      <c r="Q17" s="37"/>
      <c r="R17" s="38"/>
      <c r="S17" s="32"/>
      <c r="T17" s="39"/>
      <c r="U17" s="6"/>
      <c r="V17" s="6"/>
    </row>
    <row r="18" spans="1:22" ht="15">
      <c r="A18" s="40"/>
      <c r="B18" s="41"/>
      <c r="C18" s="42"/>
      <c r="D18" s="40"/>
      <c r="E18" s="40"/>
      <c r="F18" s="40"/>
      <c r="G18" s="43">
        <f>F18*6%</f>
        <v>0</v>
      </c>
      <c r="H18" s="43"/>
      <c r="I18" s="44">
        <f t="shared" si="0"/>
        <v>0</v>
      </c>
      <c r="J18" s="44">
        <f t="shared" si="1"/>
        <v>0</v>
      </c>
      <c r="K18" s="44">
        <f t="shared" si="2"/>
        <v>0</v>
      </c>
      <c r="L18" s="45"/>
      <c r="M18" s="40"/>
      <c r="N18" s="43">
        <f t="shared" si="3"/>
        <v>0</v>
      </c>
      <c r="O18" s="43">
        <f t="shared" si="4"/>
        <v>0</v>
      </c>
      <c r="P18" s="46"/>
      <c r="Q18" s="40"/>
      <c r="R18" s="40"/>
      <c r="S18" s="40"/>
      <c r="T18" s="5"/>
    </row>
    <row r="19" spans="1:22" ht="15">
      <c r="A19" s="32"/>
      <c r="B19" s="33"/>
      <c r="C19" s="32"/>
      <c r="D19" s="33"/>
      <c r="E19" s="34"/>
      <c r="F19" s="32"/>
      <c r="G19" s="32"/>
      <c r="H19" s="32"/>
      <c r="I19" s="37"/>
      <c r="J19" s="37"/>
      <c r="K19" s="35"/>
      <c r="L19" s="35"/>
      <c r="M19" s="35"/>
      <c r="N19" s="36"/>
      <c r="O19" s="32"/>
      <c r="P19" s="37"/>
      <c r="Q19" s="37"/>
      <c r="R19" s="38"/>
      <c r="S19" s="32"/>
      <c r="T19" s="39"/>
      <c r="U19" s="6"/>
      <c r="V19" s="6"/>
    </row>
    <row r="20" spans="1:22" ht="15">
      <c r="A20" s="40"/>
      <c r="B20" s="41"/>
      <c r="C20" s="42"/>
      <c r="D20" s="40"/>
      <c r="E20" s="40"/>
      <c r="F20" s="40"/>
      <c r="G20" s="43">
        <f>F20*6%</f>
        <v>0</v>
      </c>
      <c r="H20" s="43"/>
      <c r="I20" s="44">
        <f t="shared" si="0"/>
        <v>0</v>
      </c>
      <c r="J20" s="44">
        <f t="shared" si="1"/>
        <v>0</v>
      </c>
      <c r="K20" s="44">
        <f t="shared" si="2"/>
        <v>0</v>
      </c>
      <c r="L20" s="45"/>
      <c r="M20" s="40"/>
      <c r="N20" s="43">
        <f t="shared" si="3"/>
        <v>0</v>
      </c>
      <c r="O20" s="43">
        <f t="shared" si="4"/>
        <v>0</v>
      </c>
      <c r="P20" s="46"/>
      <c r="Q20" s="40"/>
      <c r="R20" s="40"/>
      <c r="S20" s="40"/>
      <c r="T20" s="5"/>
    </row>
    <row r="21" spans="1:22" ht="15">
      <c r="A21" s="32"/>
      <c r="B21" s="33"/>
      <c r="C21" s="32"/>
      <c r="D21" s="33"/>
      <c r="E21" s="34"/>
      <c r="F21" s="32"/>
      <c r="G21" s="32"/>
      <c r="H21" s="32"/>
      <c r="I21" s="37"/>
      <c r="J21" s="37"/>
      <c r="K21" s="35"/>
      <c r="L21" s="35"/>
      <c r="M21" s="35"/>
      <c r="N21" s="36"/>
      <c r="O21" s="32"/>
      <c r="P21" s="37"/>
      <c r="Q21" s="37"/>
      <c r="R21" s="38"/>
      <c r="S21" s="32"/>
      <c r="T21" s="39"/>
      <c r="U21" s="6"/>
      <c r="V21" s="6"/>
    </row>
    <row r="22" spans="1:22" ht="15">
      <c r="A22" s="40"/>
      <c r="B22" s="41"/>
      <c r="C22" s="42"/>
      <c r="D22" s="40"/>
      <c r="E22" s="40"/>
      <c r="F22" s="40"/>
      <c r="G22" s="43">
        <f>F22*6%</f>
        <v>0</v>
      </c>
      <c r="H22" s="43"/>
      <c r="I22" s="44">
        <f t="shared" si="0"/>
        <v>0</v>
      </c>
      <c r="J22" s="44">
        <f t="shared" si="1"/>
        <v>0</v>
      </c>
      <c r="K22" s="44">
        <f t="shared" si="2"/>
        <v>0</v>
      </c>
      <c r="L22" s="45"/>
      <c r="M22" s="40"/>
      <c r="N22" s="43">
        <f t="shared" si="3"/>
        <v>0</v>
      </c>
      <c r="O22" s="43">
        <f t="shared" si="4"/>
        <v>0</v>
      </c>
      <c r="P22" s="46"/>
      <c r="Q22" s="40"/>
      <c r="R22" s="40"/>
      <c r="S22" s="40"/>
      <c r="T22" s="5"/>
    </row>
    <row r="23" spans="1:22" ht="15">
      <c r="A23" s="32"/>
      <c r="B23" s="33"/>
      <c r="C23" s="32"/>
      <c r="D23" s="33"/>
      <c r="E23" s="34"/>
      <c r="F23" s="32"/>
      <c r="G23" s="32"/>
      <c r="H23" s="32"/>
      <c r="I23" s="37"/>
      <c r="J23" s="37"/>
      <c r="K23" s="35"/>
      <c r="L23" s="35"/>
      <c r="M23" s="35"/>
      <c r="N23" s="36"/>
      <c r="O23" s="32"/>
      <c r="P23" s="37"/>
      <c r="Q23" s="37"/>
      <c r="R23" s="38"/>
      <c r="S23" s="32"/>
      <c r="T23" s="39"/>
      <c r="U23" s="6"/>
      <c r="V23" s="6"/>
    </row>
    <row r="24" spans="1:22" ht="15">
      <c r="A24" s="50"/>
      <c r="B24" s="51"/>
      <c r="C24" s="52"/>
      <c r="D24" s="50"/>
      <c r="E24" s="50"/>
      <c r="F24" s="50"/>
      <c r="G24" s="43">
        <f>F24*6%</f>
        <v>0</v>
      </c>
      <c r="H24" s="53"/>
      <c r="I24" s="44">
        <f t="shared" si="0"/>
        <v>0</v>
      </c>
      <c r="J24" s="54">
        <f t="shared" si="1"/>
        <v>0</v>
      </c>
      <c r="K24" s="54">
        <f t="shared" si="2"/>
        <v>0</v>
      </c>
      <c r="L24" s="55"/>
      <c r="M24" s="50"/>
      <c r="N24" s="53">
        <f t="shared" si="3"/>
        <v>0</v>
      </c>
      <c r="O24" s="53">
        <f t="shared" si="4"/>
        <v>0</v>
      </c>
      <c r="P24" s="56"/>
      <c r="Q24" s="50"/>
      <c r="R24" s="50"/>
      <c r="S24" s="50"/>
      <c r="T24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699" priority="27" operator="containsText" text="SIN FACTURA ">
      <formula>NOT(ISERROR(SEARCH("SIN FACTURA ",A2)))</formula>
    </cfRule>
  </conditionalFormatting>
  <conditionalFormatting sqref="A23:B23 A4:T4 I5:I24">
    <cfRule type="containsText" dxfId="2698" priority="1" operator="containsText" text="SIN FACTURA">
      <formula>NOT(ISERROR(SEARCH("SIN FACTURA",A4)))</formula>
    </cfRule>
  </conditionalFormatting>
  <conditionalFormatting sqref="J24:T24 J22:T22 J20:T20 J18:T18 J16:T16 J14:T14 J12:T12 J10:T10 J8:T8 J6:T6 A6:H6 A8:H8 A10:H10 A12:H12 A14:H14 A16:H16 A18:H18 A20:H20 A22:H22 A24:H24">
    <cfRule type="containsText" dxfId="2697" priority="25" operator="containsText" text="SIN FACTURA">
      <formula>NOT(ISERROR(SEARCH("SIN FACTURA",A6)))</formula>
    </cfRule>
  </conditionalFormatting>
  <conditionalFormatting sqref="C5:H5 J5:V5">
    <cfRule type="containsText" dxfId="2696" priority="22" operator="containsText" text="SIN FACTURA">
      <formula>NOT(ISERROR(SEARCH("SIN FACTURA",C5)))</formula>
    </cfRule>
  </conditionalFormatting>
  <conditionalFormatting sqref="C7:H7 J7:V7">
    <cfRule type="containsText" dxfId="2695" priority="21" operator="containsText" text="SIN FACTURA">
      <formula>NOT(ISERROR(SEARCH("SIN FACTURA",C7)))</formula>
    </cfRule>
  </conditionalFormatting>
  <conditionalFormatting sqref="C9:H9 J9:V9">
    <cfRule type="containsText" dxfId="2694" priority="20" operator="containsText" text="SIN FACTURA">
      <formula>NOT(ISERROR(SEARCH("SIN FACTURA",C9)))</formula>
    </cfRule>
  </conditionalFormatting>
  <conditionalFormatting sqref="C11:H11 J11:V11">
    <cfRule type="containsText" dxfId="2693" priority="19" operator="containsText" text="SIN FACTURA">
      <formula>NOT(ISERROR(SEARCH("SIN FACTURA",C11)))</formula>
    </cfRule>
  </conditionalFormatting>
  <conditionalFormatting sqref="C13:H13 J13:V13">
    <cfRule type="containsText" dxfId="2692" priority="18" operator="containsText" text="SIN FACTURA">
      <formula>NOT(ISERROR(SEARCH("SIN FACTURA",C13)))</formula>
    </cfRule>
  </conditionalFormatting>
  <conditionalFormatting sqref="C15:H15 J15:V15">
    <cfRule type="containsText" dxfId="2691" priority="17" operator="containsText" text="SIN FACTURA">
      <formula>NOT(ISERROR(SEARCH("SIN FACTURA",C15)))</formula>
    </cfRule>
  </conditionalFormatting>
  <conditionalFormatting sqref="C17:H17 J17:V17">
    <cfRule type="containsText" dxfId="2690" priority="16" operator="containsText" text="SIN FACTURA">
      <formula>NOT(ISERROR(SEARCH("SIN FACTURA",C17)))</formula>
    </cfRule>
  </conditionalFormatting>
  <conditionalFormatting sqref="C19:H19 J19:V19">
    <cfRule type="containsText" dxfId="2689" priority="15" operator="containsText" text="SIN FACTURA">
      <formula>NOT(ISERROR(SEARCH("SIN FACTURA",C19)))</formula>
    </cfRule>
  </conditionalFormatting>
  <conditionalFormatting sqref="C21:H21 J21:V21">
    <cfRule type="containsText" dxfId="2688" priority="14" operator="containsText" text="SIN FACTURA">
      <formula>NOT(ISERROR(SEARCH("SIN FACTURA",C21)))</formula>
    </cfRule>
  </conditionalFormatting>
  <conditionalFormatting sqref="C23:H23 J23:V23">
    <cfRule type="containsText" dxfId="2687" priority="13" operator="containsText" text="SIN FACTURA">
      <formula>NOT(ISERROR(SEARCH("SIN FACTURA",C23)))</formula>
    </cfRule>
  </conditionalFormatting>
  <conditionalFormatting sqref="A5:B5">
    <cfRule type="containsText" dxfId="2686" priority="10" operator="containsText" text="SIN FACTURA">
      <formula>NOT(ISERROR(SEARCH("SIN FACTURA",A5)))</formula>
    </cfRule>
  </conditionalFormatting>
  <conditionalFormatting sqref="A7:B7">
    <cfRule type="containsText" dxfId="2685" priority="9" operator="containsText" text="SIN FACTURA">
      <formula>NOT(ISERROR(SEARCH("SIN FACTURA",A7)))</formula>
    </cfRule>
  </conditionalFormatting>
  <conditionalFormatting sqref="A9:B9">
    <cfRule type="containsText" dxfId="2684" priority="8" operator="containsText" text="SIN FACTURA">
      <formula>NOT(ISERROR(SEARCH("SIN FACTURA",A9)))</formula>
    </cfRule>
  </conditionalFormatting>
  <conditionalFormatting sqref="A11:B11">
    <cfRule type="containsText" dxfId="2683" priority="7" operator="containsText" text="SIN FACTURA">
      <formula>NOT(ISERROR(SEARCH("SIN FACTURA",A11)))</formula>
    </cfRule>
  </conditionalFormatting>
  <conditionalFormatting sqref="A13:B13">
    <cfRule type="containsText" dxfId="2682" priority="6" operator="containsText" text="SIN FACTURA">
      <formula>NOT(ISERROR(SEARCH("SIN FACTURA",A13)))</formula>
    </cfRule>
  </conditionalFormatting>
  <conditionalFormatting sqref="A15:B15">
    <cfRule type="containsText" dxfId="2681" priority="5" operator="containsText" text="SIN FACTURA">
      <formula>NOT(ISERROR(SEARCH("SIN FACTURA",A15)))</formula>
    </cfRule>
  </conditionalFormatting>
  <conditionalFormatting sqref="A17:B17">
    <cfRule type="containsText" dxfId="2680" priority="4" operator="containsText" text="SIN FACTURA">
      <formula>NOT(ISERROR(SEARCH("SIN FACTURA",A17)))</formula>
    </cfRule>
  </conditionalFormatting>
  <conditionalFormatting sqref="A19:B19">
    <cfRule type="containsText" dxfId="2679" priority="3" operator="containsText" text="SIN FACTURA">
      <formula>NOT(ISERROR(SEARCH("SIN FACTURA",A19)))</formula>
    </cfRule>
  </conditionalFormatting>
  <conditionalFormatting sqref="A21:B21">
    <cfRule type="containsText" dxfId="2678" priority="2" operator="containsText" text="SIN FACTURA">
      <formula>NOT(ISERROR(SEARCH("SIN FACTURA",A21)))</formula>
    </cfRule>
  </conditionalFormatting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>
  <sheetPr codeName="Hoja69"/>
  <dimension ref="A1:Y28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28"/>
    </sheetView>
  </sheetViews>
  <sheetFormatPr baseColWidth="10" defaultColWidth="10.875" defaultRowHeight="15.75"/>
  <cols>
    <col min="1" max="1" width="17" style="1" customWidth="1"/>
    <col min="2" max="2" width="10.125" style="2" customWidth="1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204</v>
      </c>
      <c r="B1" s="18"/>
      <c r="C1" s="20">
        <v>487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32"/>
      <c r="B5" s="33"/>
      <c r="C5" s="34"/>
      <c r="D5" s="32"/>
      <c r="E5" s="32"/>
      <c r="F5" s="32"/>
      <c r="G5" s="37"/>
      <c r="H5" s="37"/>
      <c r="I5" s="37"/>
      <c r="J5" s="35"/>
      <c r="K5" s="35"/>
      <c r="L5" s="36"/>
      <c r="M5" s="32"/>
      <c r="N5" s="37"/>
      <c r="O5" s="37"/>
      <c r="P5" s="38"/>
      <c r="Q5" s="32"/>
      <c r="R5" s="32"/>
      <c r="S5" s="32"/>
      <c r="T5" s="39"/>
    </row>
    <row r="6" spans="1:25" ht="15">
      <c r="A6" s="40"/>
      <c r="B6" s="41"/>
      <c r="C6" s="42"/>
      <c r="D6" s="40"/>
      <c r="E6" s="40"/>
      <c r="F6" s="40"/>
      <c r="G6" s="43">
        <f>F6*6%</f>
        <v>0</v>
      </c>
      <c r="H6" s="43"/>
      <c r="I6" s="44">
        <f t="shared" ref="I6:I28" si="0">F6-G6-H6</f>
        <v>0</v>
      </c>
      <c r="J6" s="44">
        <f t="shared" ref="J6:J28" si="1">S6+T6</f>
        <v>0</v>
      </c>
      <c r="K6" s="44">
        <f t="shared" ref="K6:K28" si="2">I6-J6</f>
        <v>0</v>
      </c>
      <c r="L6" s="45"/>
      <c r="M6" s="40"/>
      <c r="N6" s="43">
        <f t="shared" ref="N6:N28" si="3">I6-J6-M6-R6</f>
        <v>0</v>
      </c>
      <c r="O6" s="43">
        <f t="shared" ref="O6:O28" si="4">R6+S6+T6</f>
        <v>0</v>
      </c>
      <c r="P6" s="46"/>
      <c r="Q6" s="40"/>
      <c r="R6" s="40"/>
      <c r="S6" s="40"/>
      <c r="T6" s="5"/>
    </row>
    <row r="7" spans="1:25" ht="15">
      <c r="A7" s="32"/>
      <c r="B7" s="33"/>
      <c r="C7" s="32"/>
      <c r="D7" s="33"/>
      <c r="E7" s="34"/>
      <c r="F7" s="32"/>
      <c r="G7" s="32"/>
      <c r="H7" s="32"/>
      <c r="I7" s="37"/>
      <c r="J7" s="37"/>
      <c r="K7" s="35"/>
      <c r="L7" s="35"/>
      <c r="M7" s="35"/>
      <c r="N7" s="36"/>
      <c r="O7" s="32"/>
      <c r="P7" s="37"/>
      <c r="Q7" s="37"/>
      <c r="R7" s="38"/>
      <c r="S7" s="32"/>
      <c r="T7" s="39"/>
    </row>
    <row r="8" spans="1:25" ht="15">
      <c r="A8" s="40"/>
      <c r="B8" s="41"/>
      <c r="C8" s="42"/>
      <c r="D8" s="40"/>
      <c r="E8" s="40"/>
      <c r="F8" s="40"/>
      <c r="G8" s="43">
        <f>F8*6%</f>
        <v>0</v>
      </c>
      <c r="H8" s="43"/>
      <c r="I8" s="44">
        <f t="shared" si="0"/>
        <v>0</v>
      </c>
      <c r="J8" s="44">
        <f t="shared" si="1"/>
        <v>0</v>
      </c>
      <c r="K8" s="44">
        <f t="shared" si="2"/>
        <v>0</v>
      </c>
      <c r="L8" s="45"/>
      <c r="M8" s="40"/>
      <c r="N8" s="43">
        <f t="shared" si="3"/>
        <v>0</v>
      </c>
      <c r="O8" s="43">
        <f t="shared" si="4"/>
        <v>0</v>
      </c>
      <c r="P8" s="46"/>
      <c r="Q8" s="40"/>
      <c r="R8" s="40"/>
      <c r="S8" s="40"/>
      <c r="T8" s="5"/>
    </row>
    <row r="9" spans="1:25" ht="15">
      <c r="A9" s="32"/>
      <c r="B9" s="33"/>
      <c r="C9" s="32"/>
      <c r="D9" s="33"/>
      <c r="E9" s="34"/>
      <c r="F9" s="32"/>
      <c r="G9" s="32"/>
      <c r="H9" s="32"/>
      <c r="I9" s="37"/>
      <c r="J9" s="37"/>
      <c r="K9" s="35"/>
      <c r="L9" s="35"/>
      <c r="M9" s="35"/>
      <c r="N9" s="36"/>
      <c r="O9" s="32"/>
      <c r="P9" s="37"/>
      <c r="Q9" s="37"/>
      <c r="R9" s="38"/>
      <c r="S9" s="32"/>
      <c r="T9" s="39"/>
      <c r="U9" s="6"/>
      <c r="V9" s="6"/>
    </row>
    <row r="10" spans="1:25" ht="15">
      <c r="A10" s="40"/>
      <c r="B10" s="41"/>
      <c r="C10" s="42"/>
      <c r="D10" s="40"/>
      <c r="E10" s="40"/>
      <c r="F10" s="40"/>
      <c r="G10" s="43">
        <f>F10*6%</f>
        <v>0</v>
      </c>
      <c r="H10" s="43"/>
      <c r="I10" s="44">
        <f t="shared" si="0"/>
        <v>0</v>
      </c>
      <c r="J10" s="44">
        <f t="shared" si="1"/>
        <v>0</v>
      </c>
      <c r="K10" s="44">
        <f t="shared" si="2"/>
        <v>0</v>
      </c>
      <c r="L10" s="45"/>
      <c r="M10" s="40"/>
      <c r="N10" s="43">
        <f t="shared" si="3"/>
        <v>0</v>
      </c>
      <c r="O10" s="43">
        <f t="shared" si="4"/>
        <v>0</v>
      </c>
      <c r="P10" s="46"/>
      <c r="Q10" s="40"/>
      <c r="R10" s="40"/>
      <c r="S10" s="40"/>
      <c r="T10" s="5"/>
    </row>
    <row r="11" spans="1:25" ht="15">
      <c r="A11" s="32"/>
      <c r="B11" s="33"/>
      <c r="C11" s="32"/>
      <c r="D11" s="33"/>
      <c r="E11" s="34"/>
      <c r="F11" s="32"/>
      <c r="G11" s="32"/>
      <c r="H11" s="32"/>
      <c r="I11" s="37"/>
      <c r="J11" s="37"/>
      <c r="K11" s="35"/>
      <c r="L11" s="35"/>
      <c r="M11" s="35"/>
      <c r="N11" s="36"/>
      <c r="O11" s="32"/>
      <c r="P11" s="37"/>
      <c r="Q11" s="37"/>
      <c r="R11" s="38"/>
      <c r="S11" s="32"/>
      <c r="T11" s="39"/>
      <c r="U11" s="6"/>
      <c r="V11" s="6"/>
    </row>
    <row r="12" spans="1:25" ht="15">
      <c r="A12" s="40"/>
      <c r="B12" s="41"/>
      <c r="C12" s="42"/>
      <c r="D12" s="40"/>
      <c r="E12" s="40"/>
      <c r="F12" s="40"/>
      <c r="G12" s="43">
        <f>F12*6%</f>
        <v>0</v>
      </c>
      <c r="H12" s="43"/>
      <c r="I12" s="44">
        <f t="shared" si="0"/>
        <v>0</v>
      </c>
      <c r="J12" s="44">
        <f t="shared" si="1"/>
        <v>0</v>
      </c>
      <c r="K12" s="44">
        <f t="shared" si="2"/>
        <v>0</v>
      </c>
      <c r="L12" s="45"/>
      <c r="M12" s="40"/>
      <c r="N12" s="43">
        <f t="shared" si="3"/>
        <v>0</v>
      </c>
      <c r="O12" s="43">
        <f t="shared" si="4"/>
        <v>0</v>
      </c>
      <c r="P12" s="46"/>
      <c r="Q12" s="40"/>
      <c r="R12" s="40"/>
      <c r="S12" s="40"/>
      <c r="T12" s="5"/>
    </row>
    <row r="13" spans="1:25" ht="15">
      <c r="A13" s="32"/>
      <c r="B13" s="33"/>
      <c r="C13" s="32"/>
      <c r="D13" s="33"/>
      <c r="E13" s="34"/>
      <c r="F13" s="32"/>
      <c r="G13" s="32"/>
      <c r="H13" s="32"/>
      <c r="I13" s="37"/>
      <c r="J13" s="37"/>
      <c r="K13" s="35"/>
      <c r="L13" s="35"/>
      <c r="M13" s="35"/>
      <c r="N13" s="36"/>
      <c r="O13" s="32"/>
      <c r="P13" s="37"/>
      <c r="Q13" s="37"/>
      <c r="R13" s="38"/>
      <c r="S13" s="32"/>
      <c r="T13" s="39"/>
      <c r="U13" s="6"/>
      <c r="V13" s="6"/>
    </row>
    <row r="14" spans="1:25" ht="15">
      <c r="A14" s="40"/>
      <c r="B14" s="41"/>
      <c r="C14" s="42"/>
      <c r="D14" s="40"/>
      <c r="E14" s="40"/>
      <c r="F14" s="40"/>
      <c r="G14" s="43">
        <f>F14*6%</f>
        <v>0</v>
      </c>
      <c r="H14" s="43"/>
      <c r="I14" s="44">
        <f t="shared" si="0"/>
        <v>0</v>
      </c>
      <c r="J14" s="44">
        <f t="shared" si="1"/>
        <v>0</v>
      </c>
      <c r="K14" s="44">
        <f t="shared" si="2"/>
        <v>0</v>
      </c>
      <c r="L14" s="45"/>
      <c r="M14" s="40"/>
      <c r="N14" s="43">
        <f t="shared" si="3"/>
        <v>0</v>
      </c>
      <c r="O14" s="43">
        <f t="shared" si="4"/>
        <v>0</v>
      </c>
      <c r="P14" s="46"/>
      <c r="Q14" s="40"/>
      <c r="R14" s="40"/>
      <c r="S14" s="40"/>
      <c r="T14" s="5"/>
    </row>
    <row r="15" spans="1:25" ht="15">
      <c r="A15" s="32"/>
      <c r="B15" s="33"/>
      <c r="C15" s="32"/>
      <c r="D15" s="33"/>
      <c r="E15" s="34"/>
      <c r="F15" s="32"/>
      <c r="G15" s="32"/>
      <c r="H15" s="32"/>
      <c r="I15" s="37"/>
      <c r="J15" s="37"/>
      <c r="K15" s="35"/>
      <c r="L15" s="35"/>
      <c r="M15" s="35"/>
      <c r="N15" s="36"/>
      <c r="O15" s="32"/>
      <c r="P15" s="37"/>
      <c r="Q15" s="37"/>
      <c r="R15" s="38"/>
      <c r="S15" s="32"/>
      <c r="T15" s="39"/>
      <c r="U15" s="6"/>
      <c r="V15" s="6"/>
    </row>
    <row r="16" spans="1:25" ht="15">
      <c r="A16" s="40"/>
      <c r="B16" s="41"/>
      <c r="C16" s="42"/>
      <c r="D16" s="40"/>
      <c r="E16" s="40"/>
      <c r="F16" s="40"/>
      <c r="G16" s="43">
        <f>F16*6%</f>
        <v>0</v>
      </c>
      <c r="H16" s="43"/>
      <c r="I16" s="44">
        <f t="shared" si="0"/>
        <v>0</v>
      </c>
      <c r="J16" s="44">
        <f t="shared" si="1"/>
        <v>0</v>
      </c>
      <c r="K16" s="44">
        <f t="shared" si="2"/>
        <v>0</v>
      </c>
      <c r="L16" s="45"/>
      <c r="M16" s="40"/>
      <c r="N16" s="43">
        <f t="shared" si="3"/>
        <v>0</v>
      </c>
      <c r="O16" s="43">
        <f t="shared" si="4"/>
        <v>0</v>
      </c>
      <c r="P16" s="46"/>
      <c r="Q16" s="40"/>
      <c r="R16" s="40"/>
      <c r="S16" s="40"/>
      <c r="T16" s="5"/>
    </row>
    <row r="17" spans="1:22" ht="15">
      <c r="A17" s="32"/>
      <c r="B17" s="33"/>
      <c r="C17" s="32"/>
      <c r="D17" s="33"/>
      <c r="E17" s="34"/>
      <c r="F17" s="32"/>
      <c r="G17" s="32"/>
      <c r="H17" s="32"/>
      <c r="I17" s="37"/>
      <c r="J17" s="37"/>
      <c r="K17" s="35"/>
      <c r="L17" s="35"/>
      <c r="M17" s="35"/>
      <c r="N17" s="36"/>
      <c r="O17" s="32"/>
      <c r="P17" s="37"/>
      <c r="Q17" s="37"/>
      <c r="R17" s="38"/>
      <c r="S17" s="32"/>
      <c r="T17" s="39"/>
      <c r="U17" s="6"/>
      <c r="V17" s="6"/>
    </row>
    <row r="18" spans="1:22" ht="15">
      <c r="A18" s="40"/>
      <c r="B18" s="41"/>
      <c r="C18" s="42"/>
      <c r="D18" s="40"/>
      <c r="E18" s="40"/>
      <c r="F18" s="40"/>
      <c r="G18" s="43">
        <f>F18*6%</f>
        <v>0</v>
      </c>
      <c r="H18" s="43"/>
      <c r="I18" s="44">
        <f t="shared" si="0"/>
        <v>0</v>
      </c>
      <c r="J18" s="44">
        <f t="shared" si="1"/>
        <v>0</v>
      </c>
      <c r="K18" s="44">
        <f t="shared" si="2"/>
        <v>0</v>
      </c>
      <c r="L18" s="45"/>
      <c r="M18" s="40"/>
      <c r="N18" s="43">
        <f t="shared" si="3"/>
        <v>0</v>
      </c>
      <c r="O18" s="43">
        <f t="shared" si="4"/>
        <v>0</v>
      </c>
      <c r="P18" s="46"/>
      <c r="Q18" s="40"/>
      <c r="R18" s="40"/>
      <c r="S18" s="40"/>
      <c r="T18" s="5"/>
    </row>
    <row r="19" spans="1:22" ht="15">
      <c r="A19" s="32"/>
      <c r="B19" s="33"/>
      <c r="C19" s="32"/>
      <c r="D19" s="33"/>
      <c r="E19" s="34"/>
      <c r="F19" s="32"/>
      <c r="G19" s="32"/>
      <c r="H19" s="32"/>
      <c r="I19" s="37"/>
      <c r="J19" s="37"/>
      <c r="K19" s="35"/>
      <c r="L19" s="35"/>
      <c r="M19" s="35"/>
      <c r="N19" s="36"/>
      <c r="O19" s="32"/>
      <c r="P19" s="37"/>
      <c r="Q19" s="37"/>
      <c r="R19" s="38"/>
      <c r="S19" s="32"/>
      <c r="T19" s="39"/>
      <c r="U19" s="6"/>
      <c r="V19" s="6"/>
    </row>
    <row r="20" spans="1:22" ht="15">
      <c r="A20" s="40"/>
      <c r="B20" s="41"/>
      <c r="C20" s="42"/>
      <c r="D20" s="40"/>
      <c r="E20" s="40"/>
      <c r="F20" s="40"/>
      <c r="G20" s="43">
        <f>F20*6%</f>
        <v>0</v>
      </c>
      <c r="H20" s="43"/>
      <c r="I20" s="44">
        <f t="shared" si="0"/>
        <v>0</v>
      </c>
      <c r="J20" s="44">
        <f t="shared" si="1"/>
        <v>0</v>
      </c>
      <c r="K20" s="44">
        <f t="shared" si="2"/>
        <v>0</v>
      </c>
      <c r="L20" s="45"/>
      <c r="M20" s="40"/>
      <c r="N20" s="43">
        <f t="shared" si="3"/>
        <v>0</v>
      </c>
      <c r="O20" s="43">
        <f t="shared" si="4"/>
        <v>0</v>
      </c>
      <c r="P20" s="46"/>
      <c r="Q20" s="40"/>
      <c r="R20" s="40"/>
      <c r="S20" s="40"/>
      <c r="T20" s="5"/>
    </row>
    <row r="21" spans="1:22" ht="15">
      <c r="A21" s="32"/>
      <c r="B21" s="33"/>
      <c r="C21" s="32"/>
      <c r="D21" s="33"/>
      <c r="E21" s="34"/>
      <c r="F21" s="32"/>
      <c r="G21" s="32"/>
      <c r="H21" s="32"/>
      <c r="I21" s="37"/>
      <c r="J21" s="37"/>
      <c r="K21" s="35"/>
      <c r="L21" s="35"/>
      <c r="M21" s="35"/>
      <c r="N21" s="36"/>
      <c r="O21" s="32"/>
      <c r="P21" s="37"/>
      <c r="Q21" s="37"/>
      <c r="R21" s="38"/>
      <c r="S21" s="32"/>
      <c r="T21" s="39"/>
      <c r="U21" s="6"/>
      <c r="V21" s="6"/>
    </row>
    <row r="22" spans="1:22" ht="15">
      <c r="A22" s="40"/>
      <c r="B22" s="41"/>
      <c r="C22" s="42"/>
      <c r="D22" s="40"/>
      <c r="E22" s="40"/>
      <c r="F22" s="40"/>
      <c r="G22" s="43">
        <f>F22*6%</f>
        <v>0</v>
      </c>
      <c r="H22" s="43"/>
      <c r="I22" s="44">
        <f t="shared" si="0"/>
        <v>0</v>
      </c>
      <c r="J22" s="44">
        <f t="shared" si="1"/>
        <v>0</v>
      </c>
      <c r="K22" s="44">
        <f t="shared" si="2"/>
        <v>0</v>
      </c>
      <c r="L22" s="45"/>
      <c r="M22" s="40"/>
      <c r="N22" s="43">
        <f t="shared" si="3"/>
        <v>0</v>
      </c>
      <c r="O22" s="43">
        <f t="shared" si="4"/>
        <v>0</v>
      </c>
      <c r="P22" s="46"/>
      <c r="Q22" s="40"/>
      <c r="R22" s="40"/>
      <c r="S22" s="40"/>
      <c r="T22" s="5"/>
    </row>
    <row r="23" spans="1:22" ht="15">
      <c r="A23" s="32"/>
      <c r="B23" s="33"/>
      <c r="C23" s="32"/>
      <c r="D23" s="33"/>
      <c r="E23" s="34"/>
      <c r="F23" s="32"/>
      <c r="G23" s="32"/>
      <c r="H23" s="32"/>
      <c r="I23" s="37"/>
      <c r="J23" s="37"/>
      <c r="K23" s="35"/>
      <c r="L23" s="35"/>
      <c r="M23" s="35"/>
      <c r="N23" s="36"/>
      <c r="O23" s="32"/>
      <c r="P23" s="37"/>
      <c r="Q23" s="37"/>
      <c r="R23" s="38"/>
      <c r="S23" s="32"/>
      <c r="T23" s="39"/>
      <c r="U23" s="6"/>
      <c r="V23" s="6"/>
    </row>
    <row r="24" spans="1:22" ht="15">
      <c r="A24" s="40"/>
      <c r="B24" s="41"/>
      <c r="C24" s="42"/>
      <c r="D24" s="40"/>
      <c r="E24" s="40"/>
      <c r="F24" s="40"/>
      <c r="G24" s="43">
        <f>F24*6%</f>
        <v>0</v>
      </c>
      <c r="H24" s="43"/>
      <c r="I24" s="44">
        <f t="shared" si="0"/>
        <v>0</v>
      </c>
      <c r="J24" s="44">
        <f t="shared" si="1"/>
        <v>0</v>
      </c>
      <c r="K24" s="44">
        <f t="shared" si="2"/>
        <v>0</v>
      </c>
      <c r="L24" s="45"/>
      <c r="M24" s="40"/>
      <c r="N24" s="43">
        <f t="shared" si="3"/>
        <v>0</v>
      </c>
      <c r="O24" s="43">
        <f t="shared" si="4"/>
        <v>0</v>
      </c>
      <c r="P24" s="46"/>
      <c r="Q24" s="40"/>
      <c r="R24" s="40"/>
      <c r="S24" s="40"/>
      <c r="T24" s="5"/>
    </row>
    <row r="25" spans="1:22" ht="15">
      <c r="A25" s="32"/>
      <c r="B25" s="33"/>
      <c r="C25" s="32"/>
      <c r="D25" s="33"/>
      <c r="E25" s="34"/>
      <c r="F25" s="32"/>
      <c r="G25" s="32"/>
      <c r="H25" s="32"/>
      <c r="I25" s="37"/>
      <c r="J25" s="37"/>
      <c r="K25" s="35"/>
      <c r="L25" s="35"/>
      <c r="M25" s="35"/>
      <c r="N25" s="36"/>
      <c r="O25" s="32"/>
      <c r="P25" s="37"/>
      <c r="Q25" s="37"/>
      <c r="R25" s="38"/>
      <c r="S25" s="32"/>
      <c r="T25" s="39"/>
      <c r="U25" s="6"/>
      <c r="V25" s="6"/>
    </row>
    <row r="26" spans="1:22" ht="15">
      <c r="A26" s="40"/>
      <c r="B26" s="41"/>
      <c r="C26" s="42"/>
      <c r="D26" s="40"/>
      <c r="E26" s="40"/>
      <c r="F26" s="40"/>
      <c r="G26" s="43">
        <f>F26*6%</f>
        <v>0</v>
      </c>
      <c r="H26" s="43"/>
      <c r="I26" s="44">
        <f t="shared" si="0"/>
        <v>0</v>
      </c>
      <c r="J26" s="44">
        <f t="shared" si="1"/>
        <v>0</v>
      </c>
      <c r="K26" s="44">
        <f t="shared" si="2"/>
        <v>0</v>
      </c>
      <c r="L26" s="45"/>
      <c r="M26" s="40"/>
      <c r="N26" s="43">
        <f t="shared" si="3"/>
        <v>0</v>
      </c>
      <c r="O26" s="43">
        <f t="shared" si="4"/>
        <v>0</v>
      </c>
      <c r="P26" s="46"/>
      <c r="Q26" s="40"/>
      <c r="R26" s="40"/>
      <c r="S26" s="40"/>
      <c r="T26" s="5"/>
    </row>
    <row r="27" spans="1:22" ht="15">
      <c r="A27" s="32"/>
      <c r="B27" s="33"/>
      <c r="C27" s="32"/>
      <c r="D27" s="33"/>
      <c r="E27" s="34"/>
      <c r="F27" s="32"/>
      <c r="G27" s="32"/>
      <c r="H27" s="32"/>
      <c r="I27" s="37"/>
      <c r="J27" s="37"/>
      <c r="K27" s="35"/>
      <c r="L27" s="35"/>
      <c r="M27" s="35"/>
      <c r="N27" s="36"/>
      <c r="O27" s="32"/>
      <c r="P27" s="37"/>
      <c r="Q27" s="37"/>
      <c r="R27" s="38"/>
      <c r="S27" s="32"/>
      <c r="T27" s="39"/>
      <c r="U27" s="6"/>
      <c r="V27" s="6"/>
    </row>
    <row r="28" spans="1:22" ht="15">
      <c r="A28" s="50"/>
      <c r="B28" s="51"/>
      <c r="C28" s="52"/>
      <c r="D28" s="50"/>
      <c r="E28" s="50"/>
      <c r="F28" s="50"/>
      <c r="G28" s="43">
        <f>F28*6%</f>
        <v>0</v>
      </c>
      <c r="H28" s="53"/>
      <c r="I28" s="78">
        <f t="shared" si="0"/>
        <v>0</v>
      </c>
      <c r="J28" s="54">
        <f t="shared" si="1"/>
        <v>0</v>
      </c>
      <c r="K28" s="54">
        <f t="shared" si="2"/>
        <v>0</v>
      </c>
      <c r="L28" s="55"/>
      <c r="M28" s="50"/>
      <c r="N28" s="53">
        <f t="shared" si="3"/>
        <v>0</v>
      </c>
      <c r="O28" s="53">
        <f t="shared" si="4"/>
        <v>0</v>
      </c>
      <c r="P28" s="56"/>
      <c r="Q28" s="50"/>
      <c r="R28" s="50"/>
      <c r="S28" s="50"/>
      <c r="T28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677" priority="27" operator="containsText" text="SIN FACTURA ">
      <formula>NOT(ISERROR(SEARCH("SIN FACTURA ",A2)))</formula>
    </cfRule>
  </conditionalFormatting>
  <conditionalFormatting sqref="J28:T28 J26:T26 J24:T24 J22:T22 J20:T20 J18:T18 J16:T16 J14:T14 J12:T12 J10:T10 J8:T8 A8:H8 A10:H10 A12:H12 A14:H14 A16:H16 A18:H18 A20:H20 A22:H22 A24:H24 A26:H26 A28:H28 A4:T4 J5:T6 A5:H6 I5:I28">
    <cfRule type="containsText" dxfId="2676" priority="26" operator="containsText" text="SIN FACTURA">
      <formula>NOT(ISERROR(SEARCH("SIN FACTURA",A4)))</formula>
    </cfRule>
  </conditionalFormatting>
  <conditionalFormatting sqref="C7:H7 J7:V7">
    <cfRule type="containsText" dxfId="2675" priority="24" operator="containsText" text="SIN FACTURA">
      <formula>NOT(ISERROR(SEARCH("SIN FACTURA",C7)))</formula>
    </cfRule>
  </conditionalFormatting>
  <conditionalFormatting sqref="C9:H9 J9:V9">
    <cfRule type="containsText" dxfId="2674" priority="23" operator="containsText" text="SIN FACTURA">
      <formula>NOT(ISERROR(SEARCH("SIN FACTURA",C9)))</formula>
    </cfRule>
  </conditionalFormatting>
  <conditionalFormatting sqref="C11:H11 J11:V11">
    <cfRule type="containsText" dxfId="2673" priority="22" operator="containsText" text="SIN FACTURA">
      <formula>NOT(ISERROR(SEARCH("SIN FACTURA",C11)))</formula>
    </cfRule>
  </conditionalFormatting>
  <conditionalFormatting sqref="C13:H13 J13:V13">
    <cfRule type="containsText" dxfId="2672" priority="21" operator="containsText" text="SIN FACTURA">
      <formula>NOT(ISERROR(SEARCH("SIN FACTURA",C13)))</formula>
    </cfRule>
  </conditionalFormatting>
  <conditionalFormatting sqref="C15:H15 J15:V15">
    <cfRule type="containsText" dxfId="2671" priority="20" operator="containsText" text="SIN FACTURA">
      <formula>NOT(ISERROR(SEARCH("SIN FACTURA",C15)))</formula>
    </cfRule>
  </conditionalFormatting>
  <conditionalFormatting sqref="C17:H17 J17:V17">
    <cfRule type="containsText" dxfId="2670" priority="19" operator="containsText" text="SIN FACTURA">
      <formula>NOT(ISERROR(SEARCH("SIN FACTURA",C17)))</formula>
    </cfRule>
  </conditionalFormatting>
  <conditionalFormatting sqref="C19:H19 J19:V19">
    <cfRule type="containsText" dxfId="2669" priority="18" operator="containsText" text="SIN FACTURA">
      <formula>NOT(ISERROR(SEARCH("SIN FACTURA",C19)))</formula>
    </cfRule>
  </conditionalFormatting>
  <conditionalFormatting sqref="C21:H21 J21:V21">
    <cfRule type="containsText" dxfId="2668" priority="17" operator="containsText" text="SIN FACTURA">
      <formula>NOT(ISERROR(SEARCH("SIN FACTURA",C21)))</formula>
    </cfRule>
  </conditionalFormatting>
  <conditionalFormatting sqref="C23:H23 J23:V23">
    <cfRule type="containsText" dxfId="2667" priority="16" operator="containsText" text="SIN FACTURA">
      <formula>NOT(ISERROR(SEARCH("SIN FACTURA",C23)))</formula>
    </cfRule>
  </conditionalFormatting>
  <conditionalFormatting sqref="C25:H25 J25:V25">
    <cfRule type="containsText" dxfId="2666" priority="15" operator="containsText" text="SIN FACTURA">
      <formula>NOT(ISERROR(SEARCH("SIN FACTURA",C25)))</formula>
    </cfRule>
  </conditionalFormatting>
  <conditionalFormatting sqref="C27:H27 J27:V27">
    <cfRule type="containsText" dxfId="2665" priority="14" operator="containsText" text="SIN FACTURA">
      <formula>NOT(ISERROR(SEARCH("SIN FACTURA",C27)))</formula>
    </cfRule>
  </conditionalFormatting>
  <conditionalFormatting sqref="A7:B7">
    <cfRule type="containsText" dxfId="2664" priority="12" operator="containsText" text="SIN FACTURA">
      <formula>NOT(ISERROR(SEARCH("SIN FACTURA",A7)))</formula>
    </cfRule>
  </conditionalFormatting>
  <conditionalFormatting sqref="A9:B9">
    <cfRule type="containsText" dxfId="2663" priority="11" operator="containsText" text="SIN FACTURA">
      <formula>NOT(ISERROR(SEARCH("SIN FACTURA",A9)))</formula>
    </cfRule>
  </conditionalFormatting>
  <conditionalFormatting sqref="A11:B11">
    <cfRule type="containsText" dxfId="2662" priority="10" operator="containsText" text="SIN FACTURA">
      <formula>NOT(ISERROR(SEARCH("SIN FACTURA",A11)))</formula>
    </cfRule>
  </conditionalFormatting>
  <conditionalFormatting sqref="A13:B13">
    <cfRule type="containsText" dxfId="2661" priority="9" operator="containsText" text="SIN FACTURA">
      <formula>NOT(ISERROR(SEARCH("SIN FACTURA",A13)))</formula>
    </cfRule>
  </conditionalFormatting>
  <conditionalFormatting sqref="A15:B15">
    <cfRule type="containsText" dxfId="2660" priority="8" operator="containsText" text="SIN FACTURA">
      <formula>NOT(ISERROR(SEARCH("SIN FACTURA",A15)))</formula>
    </cfRule>
  </conditionalFormatting>
  <conditionalFormatting sqref="A27:B27">
    <cfRule type="containsText" dxfId="2659" priority="2" operator="containsText" text="SIN FACTURA">
      <formula>NOT(ISERROR(SEARCH("SIN FACTURA",A27)))</formula>
    </cfRule>
  </conditionalFormatting>
  <conditionalFormatting sqref="A17:B17">
    <cfRule type="containsText" dxfId="2658" priority="7" operator="containsText" text="SIN FACTURA">
      <formula>NOT(ISERROR(SEARCH("SIN FACTURA",A17)))</formula>
    </cfRule>
  </conditionalFormatting>
  <conditionalFormatting sqref="A19:B19">
    <cfRule type="containsText" dxfId="2657" priority="6" operator="containsText" text="SIN FACTURA">
      <formula>NOT(ISERROR(SEARCH("SIN FACTURA",A19)))</formula>
    </cfRule>
  </conditionalFormatting>
  <conditionalFormatting sqref="A21:B21">
    <cfRule type="containsText" dxfId="2656" priority="5" operator="containsText" text="SIN FACTURA">
      <formula>NOT(ISERROR(SEARCH("SIN FACTURA",A21)))</formula>
    </cfRule>
  </conditionalFormatting>
  <conditionalFormatting sqref="A23:B23">
    <cfRule type="containsText" dxfId="2655" priority="4" operator="containsText" text="SIN FACTURA">
      <formula>NOT(ISERROR(SEARCH("SIN FACTURA",A23)))</formula>
    </cfRule>
  </conditionalFormatting>
  <conditionalFormatting sqref="A25:B25">
    <cfRule type="containsText" dxfId="2654" priority="3" operator="containsText" text="SIN FACTURA">
      <formula>NOT(ISERROR(SEARCH("SIN FACTURA",A25)))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62.xml><?xml version="1.0" encoding="utf-8"?>
<worksheet xmlns="http://schemas.openxmlformats.org/spreadsheetml/2006/main" xmlns:r="http://schemas.openxmlformats.org/officeDocument/2006/relationships">
  <sheetPr codeName="Hoja136"/>
  <dimension ref="A1:Y39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10"/>
    </sheetView>
  </sheetViews>
  <sheetFormatPr baseColWidth="10" defaultColWidth="10.875" defaultRowHeight="15.75"/>
  <cols>
    <col min="1" max="1" width="18" style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179</v>
      </c>
      <c r="B1" s="18" t="s">
        <v>123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9" si="0">F5-G5-H5</f>
        <v>0</v>
      </c>
      <c r="J5" s="44">
        <f>S5+T5</f>
        <v>0</v>
      </c>
      <c r="K5" s="44">
        <f>I5-J5</f>
        <v>0</v>
      </c>
      <c r="L5" s="45"/>
      <c r="M5" s="40"/>
      <c r="N5" s="43">
        <f t="shared" ref="N5:N39" si="1">I5-J5-M5-R5</f>
        <v>0</v>
      </c>
      <c r="O5" s="43">
        <f t="shared" ref="O5:O39" si="2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ref="J7:J39" si="3">S7+T7</f>
        <v>0</v>
      </c>
      <c r="K7" s="44">
        <f t="shared" ref="K7:K39" si="4">I7-J7</f>
        <v>0</v>
      </c>
      <c r="L7" s="45"/>
      <c r="M7" s="40"/>
      <c r="N7" s="43">
        <f t="shared" si="1"/>
        <v>0</v>
      </c>
      <c r="O7" s="43">
        <f t="shared" si="2"/>
        <v>0</v>
      </c>
      <c r="P7" s="46"/>
      <c r="Q7" s="40"/>
      <c r="R7" s="47"/>
      <c r="S7" s="47"/>
      <c r="T7" s="48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3"/>
        <v>0</v>
      </c>
      <c r="K9" s="44">
        <f t="shared" si="4"/>
        <v>0</v>
      </c>
      <c r="L9" s="45"/>
      <c r="M9" s="40"/>
      <c r="N9" s="43">
        <f t="shared" si="1"/>
        <v>0</v>
      </c>
      <c r="O9" s="43">
        <f t="shared" si="2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3"/>
        <v>0</v>
      </c>
      <c r="K11" s="44">
        <f t="shared" si="4"/>
        <v>0</v>
      </c>
      <c r="L11" s="45"/>
      <c r="M11" s="40"/>
      <c r="N11" s="43">
        <f t="shared" si="1"/>
        <v>0</v>
      </c>
      <c r="O11" s="43">
        <f t="shared" si="2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>S13+T13</f>
        <v>0</v>
      </c>
      <c r="K13" s="44">
        <f t="shared" si="4"/>
        <v>0</v>
      </c>
      <c r="L13" s="45"/>
      <c r="M13" s="40"/>
      <c r="N13" s="43">
        <f>I13-J13-M13-R13</f>
        <v>0</v>
      </c>
      <c r="O13" s="43">
        <f>R13+S13+T13</f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3"/>
        <v>0</v>
      </c>
      <c r="K15" s="44">
        <f t="shared" si="4"/>
        <v>0</v>
      </c>
      <c r="L15" s="45"/>
      <c r="M15" s="40"/>
      <c r="N15" s="43">
        <f t="shared" si="1"/>
        <v>0</v>
      </c>
      <c r="O15" s="43">
        <f t="shared" si="2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3"/>
        <v>0</v>
      </c>
      <c r="K17" s="44">
        <f t="shared" si="4"/>
        <v>0</v>
      </c>
      <c r="L17" s="45"/>
      <c r="M17" s="40"/>
      <c r="N17" s="43">
        <f t="shared" si="1"/>
        <v>0</v>
      </c>
      <c r="O17" s="43">
        <f t="shared" si="2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3"/>
        <v>0</v>
      </c>
      <c r="K19" s="44">
        <f t="shared" si="4"/>
        <v>0</v>
      </c>
      <c r="L19" s="45"/>
      <c r="M19" s="40"/>
      <c r="N19" s="43">
        <f t="shared" si="1"/>
        <v>0</v>
      </c>
      <c r="O19" s="43">
        <f t="shared" si="2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3"/>
        <v>0</v>
      </c>
      <c r="K21" s="44">
        <f t="shared" si="4"/>
        <v>0</v>
      </c>
      <c r="L21" s="45"/>
      <c r="M21" s="40"/>
      <c r="N21" s="43">
        <f t="shared" si="1"/>
        <v>0</v>
      </c>
      <c r="O21" s="43">
        <f t="shared" si="2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3"/>
        <v>0</v>
      </c>
      <c r="K23" s="44">
        <f t="shared" si="4"/>
        <v>0</v>
      </c>
      <c r="L23" s="45"/>
      <c r="M23" s="40"/>
      <c r="N23" s="43">
        <f t="shared" si="1"/>
        <v>0</v>
      </c>
      <c r="O23" s="43">
        <f t="shared" si="2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3"/>
        <v>0</v>
      </c>
      <c r="K25" s="44">
        <f t="shared" si="4"/>
        <v>0</v>
      </c>
      <c r="L25" s="45"/>
      <c r="M25" s="40"/>
      <c r="N25" s="43">
        <f t="shared" si="1"/>
        <v>0</v>
      </c>
      <c r="O25" s="43">
        <f t="shared" si="2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3"/>
        <v>0</v>
      </c>
      <c r="K27" s="44">
        <f t="shared" si="4"/>
        <v>0</v>
      </c>
      <c r="L27" s="45"/>
      <c r="M27" s="40"/>
      <c r="N27" s="43">
        <f t="shared" si="1"/>
        <v>0</v>
      </c>
      <c r="O27" s="43">
        <f t="shared" si="2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3"/>
        <v>0</v>
      </c>
      <c r="K29" s="44">
        <f t="shared" si="4"/>
        <v>0</v>
      </c>
      <c r="L29" s="45"/>
      <c r="M29" s="40"/>
      <c r="N29" s="43">
        <f t="shared" si="1"/>
        <v>0</v>
      </c>
      <c r="O29" s="43">
        <f t="shared" si="2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3"/>
        <v>0</v>
      </c>
      <c r="K31" s="44">
        <f t="shared" si="4"/>
        <v>0</v>
      </c>
      <c r="L31" s="45"/>
      <c r="M31" s="40"/>
      <c r="N31" s="43">
        <f t="shared" si="1"/>
        <v>0</v>
      </c>
      <c r="O31" s="43">
        <f t="shared" si="2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3"/>
        <v>0</v>
      </c>
      <c r="K33" s="44">
        <f t="shared" si="4"/>
        <v>0</v>
      </c>
      <c r="L33" s="45"/>
      <c r="M33" s="40"/>
      <c r="N33" s="43">
        <f t="shared" si="1"/>
        <v>0</v>
      </c>
      <c r="O33" s="43">
        <f t="shared" si="2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3"/>
        <v>0</v>
      </c>
      <c r="K35" s="44">
        <f t="shared" si="4"/>
        <v>0</v>
      </c>
      <c r="L35" s="45"/>
      <c r="M35" s="40"/>
      <c r="N35" s="43">
        <f t="shared" si="1"/>
        <v>0</v>
      </c>
      <c r="O35" s="43">
        <f t="shared" si="2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3"/>
        <v>0</v>
      </c>
      <c r="K37" s="44">
        <f t="shared" si="4"/>
        <v>0</v>
      </c>
      <c r="L37" s="45"/>
      <c r="M37" s="40"/>
      <c r="N37" s="43">
        <f t="shared" si="1"/>
        <v>0</v>
      </c>
      <c r="O37" s="43">
        <f t="shared" si="2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50"/>
      <c r="B39" s="51"/>
      <c r="C39" s="52"/>
      <c r="D39" s="50"/>
      <c r="E39" s="50"/>
      <c r="F39" s="50"/>
      <c r="G39" s="43">
        <f>F39*6%</f>
        <v>0</v>
      </c>
      <c r="H39" s="53"/>
      <c r="I39" s="78">
        <f t="shared" si="0"/>
        <v>0</v>
      </c>
      <c r="J39" s="54">
        <f t="shared" si="3"/>
        <v>0</v>
      </c>
      <c r="K39" s="54">
        <f t="shared" si="4"/>
        <v>0</v>
      </c>
      <c r="L39" s="55"/>
      <c r="M39" s="50"/>
      <c r="N39" s="53">
        <f t="shared" si="1"/>
        <v>0</v>
      </c>
      <c r="O39" s="53">
        <f t="shared" si="2"/>
        <v>0</v>
      </c>
      <c r="P39" s="56"/>
      <c r="Q39" s="50"/>
      <c r="R39" s="50"/>
      <c r="S39" s="50"/>
      <c r="T39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653" priority="27" operator="containsText" text="SIN FACTURA ">
      <formula>NOT(ISERROR(SEARCH("SIN FACTURA ",A2)))</formula>
    </cfRule>
  </conditionalFormatting>
  <conditionalFormatting sqref="J39:T39 J37:T37 J35:T35 J33:T33 J31:T31 J29:T29 J27:T27 J25:T25 J23:T23 J21:T21 J19:T19 J9:T17 A9:H17 A19:H19 A21:H21 A23:H23 A25:H25 A27:H27 A29:H29 A31:H31 A33:H33 A35:H35 A37:H37 A39:H39 A4:T4 J5:T7 A5:H7 I5:I39">
    <cfRule type="containsText" dxfId="2652" priority="26" operator="containsText" text="SIN FACTURA">
      <formula>NOT(ISERROR(SEARCH("SIN FACTURA",A4)))</formula>
    </cfRule>
  </conditionalFormatting>
  <conditionalFormatting sqref="C8:H8 J8:V8">
    <cfRule type="containsText" dxfId="2651" priority="25" operator="containsText" text="SIN FACTURA">
      <formula>NOT(ISERROR(SEARCH("SIN FACTURA",C8)))</formula>
    </cfRule>
  </conditionalFormatting>
  <conditionalFormatting sqref="C18:H18 J18:V18">
    <cfRule type="containsText" dxfId="2650" priority="24" operator="containsText" text="SIN FACTURA">
      <formula>NOT(ISERROR(SEARCH("SIN FACTURA",C18)))</formula>
    </cfRule>
  </conditionalFormatting>
  <conditionalFormatting sqref="C20:H20 J20:V20">
    <cfRule type="containsText" dxfId="2649" priority="23" operator="containsText" text="SIN FACTURA">
      <formula>NOT(ISERROR(SEARCH("SIN FACTURA",C20)))</formula>
    </cfRule>
  </conditionalFormatting>
  <conditionalFormatting sqref="C22:H22 J22:V22">
    <cfRule type="containsText" dxfId="2648" priority="22" operator="containsText" text="SIN FACTURA">
      <formula>NOT(ISERROR(SEARCH("SIN FACTURA",C22)))</formula>
    </cfRule>
  </conditionalFormatting>
  <conditionalFormatting sqref="C24:H24 J24:V24">
    <cfRule type="containsText" dxfId="2647" priority="21" operator="containsText" text="SIN FACTURA">
      <formula>NOT(ISERROR(SEARCH("SIN FACTURA",C24)))</formula>
    </cfRule>
  </conditionalFormatting>
  <conditionalFormatting sqref="C26:H26 J26:V26">
    <cfRule type="containsText" dxfId="2646" priority="20" operator="containsText" text="SIN FACTURA">
      <formula>NOT(ISERROR(SEARCH("SIN FACTURA",C26)))</formula>
    </cfRule>
  </conditionalFormatting>
  <conditionalFormatting sqref="C28:H28 J28:V28">
    <cfRule type="containsText" dxfId="2645" priority="19" operator="containsText" text="SIN FACTURA">
      <formula>NOT(ISERROR(SEARCH("SIN FACTURA",C28)))</formula>
    </cfRule>
  </conditionalFormatting>
  <conditionalFormatting sqref="C30:H30 J30:V30">
    <cfRule type="containsText" dxfId="2644" priority="18" operator="containsText" text="SIN FACTURA">
      <formula>NOT(ISERROR(SEARCH("SIN FACTURA",C30)))</formula>
    </cfRule>
  </conditionalFormatting>
  <conditionalFormatting sqref="C32:H32 J32:V32">
    <cfRule type="containsText" dxfId="2643" priority="17" operator="containsText" text="SIN FACTURA">
      <formula>NOT(ISERROR(SEARCH("SIN FACTURA",C32)))</formula>
    </cfRule>
  </conditionalFormatting>
  <conditionalFormatting sqref="C34:H34 J34:V34">
    <cfRule type="containsText" dxfId="2642" priority="16" operator="containsText" text="SIN FACTURA">
      <formula>NOT(ISERROR(SEARCH("SIN FACTURA",C34)))</formula>
    </cfRule>
  </conditionalFormatting>
  <conditionalFormatting sqref="C36:H36 J36:V36">
    <cfRule type="containsText" dxfId="2641" priority="15" operator="containsText" text="SIN FACTURA">
      <formula>NOT(ISERROR(SEARCH("SIN FACTURA",C36)))</formula>
    </cfRule>
  </conditionalFormatting>
  <conditionalFormatting sqref="C38:H38 J38:V38">
    <cfRule type="containsText" dxfId="2640" priority="14" operator="containsText" text="SIN FACTURA">
      <formula>NOT(ISERROR(SEARCH("SIN FACTURA",C38)))</formula>
    </cfRule>
  </conditionalFormatting>
  <conditionalFormatting sqref="A8:B8">
    <cfRule type="containsText" dxfId="2639" priority="13" operator="containsText" text="SIN FACTURA">
      <formula>NOT(ISERROR(SEARCH("SIN FACTURA",A8)))</formula>
    </cfRule>
  </conditionalFormatting>
  <conditionalFormatting sqref="A18:B18">
    <cfRule type="containsText" dxfId="2638" priority="12" operator="containsText" text="SIN FACTURA">
      <formula>NOT(ISERROR(SEARCH("SIN FACTURA",A18)))</formula>
    </cfRule>
  </conditionalFormatting>
  <conditionalFormatting sqref="A20:B20">
    <cfRule type="containsText" dxfId="2637" priority="11" operator="containsText" text="SIN FACTURA">
      <formula>NOT(ISERROR(SEARCH("SIN FACTURA",A20)))</formula>
    </cfRule>
  </conditionalFormatting>
  <conditionalFormatting sqref="A22:B22">
    <cfRule type="containsText" dxfId="2636" priority="10" operator="containsText" text="SIN FACTURA">
      <formula>NOT(ISERROR(SEARCH("SIN FACTURA",A22)))</formula>
    </cfRule>
  </conditionalFormatting>
  <conditionalFormatting sqref="A24:B24">
    <cfRule type="containsText" dxfId="2635" priority="9" operator="containsText" text="SIN FACTURA">
      <formula>NOT(ISERROR(SEARCH("SIN FACTURA",A24)))</formula>
    </cfRule>
  </conditionalFormatting>
  <conditionalFormatting sqref="A26:B26">
    <cfRule type="containsText" dxfId="2634" priority="8" operator="containsText" text="SIN FACTURA">
      <formula>NOT(ISERROR(SEARCH("SIN FACTURA",A26)))</formula>
    </cfRule>
  </conditionalFormatting>
  <conditionalFormatting sqref="A38:B38">
    <cfRule type="containsText" dxfId="2633" priority="2" operator="containsText" text="SIN FACTURA">
      <formula>NOT(ISERROR(SEARCH("SIN FACTURA",A38)))</formula>
    </cfRule>
  </conditionalFormatting>
  <conditionalFormatting sqref="A28:B28">
    <cfRule type="containsText" dxfId="2632" priority="7" operator="containsText" text="SIN FACTURA">
      <formula>NOT(ISERROR(SEARCH("SIN FACTURA",A28)))</formula>
    </cfRule>
  </conditionalFormatting>
  <conditionalFormatting sqref="A30:B30">
    <cfRule type="containsText" dxfId="2631" priority="6" operator="containsText" text="SIN FACTURA">
      <formula>NOT(ISERROR(SEARCH("SIN FACTURA",A30)))</formula>
    </cfRule>
  </conditionalFormatting>
  <conditionalFormatting sqref="A32:B32">
    <cfRule type="containsText" dxfId="2630" priority="5" operator="containsText" text="SIN FACTURA">
      <formula>NOT(ISERROR(SEARCH("SIN FACTURA",A32)))</formula>
    </cfRule>
  </conditionalFormatting>
  <conditionalFormatting sqref="A34:B34">
    <cfRule type="containsText" dxfId="2629" priority="4" operator="containsText" text="SIN FACTURA">
      <formula>NOT(ISERROR(SEARCH("SIN FACTURA",A34)))</formula>
    </cfRule>
  </conditionalFormatting>
  <conditionalFormatting sqref="A36:B36">
    <cfRule type="containsText" dxfId="2628" priority="3" operator="containsText" text="SIN FACTURA">
      <formula>NOT(ISERROR(SEARCH("SIN FACTURA",A36)))</formula>
    </cfRule>
  </conditionalFormatting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>
  <sheetPr codeName="Hoja29"/>
  <dimension ref="A1:Y32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18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229</v>
      </c>
      <c r="B1" s="18" t="s">
        <v>111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1" si="0">F5-G5-H5</f>
        <v>0</v>
      </c>
      <c r="J5" s="44">
        <f>S5+T5</f>
        <v>0</v>
      </c>
      <c r="K5" s="44">
        <f t="shared" ref="K5:K31" si="1">I5-J5</f>
        <v>0</v>
      </c>
      <c r="L5" s="45"/>
      <c r="M5" s="40"/>
      <c r="N5" s="43">
        <f>I5-J5-M5-R5</f>
        <v>0</v>
      </c>
      <c r="O5" s="43">
        <f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ref="J7:J31" si="2">S7+T7</f>
        <v>0</v>
      </c>
      <c r="K7" s="44">
        <f t="shared" si="1"/>
        <v>0</v>
      </c>
      <c r="L7" s="45"/>
      <c r="M7" s="40"/>
      <c r="N7" s="43">
        <f t="shared" ref="N7:N31" si="3">I7-J7-M7-R7</f>
        <v>0</v>
      </c>
      <c r="O7" s="43">
        <f t="shared" ref="O7:O31" si="4">R7+S7+T7</f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2"/>
        <v>0</v>
      </c>
      <c r="K9" s="44">
        <f t="shared" si="1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2"/>
        <v>0</v>
      </c>
      <c r="K11" s="44">
        <f t="shared" si="1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2"/>
        <v>0</v>
      </c>
      <c r="K13" s="44">
        <f t="shared" si="1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2"/>
        <v>0</v>
      </c>
      <c r="K15" s="44">
        <f t="shared" si="1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2"/>
        <v>0</v>
      </c>
      <c r="K17" s="44">
        <f t="shared" si="1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2"/>
        <v>0</v>
      </c>
      <c r="K19" s="44">
        <f t="shared" si="1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2"/>
        <v>0</v>
      </c>
      <c r="K21" s="44">
        <f t="shared" si="1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2"/>
        <v>0</v>
      </c>
      <c r="K23" s="44">
        <f t="shared" si="1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2"/>
        <v>0</v>
      </c>
      <c r="K25" s="44">
        <f t="shared" si="1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2"/>
        <v>0</v>
      </c>
      <c r="K27" s="44">
        <f t="shared" si="1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2"/>
        <v>0</v>
      </c>
      <c r="K29" s="44">
        <f t="shared" si="1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2"/>
        <v>0</v>
      </c>
      <c r="K31" s="44">
        <f t="shared" si="1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69"/>
      <c r="B32" s="70"/>
      <c r="C32" s="71"/>
      <c r="D32" s="69"/>
      <c r="E32" s="69"/>
      <c r="F32" s="69"/>
      <c r="G32" s="69"/>
      <c r="H32" s="69"/>
      <c r="I32" s="72">
        <f t="shared" ref="I32" si="5">F32-G32</f>
        <v>0</v>
      </c>
      <c r="J32" s="72">
        <f t="shared" ref="J32" si="6">S32+T32</f>
        <v>0</v>
      </c>
      <c r="K32" s="72">
        <f t="shared" ref="K32" si="7">I32-J32</f>
        <v>0</v>
      </c>
      <c r="L32" s="73"/>
      <c r="M32" s="69"/>
      <c r="N32" s="74">
        <f t="shared" ref="N32" si="8">I32-J32-M32-R32</f>
        <v>0</v>
      </c>
      <c r="O32" s="74">
        <f t="shared" ref="O32" si="9">R32+S32+T32</f>
        <v>0</v>
      </c>
      <c r="P32" s="75"/>
      <c r="Q32" s="69"/>
      <c r="R32" s="69"/>
      <c r="S32" s="69"/>
      <c r="T32" s="76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2627" priority="28" operator="containsText" text="SIN FACTURA ">
      <formula>NOT(ISERROR(SEARCH("SIN FACTURA ",A2)))</formula>
    </cfRule>
  </conditionalFormatting>
  <conditionalFormatting sqref="A32:T32 A4:T4 J5:T9 I5:I31 A5:H9">
    <cfRule type="containsText" dxfId="2626" priority="27" operator="containsText" text="SIN FACTURA">
      <formula>NOT(ISERROR(SEARCH("SIN FACTURA",A4)))</formula>
    </cfRule>
  </conditionalFormatting>
  <conditionalFormatting sqref="J31:T31 J29:T29 J27:T27 J25:T25 J23:T23 J21:T21 J19:T19 J17:T17 J15:T15 J13:T13 J11:T11 A11:H11 A13:H13 A15:H15 A17:H17 A19:H19 A21:H21 A23:H23 A25:H25 A27:H27 A29:H29 A31:H31">
    <cfRule type="containsText" dxfId="2625" priority="26" operator="containsText" text="SIN FACTURA">
      <formula>NOT(ISERROR(SEARCH("SIN FACTURA",A11)))</formula>
    </cfRule>
  </conditionalFormatting>
  <conditionalFormatting sqref="C10:H10 J10:V10">
    <cfRule type="containsText" dxfId="2624" priority="24" operator="containsText" text="SIN FACTURA">
      <formula>NOT(ISERROR(SEARCH("SIN FACTURA",C10)))</formula>
    </cfRule>
  </conditionalFormatting>
  <conditionalFormatting sqref="C12:H12 J12:V12">
    <cfRule type="containsText" dxfId="2623" priority="23" operator="containsText" text="SIN FACTURA">
      <formula>NOT(ISERROR(SEARCH("SIN FACTURA",C12)))</formula>
    </cfRule>
  </conditionalFormatting>
  <conditionalFormatting sqref="C14:H14 J14:V14">
    <cfRule type="containsText" dxfId="2622" priority="22" operator="containsText" text="SIN FACTURA">
      <formula>NOT(ISERROR(SEARCH("SIN FACTURA",C14)))</formula>
    </cfRule>
  </conditionalFormatting>
  <conditionalFormatting sqref="C16:H16 J16:V16">
    <cfRule type="containsText" dxfId="2621" priority="21" operator="containsText" text="SIN FACTURA">
      <formula>NOT(ISERROR(SEARCH("SIN FACTURA",C16)))</formula>
    </cfRule>
  </conditionalFormatting>
  <conditionalFormatting sqref="C18:H18 J18:V18">
    <cfRule type="containsText" dxfId="2620" priority="20" operator="containsText" text="SIN FACTURA">
      <formula>NOT(ISERROR(SEARCH("SIN FACTURA",C18)))</formula>
    </cfRule>
  </conditionalFormatting>
  <conditionalFormatting sqref="C20:H20 J20:V20">
    <cfRule type="containsText" dxfId="2619" priority="19" operator="containsText" text="SIN FACTURA">
      <formula>NOT(ISERROR(SEARCH("SIN FACTURA",C20)))</formula>
    </cfRule>
  </conditionalFormatting>
  <conditionalFormatting sqref="C22:H22 J22:V22">
    <cfRule type="containsText" dxfId="2618" priority="18" operator="containsText" text="SIN FACTURA">
      <formula>NOT(ISERROR(SEARCH("SIN FACTURA",C22)))</formula>
    </cfRule>
  </conditionalFormatting>
  <conditionalFormatting sqref="C24:H24 J24:V24">
    <cfRule type="containsText" dxfId="2617" priority="17" operator="containsText" text="SIN FACTURA">
      <formula>NOT(ISERROR(SEARCH("SIN FACTURA",C24)))</formula>
    </cfRule>
  </conditionalFormatting>
  <conditionalFormatting sqref="C26:H26 J26:V26">
    <cfRule type="containsText" dxfId="2616" priority="16" operator="containsText" text="SIN FACTURA">
      <formula>NOT(ISERROR(SEARCH("SIN FACTURA",C26)))</formula>
    </cfRule>
  </conditionalFormatting>
  <conditionalFormatting sqref="C28:H28 J28:V28">
    <cfRule type="containsText" dxfId="2615" priority="15" operator="containsText" text="SIN FACTURA">
      <formula>NOT(ISERROR(SEARCH("SIN FACTURA",C28)))</formula>
    </cfRule>
  </conditionalFormatting>
  <conditionalFormatting sqref="C30:H30 J30:V30">
    <cfRule type="containsText" dxfId="2614" priority="14" operator="containsText" text="SIN FACTURA">
      <formula>NOT(ISERROR(SEARCH("SIN FACTURA",C30)))</formula>
    </cfRule>
  </conditionalFormatting>
  <conditionalFormatting sqref="A10:B10">
    <cfRule type="containsText" dxfId="2613" priority="12" operator="containsText" text="SIN FACTURA">
      <formula>NOT(ISERROR(SEARCH("SIN FACTURA",A10)))</formula>
    </cfRule>
  </conditionalFormatting>
  <conditionalFormatting sqref="A12:B12">
    <cfRule type="containsText" dxfId="2612" priority="11" operator="containsText" text="SIN FACTURA">
      <formula>NOT(ISERROR(SEARCH("SIN FACTURA",A12)))</formula>
    </cfRule>
  </conditionalFormatting>
  <conditionalFormatting sqref="A14:B14">
    <cfRule type="containsText" dxfId="2611" priority="10" operator="containsText" text="SIN FACTURA">
      <formula>NOT(ISERROR(SEARCH("SIN FACTURA",A14)))</formula>
    </cfRule>
  </conditionalFormatting>
  <conditionalFormatting sqref="A16:B16">
    <cfRule type="containsText" dxfId="2610" priority="9" operator="containsText" text="SIN FACTURA">
      <formula>NOT(ISERROR(SEARCH("SIN FACTURA",A16)))</formula>
    </cfRule>
  </conditionalFormatting>
  <conditionalFormatting sqref="A18:B18">
    <cfRule type="containsText" dxfId="2609" priority="8" operator="containsText" text="SIN FACTURA">
      <formula>NOT(ISERROR(SEARCH("SIN FACTURA",A18)))</formula>
    </cfRule>
  </conditionalFormatting>
  <conditionalFormatting sqref="A30:B30">
    <cfRule type="containsText" dxfId="2608" priority="2" operator="containsText" text="SIN FACTURA">
      <formula>NOT(ISERROR(SEARCH("SIN FACTURA",A30)))</formula>
    </cfRule>
  </conditionalFormatting>
  <conditionalFormatting sqref="A20:B20">
    <cfRule type="containsText" dxfId="2607" priority="7" operator="containsText" text="SIN FACTURA">
      <formula>NOT(ISERROR(SEARCH("SIN FACTURA",A20)))</formula>
    </cfRule>
  </conditionalFormatting>
  <conditionalFormatting sqref="A22:B22">
    <cfRule type="containsText" dxfId="2606" priority="6" operator="containsText" text="SIN FACTURA">
      <formula>NOT(ISERROR(SEARCH("SIN FACTURA",A22)))</formula>
    </cfRule>
  </conditionalFormatting>
  <conditionalFormatting sqref="A24:B24">
    <cfRule type="containsText" dxfId="2605" priority="5" operator="containsText" text="SIN FACTURA">
      <formula>NOT(ISERROR(SEARCH("SIN FACTURA",A24)))</formula>
    </cfRule>
  </conditionalFormatting>
  <conditionalFormatting sqref="A26:B26">
    <cfRule type="containsText" dxfId="2604" priority="4" operator="containsText" text="SIN FACTURA">
      <formula>NOT(ISERROR(SEARCH("SIN FACTURA",A26)))</formula>
    </cfRule>
  </conditionalFormatting>
  <conditionalFormatting sqref="A28:B28">
    <cfRule type="containsText" dxfId="2603" priority="3" operator="containsText" text="SIN FACTURA">
      <formula>NOT(ISERROR(SEARCH("SIN FACTURA",A28)))</formula>
    </cfRule>
  </conditionalFormatting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>
  <dimension ref="A1:Y37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14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500</v>
      </c>
      <c r="B1" s="18" t="s">
        <v>284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7" si="0">F5-G5-H5</f>
        <v>0</v>
      </c>
      <c r="J5" s="44">
        <f t="shared" ref="J5:J37" si="1">S5+T5</f>
        <v>0</v>
      </c>
      <c r="K5" s="44">
        <f t="shared" ref="K5:K37" si="2">I5-J5</f>
        <v>0</v>
      </c>
      <c r="L5" s="45"/>
      <c r="M5" s="40"/>
      <c r="N5" s="43">
        <f t="shared" ref="N5:N37" si="3">I5-J5-M5-R5</f>
        <v>0</v>
      </c>
      <c r="O5" s="43">
        <f t="shared" ref="O5:O37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2"/>
      <c r="D6" s="33"/>
      <c r="E6" s="34"/>
      <c r="F6" s="32"/>
      <c r="G6" s="32"/>
      <c r="H6" s="32"/>
      <c r="I6" s="37"/>
      <c r="J6" s="37"/>
      <c r="K6" s="35"/>
      <c r="L6" s="35"/>
      <c r="M6" s="35"/>
      <c r="N6" s="36"/>
      <c r="O6" s="32"/>
      <c r="P6" s="37"/>
      <c r="Q6" s="37"/>
      <c r="R6" s="38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>S11+T11</f>
        <v>0</v>
      </c>
      <c r="K11" s="44">
        <f t="shared" si="2"/>
        <v>0</v>
      </c>
      <c r="L11" s="45"/>
      <c r="M11" s="40"/>
      <c r="N11" s="43">
        <f>I11-J11-M11-R11</f>
        <v>0</v>
      </c>
      <c r="O11" s="43">
        <f>R11+S11+T11</f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50"/>
      <c r="B37" s="51"/>
      <c r="C37" s="52"/>
      <c r="D37" s="50"/>
      <c r="E37" s="50"/>
      <c r="F37" s="50"/>
      <c r="G37" s="43">
        <f>F37*6%</f>
        <v>0</v>
      </c>
      <c r="H37" s="53"/>
      <c r="I37" s="78">
        <f t="shared" si="0"/>
        <v>0</v>
      </c>
      <c r="J37" s="54">
        <f t="shared" si="1"/>
        <v>0</v>
      </c>
      <c r="K37" s="54">
        <f t="shared" si="2"/>
        <v>0</v>
      </c>
      <c r="L37" s="55"/>
      <c r="M37" s="50"/>
      <c r="N37" s="53">
        <f t="shared" si="3"/>
        <v>0</v>
      </c>
      <c r="O37" s="53">
        <f t="shared" si="4"/>
        <v>0</v>
      </c>
      <c r="P37" s="56"/>
      <c r="Q37" s="50"/>
      <c r="R37" s="50"/>
      <c r="S37" s="50"/>
      <c r="T37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602" priority="26" operator="containsText" text="SIN FACTURA ">
      <formula>NOT(ISERROR(SEARCH("SIN FACTURA ",A2)))</formula>
    </cfRule>
  </conditionalFormatting>
  <conditionalFormatting sqref="J37:T37 J35:T35 J33:T33 J31:T31 J29:T29 J27:T27 J25:T25 J23:T23 J21:T21 J19:T19 J17:T17 J7:T15 A7:H15 A17:H17 A19:H19 A21:H21 A23:H23 A25:H25 A27:H27 A29:H29 A31:H31 A33:H33 A35:H35 A37:H37 A4:T4 J5:T5 I5:I37 A5:H5">
    <cfRule type="containsText" dxfId="2601" priority="25" operator="containsText" text="SIN FACTURA">
      <formula>NOT(ISERROR(SEARCH("SIN FACTURA",A4)))</formula>
    </cfRule>
  </conditionalFormatting>
  <conditionalFormatting sqref="C6:H6 J6:V6">
    <cfRule type="containsText" dxfId="2600" priority="24" operator="containsText" text="SIN FACTURA">
      <formula>NOT(ISERROR(SEARCH("SIN FACTURA",C6)))</formula>
    </cfRule>
  </conditionalFormatting>
  <conditionalFormatting sqref="C16:H16 J16:V16">
    <cfRule type="containsText" dxfId="2599" priority="23" operator="containsText" text="SIN FACTURA">
      <formula>NOT(ISERROR(SEARCH("SIN FACTURA",C16)))</formula>
    </cfRule>
  </conditionalFormatting>
  <conditionalFormatting sqref="C18:H18 J18:V18">
    <cfRule type="containsText" dxfId="2598" priority="22" operator="containsText" text="SIN FACTURA">
      <formula>NOT(ISERROR(SEARCH("SIN FACTURA",C18)))</formula>
    </cfRule>
  </conditionalFormatting>
  <conditionalFormatting sqref="C20:H20 J20:V20">
    <cfRule type="containsText" dxfId="2597" priority="21" operator="containsText" text="SIN FACTURA">
      <formula>NOT(ISERROR(SEARCH("SIN FACTURA",C20)))</formula>
    </cfRule>
  </conditionalFormatting>
  <conditionalFormatting sqref="C22:H22 J22:V22">
    <cfRule type="containsText" dxfId="2596" priority="20" operator="containsText" text="SIN FACTURA">
      <formula>NOT(ISERROR(SEARCH("SIN FACTURA",C22)))</formula>
    </cfRule>
  </conditionalFormatting>
  <conditionalFormatting sqref="C24:H24 J24:V24">
    <cfRule type="containsText" dxfId="2595" priority="19" operator="containsText" text="SIN FACTURA">
      <formula>NOT(ISERROR(SEARCH("SIN FACTURA",C24)))</formula>
    </cfRule>
  </conditionalFormatting>
  <conditionalFormatting sqref="C26:H26 J26:V26">
    <cfRule type="containsText" dxfId="2594" priority="18" operator="containsText" text="SIN FACTURA">
      <formula>NOT(ISERROR(SEARCH("SIN FACTURA",C26)))</formula>
    </cfRule>
  </conditionalFormatting>
  <conditionalFormatting sqref="C28:H28 J28:V28">
    <cfRule type="containsText" dxfId="2593" priority="17" operator="containsText" text="SIN FACTURA">
      <formula>NOT(ISERROR(SEARCH("SIN FACTURA",C28)))</formula>
    </cfRule>
  </conditionalFormatting>
  <conditionalFormatting sqref="C30:H30 J30:V30">
    <cfRule type="containsText" dxfId="2592" priority="16" operator="containsText" text="SIN FACTURA">
      <formula>NOT(ISERROR(SEARCH("SIN FACTURA",C30)))</formula>
    </cfRule>
  </conditionalFormatting>
  <conditionalFormatting sqref="C32:H32 J32:V32">
    <cfRule type="containsText" dxfId="2591" priority="15" operator="containsText" text="SIN FACTURA">
      <formula>NOT(ISERROR(SEARCH("SIN FACTURA",C32)))</formula>
    </cfRule>
  </conditionalFormatting>
  <conditionalFormatting sqref="C34:H34 J34:V34">
    <cfRule type="containsText" dxfId="2590" priority="14" operator="containsText" text="SIN FACTURA">
      <formula>NOT(ISERROR(SEARCH("SIN FACTURA",C34)))</formula>
    </cfRule>
  </conditionalFormatting>
  <conditionalFormatting sqref="C36:H36 J36:V36">
    <cfRule type="containsText" dxfId="2589" priority="13" operator="containsText" text="SIN FACTURA">
      <formula>NOT(ISERROR(SEARCH("SIN FACTURA",C36)))</formula>
    </cfRule>
  </conditionalFormatting>
  <conditionalFormatting sqref="A6:B6">
    <cfRule type="containsText" dxfId="2588" priority="12" operator="containsText" text="SIN FACTURA">
      <formula>NOT(ISERROR(SEARCH("SIN FACTURA",A6)))</formula>
    </cfRule>
  </conditionalFormatting>
  <conditionalFormatting sqref="A16:B16">
    <cfRule type="containsText" dxfId="2587" priority="11" operator="containsText" text="SIN FACTURA">
      <formula>NOT(ISERROR(SEARCH("SIN FACTURA",A16)))</formula>
    </cfRule>
  </conditionalFormatting>
  <conditionalFormatting sqref="A18:B18">
    <cfRule type="containsText" dxfId="2586" priority="10" operator="containsText" text="SIN FACTURA">
      <formula>NOT(ISERROR(SEARCH("SIN FACTURA",A18)))</formula>
    </cfRule>
  </conditionalFormatting>
  <conditionalFormatting sqref="A20:B20">
    <cfRule type="containsText" dxfId="2585" priority="9" operator="containsText" text="SIN FACTURA">
      <formula>NOT(ISERROR(SEARCH("SIN FACTURA",A20)))</formula>
    </cfRule>
  </conditionalFormatting>
  <conditionalFormatting sqref="A22:B22">
    <cfRule type="containsText" dxfId="2584" priority="8" operator="containsText" text="SIN FACTURA">
      <formula>NOT(ISERROR(SEARCH("SIN FACTURA",A22)))</formula>
    </cfRule>
  </conditionalFormatting>
  <conditionalFormatting sqref="A24:B24">
    <cfRule type="containsText" dxfId="2583" priority="7" operator="containsText" text="SIN FACTURA">
      <formula>NOT(ISERROR(SEARCH("SIN FACTURA",A24)))</formula>
    </cfRule>
  </conditionalFormatting>
  <conditionalFormatting sqref="A36:B36">
    <cfRule type="containsText" dxfId="2582" priority="1" operator="containsText" text="SIN FACTURA">
      <formula>NOT(ISERROR(SEARCH("SIN FACTURA",A36)))</formula>
    </cfRule>
  </conditionalFormatting>
  <conditionalFormatting sqref="A26:B26">
    <cfRule type="containsText" dxfId="2581" priority="6" operator="containsText" text="SIN FACTURA">
      <formula>NOT(ISERROR(SEARCH("SIN FACTURA",A26)))</formula>
    </cfRule>
  </conditionalFormatting>
  <conditionalFormatting sqref="A28:B28">
    <cfRule type="containsText" dxfId="2580" priority="5" operator="containsText" text="SIN FACTURA">
      <formula>NOT(ISERROR(SEARCH("SIN FACTURA",A28)))</formula>
    </cfRule>
  </conditionalFormatting>
  <conditionalFormatting sqref="A30:B30">
    <cfRule type="containsText" dxfId="2579" priority="4" operator="containsText" text="SIN FACTURA">
      <formula>NOT(ISERROR(SEARCH("SIN FACTURA",A30)))</formula>
    </cfRule>
  </conditionalFormatting>
  <conditionalFormatting sqref="A32:B32">
    <cfRule type="containsText" dxfId="2578" priority="3" operator="containsText" text="SIN FACTURA">
      <formula>NOT(ISERROR(SEARCH("SIN FACTURA",A32)))</formula>
    </cfRule>
  </conditionalFormatting>
  <conditionalFormatting sqref="A34:B34">
    <cfRule type="containsText" dxfId="2577" priority="2" operator="containsText" text="SIN FACTURA">
      <formula>NOT(ISERROR(SEARCH("SIN FACTURA",A34)))</formula>
    </cfRule>
  </conditionalFormatting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>
  <sheetPr codeName="Hoja138"/>
  <dimension ref="A1:Y33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14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9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286">
        <v>19</v>
      </c>
      <c r="B1" s="287" t="s">
        <v>65</v>
      </c>
      <c r="C1" s="288"/>
      <c r="D1" s="197"/>
      <c r="E1" s="289"/>
      <c r="F1" s="5"/>
      <c r="G1" s="5"/>
      <c r="H1" s="5"/>
      <c r="I1" s="5"/>
      <c r="J1" s="5"/>
      <c r="K1" s="5"/>
      <c r="L1" s="5"/>
      <c r="M1" s="5"/>
      <c r="N1" s="5"/>
      <c r="O1" s="5"/>
      <c r="P1" s="16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3" si="0">F5-G5-H5</f>
        <v>0</v>
      </c>
      <c r="J5" s="44">
        <f t="shared" ref="J5:J33" si="1">S5+T5</f>
        <v>0</v>
      </c>
      <c r="K5" s="44">
        <f t="shared" ref="K5:K33" si="2">I5-J5</f>
        <v>0</v>
      </c>
      <c r="L5" s="45"/>
      <c r="M5" s="40"/>
      <c r="N5" s="43">
        <f t="shared" ref="N5:N33" si="3">I5-J5-M5-R5</f>
        <v>0</v>
      </c>
      <c r="O5" s="43">
        <f t="shared" ref="O5:O33" si="4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 t="shared" si="2"/>
        <v>0</v>
      </c>
      <c r="L7" s="45"/>
      <c r="M7" s="40"/>
      <c r="N7" s="43">
        <f>I7-J7-M7-R7</f>
        <v>0</v>
      </c>
      <c r="O7" s="43">
        <f>R7+S7+T7</f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</row>
    <row r="17" spans="1:20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0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</row>
    <row r="19" spans="1:20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0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</row>
    <row r="21" spans="1:20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0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0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0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</row>
    <row r="25" spans="1:20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0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</row>
    <row r="27" spans="1:20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0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</row>
    <row r="29" spans="1:20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0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</row>
    <row r="31" spans="1:20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0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</row>
    <row r="33" spans="1:20" ht="15">
      <c r="A33" s="50"/>
      <c r="B33" s="51"/>
      <c r="C33" s="52"/>
      <c r="D33" s="50"/>
      <c r="E33" s="50"/>
      <c r="F33" s="50"/>
      <c r="G33" s="43">
        <f>F33*6%</f>
        <v>0</v>
      </c>
      <c r="H33" s="53"/>
      <c r="I33" s="44">
        <f t="shared" si="0"/>
        <v>0</v>
      </c>
      <c r="J33" s="54">
        <f t="shared" si="1"/>
        <v>0</v>
      </c>
      <c r="K33" s="54">
        <f t="shared" si="2"/>
        <v>0</v>
      </c>
      <c r="L33" s="55"/>
      <c r="M33" s="50"/>
      <c r="N33" s="53">
        <f t="shared" si="3"/>
        <v>0</v>
      </c>
      <c r="O33" s="53">
        <f t="shared" si="4"/>
        <v>0</v>
      </c>
      <c r="P33" s="56"/>
      <c r="Q33" s="50"/>
      <c r="R33" s="50"/>
      <c r="S33" s="50"/>
      <c r="T33" s="5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2576" priority="27" operator="containsText" text="SIN FACTURA ">
      <formula>NOT(ISERROR(SEARCH("SIN FACTURA ",A2)))</formula>
    </cfRule>
  </conditionalFormatting>
  <conditionalFormatting sqref="A32:B32 I5:I33 A4:T4 J5:T11 A5:H11">
    <cfRule type="containsText" dxfId="2575" priority="1" operator="containsText" text="SIN FACTURA">
      <formula>NOT(ISERROR(SEARCH("SIN FACTURA",A4)))</formula>
    </cfRule>
  </conditionalFormatting>
  <conditionalFormatting sqref="J33:T33 J31:T31 J29:T29 J27:T27 J25:T25 J23:T23 J21:T21 J19:T19 J17:T17 J15:T15 J13:T13 A13:H13 A15:H15 A17:H17 A19:H19 A21:H21 A23:H23 A25:H25 A27:H27 A29:H29 A31:H31 A33:H33">
    <cfRule type="containsText" dxfId="2574" priority="25" operator="containsText" text="SIN FACTURA">
      <formula>NOT(ISERROR(SEARCH("SIN FACTURA",A13)))</formula>
    </cfRule>
  </conditionalFormatting>
  <conditionalFormatting sqref="C12:H12 J12:V12">
    <cfRule type="containsText" dxfId="2573" priority="23" operator="containsText" text="SIN FACTURA">
      <formula>NOT(ISERROR(SEARCH("SIN FACTURA",C12)))</formula>
    </cfRule>
  </conditionalFormatting>
  <conditionalFormatting sqref="C14:H14 J14:V14">
    <cfRule type="containsText" dxfId="2572" priority="22" operator="containsText" text="SIN FACTURA">
      <formula>NOT(ISERROR(SEARCH("SIN FACTURA",C14)))</formula>
    </cfRule>
  </conditionalFormatting>
  <conditionalFormatting sqref="C16:H16 J16:V16">
    <cfRule type="containsText" dxfId="2571" priority="21" operator="containsText" text="SIN FACTURA">
      <formula>NOT(ISERROR(SEARCH("SIN FACTURA",C16)))</formula>
    </cfRule>
  </conditionalFormatting>
  <conditionalFormatting sqref="C18:H18 J18:V18">
    <cfRule type="containsText" dxfId="2570" priority="20" operator="containsText" text="SIN FACTURA">
      <formula>NOT(ISERROR(SEARCH("SIN FACTURA",C18)))</formula>
    </cfRule>
  </conditionalFormatting>
  <conditionalFormatting sqref="C20:H20 J20:V20">
    <cfRule type="containsText" dxfId="2569" priority="19" operator="containsText" text="SIN FACTURA">
      <formula>NOT(ISERROR(SEARCH("SIN FACTURA",C20)))</formula>
    </cfRule>
  </conditionalFormatting>
  <conditionalFormatting sqref="C22:H22 J22:V22">
    <cfRule type="containsText" dxfId="2568" priority="18" operator="containsText" text="SIN FACTURA">
      <formula>NOT(ISERROR(SEARCH("SIN FACTURA",C22)))</formula>
    </cfRule>
  </conditionalFormatting>
  <conditionalFormatting sqref="C24:H24 J24:V24">
    <cfRule type="containsText" dxfId="2567" priority="17" operator="containsText" text="SIN FACTURA">
      <formula>NOT(ISERROR(SEARCH("SIN FACTURA",C24)))</formula>
    </cfRule>
  </conditionalFormatting>
  <conditionalFormatting sqref="C26:H26 J26:V26">
    <cfRule type="containsText" dxfId="2566" priority="16" operator="containsText" text="SIN FACTURA">
      <formula>NOT(ISERROR(SEARCH("SIN FACTURA",C26)))</formula>
    </cfRule>
  </conditionalFormatting>
  <conditionalFormatting sqref="C28:H28 J28:V28">
    <cfRule type="containsText" dxfId="2565" priority="15" operator="containsText" text="SIN FACTURA">
      <formula>NOT(ISERROR(SEARCH("SIN FACTURA",C28)))</formula>
    </cfRule>
  </conditionalFormatting>
  <conditionalFormatting sqref="C30:H30 J30:V30">
    <cfRule type="containsText" dxfId="2564" priority="14" operator="containsText" text="SIN FACTURA">
      <formula>NOT(ISERROR(SEARCH("SIN FACTURA",C30)))</formula>
    </cfRule>
  </conditionalFormatting>
  <conditionalFormatting sqref="C32:H32 J32:V32">
    <cfRule type="containsText" dxfId="2563" priority="13" operator="containsText" text="SIN FACTURA">
      <formula>NOT(ISERROR(SEARCH("SIN FACTURA",C32)))</formula>
    </cfRule>
  </conditionalFormatting>
  <conditionalFormatting sqref="A12:B12">
    <cfRule type="containsText" dxfId="2562" priority="11" operator="containsText" text="SIN FACTURA">
      <formula>NOT(ISERROR(SEARCH("SIN FACTURA",A12)))</formula>
    </cfRule>
  </conditionalFormatting>
  <conditionalFormatting sqref="A14:B14">
    <cfRule type="containsText" dxfId="2561" priority="10" operator="containsText" text="SIN FACTURA">
      <formula>NOT(ISERROR(SEARCH("SIN FACTURA",A14)))</formula>
    </cfRule>
  </conditionalFormatting>
  <conditionalFormatting sqref="A16:B16">
    <cfRule type="containsText" dxfId="2560" priority="9" operator="containsText" text="SIN FACTURA">
      <formula>NOT(ISERROR(SEARCH("SIN FACTURA",A16)))</formula>
    </cfRule>
  </conditionalFormatting>
  <conditionalFormatting sqref="A18:B18">
    <cfRule type="containsText" dxfId="2559" priority="8" operator="containsText" text="SIN FACTURA">
      <formula>NOT(ISERROR(SEARCH("SIN FACTURA",A18)))</formula>
    </cfRule>
  </conditionalFormatting>
  <conditionalFormatting sqref="A20:B20">
    <cfRule type="containsText" dxfId="2558" priority="7" operator="containsText" text="SIN FACTURA">
      <formula>NOT(ISERROR(SEARCH("SIN FACTURA",A20)))</formula>
    </cfRule>
  </conditionalFormatting>
  <conditionalFormatting sqref="A22:B22">
    <cfRule type="containsText" dxfId="2557" priority="6" operator="containsText" text="SIN FACTURA">
      <formula>NOT(ISERROR(SEARCH("SIN FACTURA",A22)))</formula>
    </cfRule>
  </conditionalFormatting>
  <conditionalFormatting sqref="A24:B24">
    <cfRule type="containsText" dxfId="2556" priority="5" operator="containsText" text="SIN FACTURA">
      <formula>NOT(ISERROR(SEARCH("SIN FACTURA",A24)))</formula>
    </cfRule>
  </conditionalFormatting>
  <conditionalFormatting sqref="A26:B26">
    <cfRule type="containsText" dxfId="2555" priority="4" operator="containsText" text="SIN FACTURA">
      <formula>NOT(ISERROR(SEARCH("SIN FACTURA",A26)))</formula>
    </cfRule>
  </conditionalFormatting>
  <conditionalFormatting sqref="A28:B28">
    <cfRule type="containsText" dxfId="2554" priority="3" operator="containsText" text="SIN FACTURA">
      <formula>NOT(ISERROR(SEARCH("SIN FACTURA",A28)))</formula>
    </cfRule>
  </conditionalFormatting>
  <conditionalFormatting sqref="A30:B30">
    <cfRule type="containsText" dxfId="2553" priority="2" operator="containsText" text="SIN FACTURA">
      <formula>NOT(ISERROR(SEARCH("SIN FACTURA",A30)))</formula>
    </cfRule>
  </conditionalFormatting>
  <pageMargins left="0.75" right="0.75" top="1" bottom="1" header="0.5" footer="0.5"/>
  <pageSetup paperSize="9" orientation="portrait" horizontalDpi="0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>
  <sheetPr codeName="Hoja30"/>
  <dimension ref="A1:Y41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8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5" width="10.875" style="1"/>
    <col min="16" max="16" width="10.875" style="9"/>
    <col min="17" max="17" width="15.125" style="2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58</v>
      </c>
      <c r="B1" s="18" t="s">
        <v>34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34"/>
      <c r="Q1" s="22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78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1" si="0">F5-G5-H5</f>
        <v>0</v>
      </c>
      <c r="J5" s="44">
        <f t="shared" ref="J5:J41" si="1">S5+T5</f>
        <v>0</v>
      </c>
      <c r="K5" s="44">
        <f t="shared" ref="K5:K41" si="2">I5-J5</f>
        <v>0</v>
      </c>
      <c r="L5" s="45"/>
      <c r="M5" s="40"/>
      <c r="N5" s="43">
        <f t="shared" ref="N5:N41" si="3">I5-J5-M5-R5</f>
        <v>0</v>
      </c>
      <c r="O5" s="43">
        <f t="shared" ref="O5:O41" si="4">R5+S5+T5</f>
        <v>0</v>
      </c>
      <c r="P5" s="46"/>
      <c r="Q5" s="40"/>
      <c r="R5" s="43"/>
      <c r="S5" s="43"/>
      <c r="T5" s="49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>I7-J7</f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135"/>
      <c r="Q9" s="137"/>
      <c r="R9" s="47"/>
      <c r="S9" s="47"/>
      <c r="T9" s="48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5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136"/>
      <c r="Q11" s="127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>S15+T15</f>
        <v>0</v>
      </c>
      <c r="K15" s="44">
        <f t="shared" si="2"/>
        <v>0</v>
      </c>
      <c r="L15" s="45"/>
      <c r="M15" s="40"/>
      <c r="N15" s="43">
        <f>I15-J15-M15-R15</f>
        <v>0</v>
      </c>
      <c r="O15" s="43">
        <f>R15+S15+T15</f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5"/>
      <c r="Q20" s="37"/>
      <c r="R20" s="38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5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5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5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5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5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5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5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5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5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5"/>
      <c r="Q40" s="37"/>
      <c r="R40" s="38"/>
      <c r="S40" s="32"/>
      <c r="T40" s="39"/>
      <c r="U40" s="6"/>
      <c r="V40" s="6"/>
    </row>
    <row r="41" spans="1:22" ht="15">
      <c r="A41" s="50"/>
      <c r="B41" s="51"/>
      <c r="C41" s="52"/>
      <c r="D41" s="50"/>
      <c r="E41" s="50"/>
      <c r="F41" s="50"/>
      <c r="G41" s="43">
        <f>F41*6%</f>
        <v>0</v>
      </c>
      <c r="H41" s="53"/>
      <c r="I41" s="44">
        <f t="shared" si="0"/>
        <v>0</v>
      </c>
      <c r="J41" s="54">
        <f t="shared" si="1"/>
        <v>0</v>
      </c>
      <c r="K41" s="54">
        <f t="shared" si="2"/>
        <v>0</v>
      </c>
      <c r="L41" s="55"/>
      <c r="M41" s="50"/>
      <c r="N41" s="53">
        <f t="shared" si="3"/>
        <v>0</v>
      </c>
      <c r="O41" s="53">
        <f t="shared" si="4"/>
        <v>0</v>
      </c>
      <c r="P41" s="56"/>
      <c r="Q41" s="50"/>
      <c r="R41" s="50"/>
      <c r="S41" s="50"/>
      <c r="T41" s="5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2552" priority="27" operator="containsText" text="SIN FACTURA ">
      <formula>NOT(ISERROR(SEARCH("SIN FACTURA ",A2)))</formula>
    </cfRule>
  </conditionalFormatting>
  <conditionalFormatting sqref="A40:B40 A4:T4 J5:T9 I5:I41 A5:H9">
    <cfRule type="containsText" dxfId="2551" priority="1" operator="containsText" text="SIN FACTURA">
      <formula>NOT(ISERROR(SEARCH("SIN FACTURA",A4)))</formula>
    </cfRule>
  </conditionalFormatting>
  <conditionalFormatting sqref="J41:T41 J39:T39 J37:T37 J35:T35 J33:T33 J31:T31 J29:T29 J27:T27 J25:T25 J23:T23 J21:T21 J11:T19 A11:H19 A21:H21 A23:H23 A25:H25 A27:H27 A29:H29 A31:H31 A33:H33 A35:H35 A37:H37 A39:H39 A41:H41">
    <cfRule type="containsText" dxfId="2550" priority="25" operator="containsText" text="SIN FACTURA">
      <formula>NOT(ISERROR(SEARCH("SIN FACTURA",A11)))</formula>
    </cfRule>
  </conditionalFormatting>
  <conditionalFormatting sqref="C10:H10 J10:V10">
    <cfRule type="containsText" dxfId="2549" priority="24" operator="containsText" text="SIN FACTURA">
      <formula>NOT(ISERROR(SEARCH("SIN FACTURA",C10)))</formula>
    </cfRule>
  </conditionalFormatting>
  <conditionalFormatting sqref="C20:H20 J20:V20">
    <cfRule type="containsText" dxfId="2548" priority="23" operator="containsText" text="SIN FACTURA">
      <formula>NOT(ISERROR(SEARCH("SIN FACTURA",C20)))</formula>
    </cfRule>
  </conditionalFormatting>
  <conditionalFormatting sqref="C22:H22 J22:V22">
    <cfRule type="containsText" dxfId="2547" priority="22" operator="containsText" text="SIN FACTURA">
      <formula>NOT(ISERROR(SEARCH("SIN FACTURA",C22)))</formula>
    </cfRule>
  </conditionalFormatting>
  <conditionalFormatting sqref="C24:H24 J24:V24">
    <cfRule type="containsText" dxfId="2546" priority="21" operator="containsText" text="SIN FACTURA">
      <formula>NOT(ISERROR(SEARCH("SIN FACTURA",C24)))</formula>
    </cfRule>
  </conditionalFormatting>
  <conditionalFormatting sqref="C26:H26 J26:V26">
    <cfRule type="containsText" dxfId="2545" priority="20" operator="containsText" text="SIN FACTURA">
      <formula>NOT(ISERROR(SEARCH("SIN FACTURA",C26)))</formula>
    </cfRule>
  </conditionalFormatting>
  <conditionalFormatting sqref="C28:H28 J28:V28">
    <cfRule type="containsText" dxfId="2544" priority="19" operator="containsText" text="SIN FACTURA">
      <formula>NOT(ISERROR(SEARCH("SIN FACTURA",C28)))</formula>
    </cfRule>
  </conditionalFormatting>
  <conditionalFormatting sqref="C30:H30 J30:V30">
    <cfRule type="containsText" dxfId="2543" priority="18" operator="containsText" text="SIN FACTURA">
      <formula>NOT(ISERROR(SEARCH("SIN FACTURA",C30)))</formula>
    </cfRule>
  </conditionalFormatting>
  <conditionalFormatting sqref="C32:H32 J32:V32">
    <cfRule type="containsText" dxfId="2542" priority="17" operator="containsText" text="SIN FACTURA">
      <formula>NOT(ISERROR(SEARCH("SIN FACTURA",C32)))</formula>
    </cfRule>
  </conditionalFormatting>
  <conditionalFormatting sqref="C34:H34 J34:V34">
    <cfRule type="containsText" dxfId="2541" priority="16" operator="containsText" text="SIN FACTURA">
      <formula>NOT(ISERROR(SEARCH("SIN FACTURA",C34)))</formula>
    </cfRule>
  </conditionalFormatting>
  <conditionalFormatting sqref="C36:H36 J36:V36">
    <cfRule type="containsText" dxfId="2540" priority="15" operator="containsText" text="SIN FACTURA">
      <formula>NOT(ISERROR(SEARCH("SIN FACTURA",C36)))</formula>
    </cfRule>
  </conditionalFormatting>
  <conditionalFormatting sqref="C38:H38 J38:V38">
    <cfRule type="containsText" dxfId="2539" priority="14" operator="containsText" text="SIN FACTURA">
      <formula>NOT(ISERROR(SEARCH("SIN FACTURA",C38)))</formula>
    </cfRule>
  </conditionalFormatting>
  <conditionalFormatting sqref="C40:H40 J40:V40">
    <cfRule type="containsText" dxfId="2538" priority="13" operator="containsText" text="SIN FACTURA">
      <formula>NOT(ISERROR(SEARCH("SIN FACTURA",C40)))</formula>
    </cfRule>
  </conditionalFormatting>
  <conditionalFormatting sqref="A10:B10">
    <cfRule type="containsText" dxfId="2537" priority="12" operator="containsText" text="SIN FACTURA">
      <formula>NOT(ISERROR(SEARCH("SIN FACTURA",A10)))</formula>
    </cfRule>
  </conditionalFormatting>
  <conditionalFormatting sqref="A20:B20">
    <cfRule type="containsText" dxfId="2536" priority="11" operator="containsText" text="SIN FACTURA">
      <formula>NOT(ISERROR(SEARCH("SIN FACTURA",A20)))</formula>
    </cfRule>
  </conditionalFormatting>
  <conditionalFormatting sqref="A22:B22">
    <cfRule type="containsText" dxfId="2535" priority="10" operator="containsText" text="SIN FACTURA">
      <formula>NOT(ISERROR(SEARCH("SIN FACTURA",A22)))</formula>
    </cfRule>
  </conditionalFormatting>
  <conditionalFormatting sqref="A24:B24">
    <cfRule type="containsText" dxfId="2534" priority="9" operator="containsText" text="SIN FACTURA">
      <formula>NOT(ISERROR(SEARCH("SIN FACTURA",A24)))</formula>
    </cfRule>
  </conditionalFormatting>
  <conditionalFormatting sqref="A26:B26">
    <cfRule type="containsText" dxfId="2533" priority="8" operator="containsText" text="SIN FACTURA">
      <formula>NOT(ISERROR(SEARCH("SIN FACTURA",A26)))</formula>
    </cfRule>
  </conditionalFormatting>
  <conditionalFormatting sqref="A28:B28">
    <cfRule type="containsText" dxfId="2532" priority="7" operator="containsText" text="SIN FACTURA">
      <formula>NOT(ISERROR(SEARCH("SIN FACTURA",A28)))</formula>
    </cfRule>
  </conditionalFormatting>
  <conditionalFormatting sqref="A30:B30">
    <cfRule type="containsText" dxfId="2531" priority="6" operator="containsText" text="SIN FACTURA">
      <formula>NOT(ISERROR(SEARCH("SIN FACTURA",A30)))</formula>
    </cfRule>
  </conditionalFormatting>
  <conditionalFormatting sqref="A32:B32">
    <cfRule type="containsText" dxfId="2530" priority="5" operator="containsText" text="SIN FACTURA">
      <formula>NOT(ISERROR(SEARCH("SIN FACTURA",A32)))</formula>
    </cfRule>
  </conditionalFormatting>
  <conditionalFormatting sqref="A34:B34">
    <cfRule type="containsText" dxfId="2529" priority="4" operator="containsText" text="SIN FACTURA">
      <formula>NOT(ISERROR(SEARCH("SIN FACTURA",A34)))</formula>
    </cfRule>
  </conditionalFormatting>
  <conditionalFormatting sqref="A36:B36">
    <cfRule type="containsText" dxfId="2528" priority="3" operator="containsText" text="SIN FACTURA">
      <formula>NOT(ISERROR(SEARCH("SIN FACTURA",A36)))</formula>
    </cfRule>
  </conditionalFormatting>
  <conditionalFormatting sqref="A38:B38">
    <cfRule type="containsText" dxfId="2527" priority="2" operator="containsText" text="SIN FACTURA">
      <formula>NOT(ISERROR(SEARCH("SIN FACTURA",A38)))</formula>
    </cfRule>
  </conditionalFormatting>
  <pageMargins left="0.75" right="0.75" top="1" bottom="1" header="0.5" footer="0.5"/>
  <pageSetup paperSize="9" orientation="portrait" horizontalDpi="4294967292" verticalDpi="4294967292"/>
</worksheet>
</file>

<file path=xl/worksheets/sheet67.xml><?xml version="1.0" encoding="utf-8"?>
<worksheet xmlns="http://schemas.openxmlformats.org/spreadsheetml/2006/main" xmlns:r="http://schemas.openxmlformats.org/officeDocument/2006/relationships">
  <sheetPr codeName="Hoja79"/>
  <dimension ref="A1:Y35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434</v>
      </c>
      <c r="B1" s="18" t="s">
        <v>136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5" si="0">F5-G5-H5</f>
        <v>0</v>
      </c>
      <c r="J5" s="44">
        <f t="shared" ref="J5:J35" si="1">S5+T5</f>
        <v>0</v>
      </c>
      <c r="K5" s="44">
        <f t="shared" ref="K5:K35" si="2">I5-J5</f>
        <v>0</v>
      </c>
      <c r="L5" s="45"/>
      <c r="M5" s="40"/>
      <c r="N5" s="43">
        <f t="shared" ref="N5:N35" si="3">I5-J5-M5-R5</f>
        <v>0</v>
      </c>
      <c r="O5" s="43">
        <f t="shared" ref="O5:O35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139"/>
      <c r="Q7" s="140"/>
      <c r="R7" s="40"/>
      <c r="S7" s="40"/>
      <c r="T7" s="5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 t="shared" si="2"/>
        <v>0</v>
      </c>
      <c r="L9" s="45"/>
      <c r="M9" s="40"/>
      <c r="N9" s="43">
        <f>I9-J9-M9-R9</f>
        <v>0</v>
      </c>
      <c r="O9" s="43">
        <f>R9+S9+T9</f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50"/>
      <c r="B35" s="51"/>
      <c r="C35" s="52"/>
      <c r="D35" s="50"/>
      <c r="E35" s="50"/>
      <c r="F35" s="50"/>
      <c r="G35" s="43">
        <f>F35*6%</f>
        <v>0</v>
      </c>
      <c r="H35" s="53"/>
      <c r="I35" s="78">
        <f t="shared" si="0"/>
        <v>0</v>
      </c>
      <c r="J35" s="54">
        <f t="shared" si="1"/>
        <v>0</v>
      </c>
      <c r="K35" s="54">
        <f t="shared" si="2"/>
        <v>0</v>
      </c>
      <c r="L35" s="55"/>
      <c r="M35" s="50"/>
      <c r="N35" s="53">
        <f t="shared" si="3"/>
        <v>0</v>
      </c>
      <c r="O35" s="53">
        <f t="shared" si="4"/>
        <v>0</v>
      </c>
      <c r="P35" s="56"/>
      <c r="Q35" s="50"/>
      <c r="R35" s="50"/>
      <c r="S35" s="50"/>
      <c r="T35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526" priority="29" operator="containsText" text="SIN FACTURA ">
      <formula>NOT(ISERROR(SEARCH("SIN FACTURA ",A2)))</formula>
    </cfRule>
  </conditionalFormatting>
  <conditionalFormatting sqref="J35:T35 J33:T33 J31:T31 J29:T29 J27:T27 J25:T25 J23:T23 J21:T21 J19:T19 J17:T17 J15:T15 J5:T13 A15:H15 A17:H17 A19:H19 A21:H21 A23:H23 A25:H25 A27:H27 A29:H29 A31:H31 A33:H33 A35:H35 A5:H13 A4:T4 I5:I35">
    <cfRule type="containsText" dxfId="2525" priority="28" operator="containsText" text="SIN FACTURA">
      <formula>NOT(ISERROR(SEARCH("SIN FACTURA",A4)))</formula>
    </cfRule>
  </conditionalFormatting>
  <conditionalFormatting sqref="C14:H14 J14:V14">
    <cfRule type="containsText" dxfId="2524" priority="26" operator="containsText" text="SIN FACTURA">
      <formula>NOT(ISERROR(SEARCH("SIN FACTURA",C14)))</formula>
    </cfRule>
  </conditionalFormatting>
  <conditionalFormatting sqref="C16:H16 J16:V16">
    <cfRule type="containsText" dxfId="2523" priority="25" operator="containsText" text="SIN FACTURA">
      <formula>NOT(ISERROR(SEARCH("SIN FACTURA",C16)))</formula>
    </cfRule>
  </conditionalFormatting>
  <conditionalFormatting sqref="C18:H18 J18:V18">
    <cfRule type="containsText" dxfId="2522" priority="24" operator="containsText" text="SIN FACTURA">
      <formula>NOT(ISERROR(SEARCH("SIN FACTURA",C18)))</formula>
    </cfRule>
  </conditionalFormatting>
  <conditionalFormatting sqref="C20:H20 J20:V20">
    <cfRule type="containsText" dxfId="2521" priority="23" operator="containsText" text="SIN FACTURA">
      <formula>NOT(ISERROR(SEARCH("SIN FACTURA",C20)))</formula>
    </cfRule>
  </conditionalFormatting>
  <conditionalFormatting sqref="C22:H22 J22:V22">
    <cfRule type="containsText" dxfId="2520" priority="22" operator="containsText" text="SIN FACTURA">
      <formula>NOT(ISERROR(SEARCH("SIN FACTURA",C22)))</formula>
    </cfRule>
  </conditionalFormatting>
  <conditionalFormatting sqref="C24:H24 J24:V24">
    <cfRule type="containsText" dxfId="2519" priority="21" operator="containsText" text="SIN FACTURA">
      <formula>NOT(ISERROR(SEARCH("SIN FACTURA",C24)))</formula>
    </cfRule>
  </conditionalFormatting>
  <conditionalFormatting sqref="C26:H26 J26:V26">
    <cfRule type="containsText" dxfId="2518" priority="20" operator="containsText" text="SIN FACTURA">
      <formula>NOT(ISERROR(SEARCH("SIN FACTURA",C26)))</formula>
    </cfRule>
  </conditionalFormatting>
  <conditionalFormatting sqref="C28:H28 J28:V28">
    <cfRule type="containsText" dxfId="2517" priority="19" operator="containsText" text="SIN FACTURA">
      <formula>NOT(ISERROR(SEARCH("SIN FACTURA",C28)))</formula>
    </cfRule>
  </conditionalFormatting>
  <conditionalFormatting sqref="C30:H30 J30:V30">
    <cfRule type="containsText" dxfId="2516" priority="18" operator="containsText" text="SIN FACTURA">
      <formula>NOT(ISERROR(SEARCH("SIN FACTURA",C30)))</formula>
    </cfRule>
  </conditionalFormatting>
  <conditionalFormatting sqref="C32:H32 J32:V32">
    <cfRule type="containsText" dxfId="2515" priority="17" operator="containsText" text="SIN FACTURA">
      <formula>NOT(ISERROR(SEARCH("SIN FACTURA",C32)))</formula>
    </cfRule>
  </conditionalFormatting>
  <conditionalFormatting sqref="C34:H34 J34:V34">
    <cfRule type="containsText" dxfId="2514" priority="16" operator="containsText" text="SIN FACTURA">
      <formula>NOT(ISERROR(SEARCH("SIN FACTURA",C34)))</formula>
    </cfRule>
  </conditionalFormatting>
  <conditionalFormatting sqref="A14:B14">
    <cfRule type="containsText" dxfId="2513" priority="14" operator="containsText" text="SIN FACTURA">
      <formula>NOT(ISERROR(SEARCH("SIN FACTURA",A14)))</formula>
    </cfRule>
  </conditionalFormatting>
  <conditionalFormatting sqref="A16:B16">
    <cfRule type="containsText" dxfId="2512" priority="13" operator="containsText" text="SIN FACTURA">
      <formula>NOT(ISERROR(SEARCH("SIN FACTURA",A16)))</formula>
    </cfRule>
  </conditionalFormatting>
  <conditionalFormatting sqref="A18:B18">
    <cfRule type="containsText" dxfId="2511" priority="12" operator="containsText" text="SIN FACTURA">
      <formula>NOT(ISERROR(SEARCH("SIN FACTURA",A18)))</formula>
    </cfRule>
  </conditionalFormatting>
  <conditionalFormatting sqref="A20:B20">
    <cfRule type="containsText" dxfId="2510" priority="11" operator="containsText" text="SIN FACTURA">
      <formula>NOT(ISERROR(SEARCH("SIN FACTURA",A20)))</formula>
    </cfRule>
  </conditionalFormatting>
  <conditionalFormatting sqref="A22:B22">
    <cfRule type="containsText" dxfId="2509" priority="10" operator="containsText" text="SIN FACTURA">
      <formula>NOT(ISERROR(SEARCH("SIN FACTURA",A22)))</formula>
    </cfRule>
  </conditionalFormatting>
  <conditionalFormatting sqref="A34:B34">
    <cfRule type="containsText" dxfId="2508" priority="4" operator="containsText" text="SIN FACTURA">
      <formula>NOT(ISERROR(SEARCH("SIN FACTURA",A34)))</formula>
    </cfRule>
  </conditionalFormatting>
  <conditionalFormatting sqref="A24:B24">
    <cfRule type="containsText" dxfId="2507" priority="9" operator="containsText" text="SIN FACTURA">
      <formula>NOT(ISERROR(SEARCH("SIN FACTURA",A24)))</formula>
    </cfRule>
  </conditionalFormatting>
  <conditionalFormatting sqref="A26:B26">
    <cfRule type="containsText" dxfId="2506" priority="8" operator="containsText" text="SIN FACTURA">
      <formula>NOT(ISERROR(SEARCH("SIN FACTURA",A26)))</formula>
    </cfRule>
  </conditionalFormatting>
  <conditionalFormatting sqref="A28:B28">
    <cfRule type="containsText" dxfId="2505" priority="7" operator="containsText" text="SIN FACTURA">
      <formula>NOT(ISERROR(SEARCH("SIN FACTURA",A28)))</formula>
    </cfRule>
  </conditionalFormatting>
  <conditionalFormatting sqref="A30:B30">
    <cfRule type="containsText" dxfId="2504" priority="6" operator="containsText" text="SIN FACTURA">
      <formula>NOT(ISERROR(SEARCH("SIN FACTURA",A30)))</formula>
    </cfRule>
  </conditionalFormatting>
  <conditionalFormatting sqref="A32:B32">
    <cfRule type="containsText" dxfId="2503" priority="5" operator="containsText" text="SIN FACTURA">
      <formula>NOT(ISERROR(SEARCH("SIN FACTURA",A32)))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68.xml><?xml version="1.0" encoding="utf-8"?>
<worksheet xmlns="http://schemas.openxmlformats.org/spreadsheetml/2006/main" xmlns:r="http://schemas.openxmlformats.org/officeDocument/2006/relationships">
  <sheetPr codeName="Hoja80"/>
  <dimension ref="A1:Y39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12" sqref="A5:XFD12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220</v>
      </c>
      <c r="B1" s="18"/>
      <c r="C1" s="20">
        <v>481</v>
      </c>
      <c r="D1" s="261" t="s">
        <v>272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9" si="0">F5-G5-H5</f>
        <v>0</v>
      </c>
      <c r="J5" s="44">
        <f>S5+T5</f>
        <v>0</v>
      </c>
      <c r="K5" s="44">
        <f>I5-J5</f>
        <v>0</v>
      </c>
      <c r="L5" s="45"/>
      <c r="M5" s="40"/>
      <c r="N5" s="43">
        <f t="shared" ref="N5:N39" si="1">I5-J5-M5-R5</f>
        <v>0</v>
      </c>
      <c r="O5" s="43">
        <f t="shared" ref="O5:O39" si="2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ref="J7:J39" si="3">S7+T7</f>
        <v>0</v>
      </c>
      <c r="K7" s="44">
        <f t="shared" ref="K7:K39" si="4">I7-J7</f>
        <v>0</v>
      </c>
      <c r="L7" s="45"/>
      <c r="M7" s="40"/>
      <c r="N7" s="43">
        <f t="shared" si="1"/>
        <v>0</v>
      </c>
      <c r="O7" s="43">
        <f t="shared" si="2"/>
        <v>0</v>
      </c>
      <c r="P7" s="46"/>
      <c r="Q7" s="40"/>
      <c r="R7" s="47"/>
      <c r="S7" s="47"/>
      <c r="T7" s="48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3"/>
        <v>0</v>
      </c>
      <c r="K9" s="44">
        <f t="shared" si="4"/>
        <v>0</v>
      </c>
      <c r="L9" s="45"/>
      <c r="M9" s="40"/>
      <c r="N9" s="43">
        <f t="shared" si="1"/>
        <v>0</v>
      </c>
      <c r="O9" s="43">
        <f t="shared" si="2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3"/>
        <v>0</v>
      </c>
      <c r="K11" s="44">
        <f t="shared" si="4"/>
        <v>0</v>
      </c>
      <c r="L11" s="45"/>
      <c r="M11" s="40"/>
      <c r="N11" s="43">
        <f t="shared" si="1"/>
        <v>0</v>
      </c>
      <c r="O11" s="43">
        <f t="shared" si="2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>S13+T13</f>
        <v>0</v>
      </c>
      <c r="K13" s="44">
        <f t="shared" si="4"/>
        <v>0</v>
      </c>
      <c r="L13" s="45"/>
      <c r="M13" s="40"/>
      <c r="N13" s="43">
        <f>I13-J13-M13-R13</f>
        <v>0</v>
      </c>
      <c r="O13" s="43">
        <f>R13+S13+T13</f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3"/>
        <v>0</v>
      </c>
      <c r="K15" s="44">
        <f t="shared" si="4"/>
        <v>0</v>
      </c>
      <c r="L15" s="45"/>
      <c r="M15" s="40"/>
      <c r="N15" s="43">
        <f t="shared" si="1"/>
        <v>0</v>
      </c>
      <c r="O15" s="43">
        <f t="shared" si="2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3"/>
        <v>0</v>
      </c>
      <c r="K17" s="44">
        <f t="shared" si="4"/>
        <v>0</v>
      </c>
      <c r="L17" s="45"/>
      <c r="M17" s="40"/>
      <c r="N17" s="43">
        <f t="shared" si="1"/>
        <v>0</v>
      </c>
      <c r="O17" s="43">
        <f t="shared" si="2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3"/>
        <v>0</v>
      </c>
      <c r="K19" s="44">
        <f t="shared" si="4"/>
        <v>0</v>
      </c>
      <c r="L19" s="45"/>
      <c r="M19" s="40"/>
      <c r="N19" s="43">
        <f t="shared" si="1"/>
        <v>0</v>
      </c>
      <c r="O19" s="43">
        <f t="shared" si="2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3"/>
        <v>0</v>
      </c>
      <c r="K21" s="44">
        <f t="shared" si="4"/>
        <v>0</v>
      </c>
      <c r="L21" s="45"/>
      <c r="M21" s="40"/>
      <c r="N21" s="43">
        <f t="shared" si="1"/>
        <v>0</v>
      </c>
      <c r="O21" s="43">
        <f t="shared" si="2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3"/>
        <v>0</v>
      </c>
      <c r="K23" s="44">
        <f t="shared" si="4"/>
        <v>0</v>
      </c>
      <c r="L23" s="45"/>
      <c r="M23" s="40"/>
      <c r="N23" s="43">
        <f t="shared" si="1"/>
        <v>0</v>
      </c>
      <c r="O23" s="43">
        <f t="shared" si="2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3"/>
        <v>0</v>
      </c>
      <c r="K25" s="44">
        <f t="shared" si="4"/>
        <v>0</v>
      </c>
      <c r="L25" s="45"/>
      <c r="M25" s="40"/>
      <c r="N25" s="43">
        <f t="shared" si="1"/>
        <v>0</v>
      </c>
      <c r="O25" s="43">
        <f t="shared" si="2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3"/>
        <v>0</v>
      </c>
      <c r="K27" s="44">
        <f t="shared" si="4"/>
        <v>0</v>
      </c>
      <c r="L27" s="45"/>
      <c r="M27" s="40"/>
      <c r="N27" s="43">
        <f t="shared" si="1"/>
        <v>0</v>
      </c>
      <c r="O27" s="43">
        <f t="shared" si="2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3"/>
        <v>0</v>
      </c>
      <c r="K29" s="44">
        <f t="shared" si="4"/>
        <v>0</v>
      </c>
      <c r="L29" s="45"/>
      <c r="M29" s="40"/>
      <c r="N29" s="43">
        <f t="shared" si="1"/>
        <v>0</v>
      </c>
      <c r="O29" s="43">
        <f t="shared" si="2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3"/>
        <v>0</v>
      </c>
      <c r="K31" s="44">
        <f t="shared" si="4"/>
        <v>0</v>
      </c>
      <c r="L31" s="45"/>
      <c r="M31" s="40"/>
      <c r="N31" s="43">
        <f t="shared" si="1"/>
        <v>0</v>
      </c>
      <c r="O31" s="43">
        <f t="shared" si="2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3"/>
        <v>0</v>
      </c>
      <c r="K33" s="44">
        <f t="shared" si="4"/>
        <v>0</v>
      </c>
      <c r="L33" s="45"/>
      <c r="M33" s="40"/>
      <c r="N33" s="43">
        <f t="shared" si="1"/>
        <v>0</v>
      </c>
      <c r="O33" s="43">
        <f t="shared" si="2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3"/>
        <v>0</v>
      </c>
      <c r="K35" s="44">
        <f t="shared" si="4"/>
        <v>0</v>
      </c>
      <c r="L35" s="45"/>
      <c r="M35" s="40"/>
      <c r="N35" s="43">
        <f t="shared" si="1"/>
        <v>0</v>
      </c>
      <c r="O35" s="43">
        <f t="shared" si="2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3"/>
        <v>0</v>
      </c>
      <c r="K37" s="44">
        <f t="shared" si="4"/>
        <v>0</v>
      </c>
      <c r="L37" s="45"/>
      <c r="M37" s="40"/>
      <c r="N37" s="43">
        <f t="shared" si="1"/>
        <v>0</v>
      </c>
      <c r="O37" s="43">
        <f t="shared" si="2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50"/>
      <c r="B39" s="51"/>
      <c r="C39" s="52"/>
      <c r="D39" s="50"/>
      <c r="E39" s="50"/>
      <c r="F39" s="50"/>
      <c r="G39" s="43">
        <f>F39*6%</f>
        <v>0</v>
      </c>
      <c r="H39" s="53"/>
      <c r="I39" s="78">
        <f t="shared" si="0"/>
        <v>0</v>
      </c>
      <c r="J39" s="54">
        <f t="shared" si="3"/>
        <v>0</v>
      </c>
      <c r="K39" s="54">
        <f t="shared" si="4"/>
        <v>0</v>
      </c>
      <c r="L39" s="55"/>
      <c r="M39" s="50"/>
      <c r="N39" s="53">
        <f t="shared" si="1"/>
        <v>0</v>
      </c>
      <c r="O39" s="53">
        <f t="shared" si="2"/>
        <v>0</v>
      </c>
      <c r="P39" s="56"/>
      <c r="Q39" s="50"/>
      <c r="R39" s="50"/>
      <c r="S39" s="50"/>
      <c r="T39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502" priority="26" operator="containsText" text="SIN FACTURA ">
      <formula>NOT(ISERROR(SEARCH("SIN FACTURA ",A2)))</formula>
    </cfRule>
  </conditionalFormatting>
  <conditionalFormatting sqref="J39:T39 J37:T37 J35:T35 J33:T33 J31:T31 J29:T29 J27:T27 J25:T25 J23:T23 J21:T21 J19:T19 J9:T17 A9:H17 A19:H19 A21:H21 A23:H23 A25:H25 A27:H27 A29:H29 A31:H31 A33:H33 A35:H35 A37:H37 A39:H39 A4:T4 J5:T7 I5:I39 A5:H7">
    <cfRule type="containsText" dxfId="2501" priority="25" operator="containsText" text="SIN FACTURA">
      <formula>NOT(ISERROR(SEARCH("SIN FACTURA",A4)))</formula>
    </cfRule>
  </conditionalFormatting>
  <conditionalFormatting sqref="C8:H8 J8:V8">
    <cfRule type="containsText" dxfId="2500" priority="24" operator="containsText" text="SIN FACTURA">
      <formula>NOT(ISERROR(SEARCH("SIN FACTURA",C8)))</formula>
    </cfRule>
  </conditionalFormatting>
  <conditionalFormatting sqref="C18:H18 J18:V18">
    <cfRule type="containsText" dxfId="2499" priority="23" operator="containsText" text="SIN FACTURA">
      <formula>NOT(ISERROR(SEARCH("SIN FACTURA",C18)))</formula>
    </cfRule>
  </conditionalFormatting>
  <conditionalFormatting sqref="C20:H20 J20:V20">
    <cfRule type="containsText" dxfId="2498" priority="22" operator="containsText" text="SIN FACTURA">
      <formula>NOT(ISERROR(SEARCH("SIN FACTURA",C20)))</formula>
    </cfRule>
  </conditionalFormatting>
  <conditionalFormatting sqref="C22:H22 J22:V22">
    <cfRule type="containsText" dxfId="2497" priority="21" operator="containsText" text="SIN FACTURA">
      <formula>NOT(ISERROR(SEARCH("SIN FACTURA",C22)))</formula>
    </cfRule>
  </conditionalFormatting>
  <conditionalFormatting sqref="C24:H24 J24:V24">
    <cfRule type="containsText" dxfId="2496" priority="20" operator="containsText" text="SIN FACTURA">
      <formula>NOT(ISERROR(SEARCH("SIN FACTURA",C24)))</formula>
    </cfRule>
  </conditionalFormatting>
  <conditionalFormatting sqref="C26:H26 J26:V26">
    <cfRule type="containsText" dxfId="2495" priority="19" operator="containsText" text="SIN FACTURA">
      <formula>NOT(ISERROR(SEARCH("SIN FACTURA",C26)))</formula>
    </cfRule>
  </conditionalFormatting>
  <conditionalFormatting sqref="C28:H28 J28:V28">
    <cfRule type="containsText" dxfId="2494" priority="18" operator="containsText" text="SIN FACTURA">
      <formula>NOT(ISERROR(SEARCH("SIN FACTURA",C28)))</formula>
    </cfRule>
  </conditionalFormatting>
  <conditionalFormatting sqref="C30:H30 J30:V30">
    <cfRule type="containsText" dxfId="2493" priority="17" operator="containsText" text="SIN FACTURA">
      <formula>NOT(ISERROR(SEARCH("SIN FACTURA",C30)))</formula>
    </cfRule>
  </conditionalFormatting>
  <conditionalFormatting sqref="C32:H32 J32:V32">
    <cfRule type="containsText" dxfId="2492" priority="16" operator="containsText" text="SIN FACTURA">
      <formula>NOT(ISERROR(SEARCH("SIN FACTURA",C32)))</formula>
    </cfRule>
  </conditionalFormatting>
  <conditionalFormatting sqref="C34:H34 J34:V34">
    <cfRule type="containsText" dxfId="2491" priority="15" operator="containsText" text="SIN FACTURA">
      <formula>NOT(ISERROR(SEARCH("SIN FACTURA",C34)))</formula>
    </cfRule>
  </conditionalFormatting>
  <conditionalFormatting sqref="C36:H36 J36:V36">
    <cfRule type="containsText" dxfId="2490" priority="14" operator="containsText" text="SIN FACTURA">
      <formula>NOT(ISERROR(SEARCH("SIN FACTURA",C36)))</formula>
    </cfRule>
  </conditionalFormatting>
  <conditionalFormatting sqref="C38:H38 J38:V38">
    <cfRule type="containsText" dxfId="2489" priority="13" operator="containsText" text="SIN FACTURA">
      <formula>NOT(ISERROR(SEARCH("SIN FACTURA",C38)))</formula>
    </cfRule>
  </conditionalFormatting>
  <conditionalFormatting sqref="A8:B8">
    <cfRule type="containsText" dxfId="2488" priority="12" operator="containsText" text="SIN FACTURA">
      <formula>NOT(ISERROR(SEARCH("SIN FACTURA",A8)))</formula>
    </cfRule>
  </conditionalFormatting>
  <conditionalFormatting sqref="A18:B18">
    <cfRule type="containsText" dxfId="2487" priority="11" operator="containsText" text="SIN FACTURA">
      <formula>NOT(ISERROR(SEARCH("SIN FACTURA",A18)))</formula>
    </cfRule>
  </conditionalFormatting>
  <conditionalFormatting sqref="A20:B20">
    <cfRule type="containsText" dxfId="2486" priority="10" operator="containsText" text="SIN FACTURA">
      <formula>NOT(ISERROR(SEARCH("SIN FACTURA",A20)))</formula>
    </cfRule>
  </conditionalFormatting>
  <conditionalFormatting sqref="A22:B22">
    <cfRule type="containsText" dxfId="2485" priority="9" operator="containsText" text="SIN FACTURA">
      <formula>NOT(ISERROR(SEARCH("SIN FACTURA",A22)))</formula>
    </cfRule>
  </conditionalFormatting>
  <conditionalFormatting sqref="A24:B24">
    <cfRule type="containsText" dxfId="2484" priority="8" operator="containsText" text="SIN FACTURA">
      <formula>NOT(ISERROR(SEARCH("SIN FACTURA",A24)))</formula>
    </cfRule>
  </conditionalFormatting>
  <conditionalFormatting sqref="A26:B26">
    <cfRule type="containsText" dxfId="2483" priority="7" operator="containsText" text="SIN FACTURA">
      <formula>NOT(ISERROR(SEARCH("SIN FACTURA",A26)))</formula>
    </cfRule>
  </conditionalFormatting>
  <conditionalFormatting sqref="A38:B38">
    <cfRule type="containsText" dxfId="2482" priority="1" operator="containsText" text="SIN FACTURA">
      <formula>NOT(ISERROR(SEARCH("SIN FACTURA",A38)))</formula>
    </cfRule>
  </conditionalFormatting>
  <conditionalFormatting sqref="A28:B28">
    <cfRule type="containsText" dxfId="2481" priority="6" operator="containsText" text="SIN FACTURA">
      <formula>NOT(ISERROR(SEARCH("SIN FACTURA",A28)))</formula>
    </cfRule>
  </conditionalFormatting>
  <conditionalFormatting sqref="A30:B30">
    <cfRule type="containsText" dxfId="2480" priority="5" operator="containsText" text="SIN FACTURA">
      <formula>NOT(ISERROR(SEARCH("SIN FACTURA",A30)))</formula>
    </cfRule>
  </conditionalFormatting>
  <conditionalFormatting sqref="A32:B32">
    <cfRule type="containsText" dxfId="2479" priority="4" operator="containsText" text="SIN FACTURA">
      <formula>NOT(ISERROR(SEARCH("SIN FACTURA",A32)))</formula>
    </cfRule>
  </conditionalFormatting>
  <conditionalFormatting sqref="A34:B34">
    <cfRule type="containsText" dxfId="2478" priority="3" operator="containsText" text="SIN FACTURA">
      <formula>NOT(ISERROR(SEARCH("SIN FACTURA",A34)))</formula>
    </cfRule>
  </conditionalFormatting>
  <conditionalFormatting sqref="A36:B36">
    <cfRule type="containsText" dxfId="2477" priority="2" operator="containsText" text="SIN FACTURA">
      <formula>NOT(ISERROR(SEARCH("SIN FACTURA",A36)))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69.xml><?xml version="1.0" encoding="utf-8"?>
<worksheet xmlns="http://schemas.openxmlformats.org/spreadsheetml/2006/main" xmlns:r="http://schemas.openxmlformats.org/officeDocument/2006/relationships">
  <sheetPr codeName="Hoja31"/>
  <dimension ref="A1:Y42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7"/>
    </sheetView>
  </sheetViews>
  <sheetFormatPr baseColWidth="10" defaultColWidth="10.875" defaultRowHeight="15.75"/>
  <cols>
    <col min="1" max="1" width="21.5" style="1" customWidth="1"/>
    <col min="2" max="2" width="10.875" style="2"/>
    <col min="4" max="4" width="9.625" style="9" customWidth="1"/>
    <col min="5" max="5" width="10" style="1" customWidth="1"/>
    <col min="6" max="6" width="9.375" style="9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16</v>
      </c>
      <c r="B1" s="18" t="s">
        <v>35</v>
      </c>
      <c r="C1" s="20"/>
      <c r="D1" s="5"/>
      <c r="E1" s="11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3"/>
      <c r="E5" s="43"/>
      <c r="F5" s="43"/>
      <c r="G5" s="43">
        <f>F5*6%</f>
        <v>0</v>
      </c>
      <c r="H5" s="43"/>
      <c r="I5" s="44">
        <f t="shared" ref="I5:I31" si="0">F5-G5-H5</f>
        <v>0</v>
      </c>
      <c r="J5" s="44">
        <f t="shared" ref="J5:J31" si="1">S5+T5</f>
        <v>0</v>
      </c>
      <c r="K5" s="44">
        <f t="shared" ref="K5:K31" si="2">I5-J5</f>
        <v>0</v>
      </c>
      <c r="L5" s="45"/>
      <c r="M5" s="40"/>
      <c r="N5" s="43">
        <f t="shared" ref="N5:N31" si="3">I5-J5-M5-R5</f>
        <v>0</v>
      </c>
      <c r="O5" s="43">
        <f t="shared" ref="O5:O31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2"/>
      <c r="D6" s="37"/>
      <c r="E6" s="35"/>
      <c r="F6" s="37"/>
      <c r="G6" s="32"/>
      <c r="H6" s="32"/>
      <c r="I6" s="37"/>
      <c r="J6" s="37"/>
      <c r="K6" s="35"/>
      <c r="L6" s="35"/>
      <c r="M6" s="35"/>
      <c r="N6" s="36"/>
      <c r="O6" s="32"/>
      <c r="P6" s="37"/>
      <c r="Q6" s="37"/>
      <c r="R6" s="38"/>
      <c r="S6" s="32"/>
      <c r="T6" s="39"/>
    </row>
    <row r="7" spans="1:25" ht="15">
      <c r="A7" s="40"/>
      <c r="B7" s="41"/>
      <c r="C7" s="42"/>
      <c r="D7" s="43"/>
      <c r="E7" s="43"/>
      <c r="F7" s="43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7"/>
      <c r="E8" s="37"/>
      <c r="F8" s="37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3"/>
      <c r="E9" s="43"/>
      <c r="F9" s="43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4"/>
      <c r="D10" s="37"/>
      <c r="E10" s="37"/>
      <c r="F10" s="37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3"/>
      <c r="E11" s="43"/>
      <c r="F11" s="43"/>
      <c r="G11" s="43">
        <f>F11*6%</f>
        <v>0</v>
      </c>
      <c r="H11" s="43"/>
      <c r="I11" s="44">
        <f t="shared" si="0"/>
        <v>0</v>
      </c>
      <c r="J11" s="44">
        <f>S11+T11</f>
        <v>0</v>
      </c>
      <c r="K11" s="44">
        <f t="shared" si="2"/>
        <v>0</v>
      </c>
      <c r="L11" s="45"/>
      <c r="M11" s="40"/>
      <c r="N11" s="43">
        <f>I11-J11-M11-R11</f>
        <v>0</v>
      </c>
      <c r="O11" s="43">
        <f>R11+S11+T11</f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7"/>
      <c r="E12" s="37"/>
      <c r="F12" s="37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3"/>
      <c r="E13" s="43"/>
      <c r="F13" s="43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7"/>
      <c r="E14" s="37"/>
      <c r="F14" s="37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58"/>
      <c r="B32" s="59"/>
      <c r="C32" s="60"/>
      <c r="D32" s="58"/>
      <c r="E32" s="60"/>
      <c r="F32" s="58"/>
      <c r="G32" s="58"/>
      <c r="H32" s="58"/>
      <c r="I32" s="61">
        <f t="shared" ref="I32:I41" si="5">F32-G32</f>
        <v>0</v>
      </c>
      <c r="J32" s="61">
        <f t="shared" ref="J32:J41" si="6">S32+T32</f>
        <v>0</v>
      </c>
      <c r="K32" s="61">
        <f t="shared" ref="K32:K41" si="7">I32-J32</f>
        <v>0</v>
      </c>
      <c r="L32" s="62"/>
      <c r="M32" s="58"/>
      <c r="N32" s="63">
        <f t="shared" ref="N32:N41" si="8">I32-J32-M32-R32</f>
        <v>0</v>
      </c>
      <c r="O32" s="63">
        <f t="shared" ref="O32:O41" si="9">R32+S32+T32</f>
        <v>0</v>
      </c>
      <c r="P32" s="64"/>
      <c r="Q32" s="58"/>
      <c r="R32" s="58"/>
      <c r="S32" s="58"/>
      <c r="T32" s="68"/>
    </row>
    <row r="33" spans="1:20" ht="15">
      <c r="A33" s="40"/>
      <c r="B33" s="41"/>
      <c r="C33" s="42"/>
      <c r="D33" s="40"/>
      <c r="E33" s="42"/>
      <c r="F33" s="40"/>
      <c r="G33" s="40"/>
      <c r="H33" s="40"/>
      <c r="I33" s="44">
        <f t="shared" si="5"/>
        <v>0</v>
      </c>
      <c r="J33" s="44">
        <f t="shared" si="6"/>
        <v>0</v>
      </c>
      <c r="K33" s="44">
        <f t="shared" si="7"/>
        <v>0</v>
      </c>
      <c r="L33" s="45"/>
      <c r="M33" s="40"/>
      <c r="N33" s="43">
        <f t="shared" si="8"/>
        <v>0</v>
      </c>
      <c r="O33" s="43">
        <f t="shared" si="9"/>
        <v>0</v>
      </c>
      <c r="P33" s="46"/>
      <c r="Q33" s="40"/>
      <c r="R33" s="40"/>
      <c r="S33" s="40"/>
      <c r="T33" s="5"/>
    </row>
    <row r="34" spans="1:20" ht="15">
      <c r="A34" s="58"/>
      <c r="B34" s="59"/>
      <c r="C34" s="60"/>
      <c r="D34" s="58"/>
      <c r="E34" s="60"/>
      <c r="F34" s="58"/>
      <c r="G34" s="58"/>
      <c r="H34" s="58"/>
      <c r="I34" s="61">
        <f t="shared" si="5"/>
        <v>0</v>
      </c>
      <c r="J34" s="61">
        <f t="shared" si="6"/>
        <v>0</v>
      </c>
      <c r="K34" s="61">
        <f t="shared" si="7"/>
        <v>0</v>
      </c>
      <c r="L34" s="62"/>
      <c r="M34" s="58"/>
      <c r="N34" s="63">
        <f t="shared" si="8"/>
        <v>0</v>
      </c>
      <c r="O34" s="63">
        <f t="shared" si="9"/>
        <v>0</v>
      </c>
      <c r="P34" s="64"/>
      <c r="Q34" s="58"/>
      <c r="R34" s="58"/>
      <c r="S34" s="58"/>
      <c r="T34" s="68"/>
    </row>
    <row r="35" spans="1:20" ht="15">
      <c r="A35" s="40"/>
      <c r="B35" s="41"/>
      <c r="C35" s="42"/>
      <c r="D35" s="40"/>
      <c r="E35" s="42"/>
      <c r="F35" s="40"/>
      <c r="G35" s="40"/>
      <c r="H35" s="40"/>
      <c r="I35" s="44">
        <f t="shared" si="5"/>
        <v>0</v>
      </c>
      <c r="J35" s="44">
        <f t="shared" si="6"/>
        <v>0</v>
      </c>
      <c r="K35" s="44">
        <f t="shared" si="7"/>
        <v>0</v>
      </c>
      <c r="L35" s="45"/>
      <c r="M35" s="40"/>
      <c r="N35" s="43">
        <f t="shared" si="8"/>
        <v>0</v>
      </c>
      <c r="O35" s="43">
        <f t="shared" si="9"/>
        <v>0</v>
      </c>
      <c r="P35" s="46"/>
      <c r="Q35" s="40"/>
      <c r="R35" s="40"/>
      <c r="S35" s="40"/>
      <c r="T35" s="5"/>
    </row>
    <row r="36" spans="1:20" ht="15">
      <c r="A36" s="58"/>
      <c r="B36" s="59"/>
      <c r="C36" s="60"/>
      <c r="D36" s="58"/>
      <c r="E36" s="60"/>
      <c r="F36" s="58"/>
      <c r="G36" s="58"/>
      <c r="H36" s="58"/>
      <c r="I36" s="61">
        <f t="shared" si="5"/>
        <v>0</v>
      </c>
      <c r="J36" s="61">
        <f t="shared" si="6"/>
        <v>0</v>
      </c>
      <c r="K36" s="61">
        <f t="shared" si="7"/>
        <v>0</v>
      </c>
      <c r="L36" s="62"/>
      <c r="M36" s="58"/>
      <c r="N36" s="63">
        <f t="shared" si="8"/>
        <v>0</v>
      </c>
      <c r="O36" s="63">
        <f t="shared" si="9"/>
        <v>0</v>
      </c>
      <c r="P36" s="64"/>
      <c r="Q36" s="58"/>
      <c r="R36" s="58"/>
      <c r="S36" s="58"/>
      <c r="T36" s="68"/>
    </row>
    <row r="37" spans="1:20" ht="15">
      <c r="A37" s="40"/>
      <c r="B37" s="41"/>
      <c r="C37" s="42"/>
      <c r="D37" s="40"/>
      <c r="E37" s="42"/>
      <c r="F37" s="40"/>
      <c r="G37" s="40"/>
      <c r="H37" s="40"/>
      <c r="I37" s="44">
        <f t="shared" si="5"/>
        <v>0</v>
      </c>
      <c r="J37" s="44">
        <f t="shared" si="6"/>
        <v>0</v>
      </c>
      <c r="K37" s="44">
        <f t="shared" si="7"/>
        <v>0</v>
      </c>
      <c r="L37" s="45"/>
      <c r="M37" s="40"/>
      <c r="N37" s="43">
        <f t="shared" si="8"/>
        <v>0</v>
      </c>
      <c r="O37" s="43">
        <f t="shared" si="9"/>
        <v>0</v>
      </c>
      <c r="P37" s="46"/>
      <c r="Q37" s="40"/>
      <c r="R37" s="40"/>
      <c r="S37" s="40"/>
      <c r="T37" s="5"/>
    </row>
    <row r="38" spans="1:20" ht="15">
      <c r="A38" s="58"/>
      <c r="B38" s="59"/>
      <c r="C38" s="60"/>
      <c r="D38" s="58"/>
      <c r="E38" s="60"/>
      <c r="F38" s="58"/>
      <c r="G38" s="58"/>
      <c r="H38" s="58"/>
      <c r="I38" s="61">
        <f t="shared" si="5"/>
        <v>0</v>
      </c>
      <c r="J38" s="61">
        <f t="shared" si="6"/>
        <v>0</v>
      </c>
      <c r="K38" s="61">
        <f t="shared" si="7"/>
        <v>0</v>
      </c>
      <c r="L38" s="62"/>
      <c r="M38" s="58"/>
      <c r="N38" s="63">
        <f t="shared" si="8"/>
        <v>0</v>
      </c>
      <c r="O38" s="63">
        <f t="shared" si="9"/>
        <v>0</v>
      </c>
      <c r="P38" s="64"/>
      <c r="Q38" s="58"/>
      <c r="R38" s="58"/>
      <c r="S38" s="58"/>
      <c r="T38" s="68"/>
    </row>
    <row r="39" spans="1:20" ht="15">
      <c r="A39" s="40"/>
      <c r="B39" s="41"/>
      <c r="C39" s="42"/>
      <c r="D39" s="40"/>
      <c r="E39" s="42"/>
      <c r="F39" s="40"/>
      <c r="G39" s="40"/>
      <c r="H39" s="40"/>
      <c r="I39" s="44">
        <f t="shared" si="5"/>
        <v>0</v>
      </c>
      <c r="J39" s="44">
        <f t="shared" si="6"/>
        <v>0</v>
      </c>
      <c r="K39" s="44">
        <f t="shared" si="7"/>
        <v>0</v>
      </c>
      <c r="L39" s="45"/>
      <c r="M39" s="40"/>
      <c r="N39" s="43">
        <f t="shared" si="8"/>
        <v>0</v>
      </c>
      <c r="O39" s="43">
        <f t="shared" si="9"/>
        <v>0</v>
      </c>
      <c r="P39" s="46"/>
      <c r="Q39" s="40"/>
      <c r="R39" s="40"/>
      <c r="S39" s="40"/>
      <c r="T39" s="5"/>
    </row>
    <row r="40" spans="1:20" ht="15">
      <c r="A40" s="58"/>
      <c r="B40" s="59"/>
      <c r="C40" s="60"/>
      <c r="D40" s="58"/>
      <c r="E40" s="60"/>
      <c r="F40" s="58"/>
      <c r="G40" s="58"/>
      <c r="H40" s="58"/>
      <c r="I40" s="61">
        <f t="shared" si="5"/>
        <v>0</v>
      </c>
      <c r="J40" s="61">
        <f t="shared" si="6"/>
        <v>0</v>
      </c>
      <c r="K40" s="61">
        <f t="shared" si="7"/>
        <v>0</v>
      </c>
      <c r="L40" s="62"/>
      <c r="M40" s="58"/>
      <c r="N40" s="63">
        <f t="shared" si="8"/>
        <v>0</v>
      </c>
      <c r="O40" s="63">
        <f t="shared" si="9"/>
        <v>0</v>
      </c>
      <c r="P40" s="64"/>
      <c r="Q40" s="58"/>
      <c r="R40" s="58"/>
      <c r="S40" s="58"/>
      <c r="T40" s="68"/>
    </row>
    <row r="41" spans="1:20" ht="15">
      <c r="A41" s="40"/>
      <c r="B41" s="41"/>
      <c r="C41" s="42"/>
      <c r="D41" s="40"/>
      <c r="E41" s="42"/>
      <c r="F41" s="40"/>
      <c r="G41" s="40"/>
      <c r="H41" s="40"/>
      <c r="I41" s="44">
        <f t="shared" si="5"/>
        <v>0</v>
      </c>
      <c r="J41" s="44">
        <f t="shared" si="6"/>
        <v>0</v>
      </c>
      <c r="K41" s="44">
        <f t="shared" si="7"/>
        <v>0</v>
      </c>
      <c r="L41" s="45"/>
      <c r="M41" s="40"/>
      <c r="N41" s="43">
        <f t="shared" si="8"/>
        <v>0</v>
      </c>
      <c r="O41" s="43">
        <f t="shared" si="9"/>
        <v>0</v>
      </c>
      <c r="P41" s="46"/>
      <c r="Q41" s="40"/>
      <c r="R41" s="40"/>
      <c r="S41" s="40"/>
      <c r="T41" s="5"/>
    </row>
    <row r="42" spans="1:20" ht="15">
      <c r="A42" s="69"/>
      <c r="B42" s="70"/>
      <c r="C42" s="71"/>
      <c r="D42" s="69"/>
      <c r="E42" s="71"/>
      <c r="F42" s="69"/>
      <c r="G42" s="69"/>
      <c r="H42" s="69"/>
      <c r="I42" s="72">
        <f t="shared" ref="I42" si="10">F42-G42</f>
        <v>0</v>
      </c>
      <c r="J42" s="72">
        <f t="shared" ref="J42" si="11">S42+T42</f>
        <v>0</v>
      </c>
      <c r="K42" s="72">
        <f t="shared" ref="K42" si="12">I42-J42</f>
        <v>0</v>
      </c>
      <c r="L42" s="73"/>
      <c r="M42" s="69"/>
      <c r="N42" s="74">
        <f t="shared" ref="N42" si="13">I42-J42-M42-R42</f>
        <v>0</v>
      </c>
      <c r="O42" s="74">
        <f t="shared" ref="O42" si="14">R42+S42+T42</f>
        <v>0</v>
      </c>
      <c r="P42" s="75"/>
      <c r="Q42" s="69"/>
      <c r="R42" s="69"/>
      <c r="S42" s="69"/>
      <c r="T42" s="76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2476" priority="35" operator="containsText" text="SIN FACTURA ">
      <formula>NOT(ISERROR(SEARCH("SIN FACTURA ",A2)))</formula>
    </cfRule>
  </conditionalFormatting>
  <conditionalFormatting sqref="A32:T42 J7:T14 A4:T4 A5:H5 J5:T5 I5:I31">
    <cfRule type="containsText" dxfId="2475" priority="34" operator="containsText" text="SIN FACTURA">
      <formula>NOT(ISERROR(SEARCH("SIN FACTURA",A4)))</formula>
    </cfRule>
  </conditionalFormatting>
  <conditionalFormatting sqref="J31:T31 J29:T29 J27:T27 J25:T25 J23:T23 J21:T21 J19:T19 J17:T17 J15:T15 A7:H15 A17:H17 A19:H19 A21:H21 A23:H23 A25:H25 A27:H27 A29:H29 A31:H31">
    <cfRule type="containsText" dxfId="2474" priority="25" operator="containsText" text="SIN FACTURA">
      <formula>NOT(ISERROR(SEARCH("SIN FACTURA",A7)))</formula>
    </cfRule>
  </conditionalFormatting>
  <conditionalFormatting sqref="C6:H6 J6:V6">
    <cfRule type="containsText" dxfId="2473" priority="24" operator="containsText" text="SIN FACTURA">
      <formula>NOT(ISERROR(SEARCH("SIN FACTURA",C6)))</formula>
    </cfRule>
  </conditionalFormatting>
  <conditionalFormatting sqref="C16:H16 J16:V16">
    <cfRule type="containsText" dxfId="2472" priority="20" operator="containsText" text="SIN FACTURA">
      <formula>NOT(ISERROR(SEARCH("SIN FACTURA",C16)))</formula>
    </cfRule>
  </conditionalFormatting>
  <conditionalFormatting sqref="C18:H18 J18:V18">
    <cfRule type="containsText" dxfId="2471" priority="19" operator="containsText" text="SIN FACTURA">
      <formula>NOT(ISERROR(SEARCH("SIN FACTURA",C18)))</formula>
    </cfRule>
  </conditionalFormatting>
  <conditionalFormatting sqref="C20:H20 J20:V20">
    <cfRule type="containsText" dxfId="2470" priority="18" operator="containsText" text="SIN FACTURA">
      <formula>NOT(ISERROR(SEARCH("SIN FACTURA",C20)))</formula>
    </cfRule>
  </conditionalFormatting>
  <conditionalFormatting sqref="C22:H22 J22:V22">
    <cfRule type="containsText" dxfId="2469" priority="17" operator="containsText" text="SIN FACTURA">
      <formula>NOT(ISERROR(SEARCH("SIN FACTURA",C22)))</formula>
    </cfRule>
  </conditionalFormatting>
  <conditionalFormatting sqref="C24:H24 J24:V24">
    <cfRule type="containsText" dxfId="2468" priority="16" operator="containsText" text="SIN FACTURA">
      <formula>NOT(ISERROR(SEARCH("SIN FACTURA",C24)))</formula>
    </cfRule>
  </conditionalFormatting>
  <conditionalFormatting sqref="C26:H26 J26:V26">
    <cfRule type="containsText" dxfId="2467" priority="15" operator="containsText" text="SIN FACTURA">
      <formula>NOT(ISERROR(SEARCH("SIN FACTURA",C26)))</formula>
    </cfRule>
  </conditionalFormatting>
  <conditionalFormatting sqref="C28:H28 J28:V28">
    <cfRule type="containsText" dxfId="2466" priority="14" operator="containsText" text="SIN FACTURA">
      <formula>NOT(ISERROR(SEARCH("SIN FACTURA",C28)))</formula>
    </cfRule>
  </conditionalFormatting>
  <conditionalFormatting sqref="C30:H30 J30:V30">
    <cfRule type="containsText" dxfId="2465" priority="13" operator="containsText" text="SIN FACTURA">
      <formula>NOT(ISERROR(SEARCH("SIN FACTURA",C30)))</formula>
    </cfRule>
  </conditionalFormatting>
  <conditionalFormatting sqref="A6:B6">
    <cfRule type="containsText" dxfId="2464" priority="12" operator="containsText" text="SIN FACTURA">
      <formula>NOT(ISERROR(SEARCH("SIN FACTURA",A6)))</formula>
    </cfRule>
  </conditionalFormatting>
  <conditionalFormatting sqref="A16:B16">
    <cfRule type="containsText" dxfId="2463" priority="8" operator="containsText" text="SIN FACTURA">
      <formula>NOT(ISERROR(SEARCH("SIN FACTURA",A16)))</formula>
    </cfRule>
  </conditionalFormatting>
  <conditionalFormatting sqref="A18:B18">
    <cfRule type="containsText" dxfId="2462" priority="7" operator="containsText" text="SIN FACTURA">
      <formula>NOT(ISERROR(SEARCH("SIN FACTURA",A18)))</formula>
    </cfRule>
  </conditionalFormatting>
  <conditionalFormatting sqref="A30:B30">
    <cfRule type="containsText" dxfId="2461" priority="1" operator="containsText" text="SIN FACTURA">
      <formula>NOT(ISERROR(SEARCH("SIN FACTURA",A30)))</formula>
    </cfRule>
  </conditionalFormatting>
  <conditionalFormatting sqref="A20:B20">
    <cfRule type="containsText" dxfId="2460" priority="6" operator="containsText" text="SIN FACTURA">
      <formula>NOT(ISERROR(SEARCH("SIN FACTURA",A20)))</formula>
    </cfRule>
  </conditionalFormatting>
  <conditionalFormatting sqref="A22:B22">
    <cfRule type="containsText" dxfId="2459" priority="5" operator="containsText" text="SIN FACTURA">
      <formula>NOT(ISERROR(SEARCH("SIN FACTURA",A22)))</formula>
    </cfRule>
  </conditionalFormatting>
  <conditionalFormatting sqref="A24:B24">
    <cfRule type="containsText" dxfId="2458" priority="4" operator="containsText" text="SIN FACTURA">
      <formula>NOT(ISERROR(SEARCH("SIN FACTURA",A24)))</formula>
    </cfRule>
  </conditionalFormatting>
  <conditionalFormatting sqref="A26:B26">
    <cfRule type="containsText" dxfId="2457" priority="3" operator="containsText" text="SIN FACTURA">
      <formula>NOT(ISERROR(SEARCH("SIN FACTURA",A26)))</formula>
    </cfRule>
  </conditionalFormatting>
  <conditionalFormatting sqref="A28:B28">
    <cfRule type="containsText" dxfId="2456" priority="2" operator="containsText" text="SIN FACTURA">
      <formula>NOT(ISERROR(SEARCH("SIN FACTURA",A28)))</formula>
    </cfRule>
  </conditionalFormatting>
  <pageMargins left="0.75" right="0.75" top="1" bottom="1" header="0.5" footer="0.5"/>
  <pageSetup paperSize="9" orientation="portrait" horizontalDpi="4294967292" verticalDpi="4294967292"/>
</worksheet>
</file>

<file path=xl/worksheets/sheet70.xml><?xml version="1.0" encoding="utf-8"?>
<worksheet xmlns="http://schemas.openxmlformats.org/spreadsheetml/2006/main" xmlns:r="http://schemas.openxmlformats.org/officeDocument/2006/relationships">
  <sheetPr codeName="Hoja82"/>
  <dimension ref="A1:Y28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13" sqref="A5:XFD13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443</v>
      </c>
      <c r="B1" s="18" t="s">
        <v>157</v>
      </c>
      <c r="C1" s="20"/>
      <c r="D1" s="4">
        <v>90099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32"/>
      <c r="B5" s="33"/>
      <c r="C5" s="34"/>
      <c r="D5" s="32"/>
      <c r="E5" s="32"/>
      <c r="F5" s="32"/>
      <c r="G5" s="37"/>
      <c r="H5" s="37"/>
      <c r="I5" s="37"/>
      <c r="J5" s="35"/>
      <c r="K5" s="35"/>
      <c r="L5" s="36"/>
      <c r="M5" s="32"/>
      <c r="N5" s="37"/>
      <c r="O5" s="37"/>
      <c r="P5" s="38"/>
      <c r="Q5" s="32"/>
      <c r="R5" s="32"/>
      <c r="S5" s="32"/>
      <c r="T5" s="39"/>
    </row>
    <row r="6" spans="1:25" ht="15">
      <c r="A6" s="40"/>
      <c r="B6" s="41"/>
      <c r="C6" s="42"/>
      <c r="D6" s="40"/>
      <c r="E6" s="40"/>
      <c r="F6" s="40"/>
      <c r="G6" s="43">
        <f>F6*6%</f>
        <v>0</v>
      </c>
      <c r="H6" s="43"/>
      <c r="I6" s="44">
        <f t="shared" ref="I6:I28" si="0">F6-G6-H6</f>
        <v>0</v>
      </c>
      <c r="J6" s="44">
        <f t="shared" ref="J6:J28" si="1">S6+T6</f>
        <v>0</v>
      </c>
      <c r="K6" s="44">
        <f t="shared" ref="K6:K28" si="2">I6-J6</f>
        <v>0</v>
      </c>
      <c r="L6" s="45"/>
      <c r="M6" s="40"/>
      <c r="N6" s="43">
        <f t="shared" ref="N6:N28" si="3">I6-J6-M6-R6</f>
        <v>0</v>
      </c>
      <c r="O6" s="43">
        <f t="shared" ref="O6:O28" si="4">R6+S6+T6</f>
        <v>0</v>
      </c>
      <c r="P6" s="46"/>
      <c r="Q6" s="40"/>
      <c r="R6" s="40"/>
      <c r="S6" s="40"/>
      <c r="T6" s="5"/>
    </row>
    <row r="7" spans="1:25" ht="15">
      <c r="A7" s="32"/>
      <c r="B7" s="33"/>
      <c r="C7" s="32"/>
      <c r="D7" s="33"/>
      <c r="E7" s="34"/>
      <c r="F7" s="32"/>
      <c r="G7" s="37"/>
      <c r="H7" s="32"/>
      <c r="I7" s="37"/>
      <c r="J7" s="37"/>
      <c r="K7" s="35"/>
      <c r="L7" s="35"/>
      <c r="M7" s="35"/>
      <c r="N7" s="36"/>
      <c r="O7" s="32"/>
      <c r="P7" s="37"/>
      <c r="Q7" s="37"/>
      <c r="R7" s="38"/>
      <c r="S7" s="32"/>
      <c r="T7" s="39"/>
    </row>
    <row r="8" spans="1:25" ht="15">
      <c r="A8" s="40"/>
      <c r="B8" s="41"/>
      <c r="C8" s="42"/>
      <c r="D8" s="40"/>
      <c r="E8" s="40"/>
      <c r="F8" s="40"/>
      <c r="G8" s="43">
        <f>F8*6%</f>
        <v>0</v>
      </c>
      <c r="H8" s="43"/>
      <c r="I8" s="44">
        <f t="shared" si="0"/>
        <v>0</v>
      </c>
      <c r="J8" s="44">
        <f t="shared" si="1"/>
        <v>0</v>
      </c>
      <c r="K8" s="44">
        <f t="shared" si="2"/>
        <v>0</v>
      </c>
      <c r="L8" s="45"/>
      <c r="M8" s="40"/>
      <c r="N8" s="43">
        <f t="shared" si="3"/>
        <v>0</v>
      </c>
      <c r="O8" s="43">
        <f t="shared" si="4"/>
        <v>0</v>
      </c>
      <c r="P8" s="46"/>
      <c r="Q8" s="40"/>
      <c r="R8" s="40"/>
      <c r="S8" s="40"/>
      <c r="T8" s="5"/>
    </row>
    <row r="9" spans="1:25" ht="15">
      <c r="A9" s="32"/>
      <c r="B9" s="33"/>
      <c r="C9" s="32"/>
      <c r="D9" s="33"/>
      <c r="E9" s="34"/>
      <c r="F9" s="32"/>
      <c r="G9" s="32"/>
      <c r="H9" s="32"/>
      <c r="I9" s="37"/>
      <c r="J9" s="37"/>
      <c r="K9" s="35"/>
      <c r="L9" s="35"/>
      <c r="M9" s="35"/>
      <c r="N9" s="36"/>
      <c r="O9" s="32"/>
      <c r="P9" s="37"/>
      <c r="Q9" s="37"/>
      <c r="R9" s="38"/>
      <c r="S9" s="32"/>
      <c r="T9" s="39"/>
      <c r="U9" s="6"/>
      <c r="V9" s="6"/>
    </row>
    <row r="10" spans="1:25" ht="15">
      <c r="A10" s="40"/>
      <c r="B10" s="41"/>
      <c r="C10" s="42"/>
      <c r="D10" s="40"/>
      <c r="E10" s="40"/>
      <c r="F10" s="40"/>
      <c r="G10" s="43">
        <f>F10*6%</f>
        <v>0</v>
      </c>
      <c r="H10" s="43"/>
      <c r="I10" s="44">
        <f t="shared" si="0"/>
        <v>0</v>
      </c>
      <c r="J10" s="44">
        <f t="shared" si="1"/>
        <v>0</v>
      </c>
      <c r="K10" s="44">
        <f t="shared" si="2"/>
        <v>0</v>
      </c>
      <c r="L10" s="45"/>
      <c r="M10" s="40"/>
      <c r="N10" s="43">
        <f t="shared" si="3"/>
        <v>0</v>
      </c>
      <c r="O10" s="43">
        <f t="shared" si="4"/>
        <v>0</v>
      </c>
      <c r="P10" s="46"/>
      <c r="Q10" s="40"/>
      <c r="R10" s="40"/>
      <c r="S10" s="40"/>
      <c r="T10" s="5"/>
    </row>
    <row r="11" spans="1:25" ht="15">
      <c r="A11" s="32"/>
      <c r="B11" s="33"/>
      <c r="C11" s="32"/>
      <c r="D11" s="33"/>
      <c r="E11" s="34"/>
      <c r="F11" s="32"/>
      <c r="G11" s="32"/>
      <c r="H11" s="32"/>
      <c r="I11" s="37"/>
      <c r="J11" s="37"/>
      <c r="K11" s="35"/>
      <c r="L11" s="35"/>
      <c r="M11" s="35"/>
      <c r="N11" s="36"/>
      <c r="O11" s="32"/>
      <c r="P11" s="37"/>
      <c r="Q11" s="37"/>
      <c r="R11" s="38"/>
      <c r="S11" s="32"/>
      <c r="T11" s="39"/>
      <c r="U11" s="6"/>
      <c r="V11" s="6"/>
    </row>
    <row r="12" spans="1:25" ht="15">
      <c r="A12" s="40"/>
      <c r="B12" s="41"/>
      <c r="C12" s="42"/>
      <c r="D12" s="40"/>
      <c r="E12" s="40"/>
      <c r="F12" s="40"/>
      <c r="G12" s="43">
        <f>F12*6%</f>
        <v>0</v>
      </c>
      <c r="H12" s="43"/>
      <c r="I12" s="44">
        <f t="shared" si="0"/>
        <v>0</v>
      </c>
      <c r="J12" s="44">
        <f t="shared" si="1"/>
        <v>0</v>
      </c>
      <c r="K12" s="44">
        <f t="shared" si="2"/>
        <v>0</v>
      </c>
      <c r="L12" s="45"/>
      <c r="M12" s="40"/>
      <c r="N12" s="43">
        <f t="shared" si="3"/>
        <v>0</v>
      </c>
      <c r="O12" s="43">
        <f t="shared" si="4"/>
        <v>0</v>
      </c>
      <c r="P12" s="46"/>
      <c r="Q12" s="40"/>
      <c r="R12" s="40"/>
      <c r="S12" s="40"/>
      <c r="T12" s="5"/>
    </row>
    <row r="13" spans="1:25" ht="15">
      <c r="A13" s="32"/>
      <c r="B13" s="33"/>
      <c r="C13" s="32"/>
      <c r="D13" s="33"/>
      <c r="E13" s="34"/>
      <c r="F13" s="32"/>
      <c r="G13" s="32"/>
      <c r="H13" s="32"/>
      <c r="I13" s="37"/>
      <c r="J13" s="37"/>
      <c r="K13" s="35"/>
      <c r="L13" s="35"/>
      <c r="M13" s="35"/>
      <c r="N13" s="36"/>
      <c r="O13" s="32"/>
      <c r="P13" s="37"/>
      <c r="Q13" s="37"/>
      <c r="R13" s="38"/>
      <c r="S13" s="32"/>
      <c r="T13" s="39"/>
      <c r="U13" s="6"/>
      <c r="V13" s="6"/>
    </row>
    <row r="14" spans="1:25" ht="15">
      <c r="A14" s="40"/>
      <c r="B14" s="41"/>
      <c r="C14" s="42"/>
      <c r="D14" s="40"/>
      <c r="E14" s="40"/>
      <c r="F14" s="40"/>
      <c r="G14" s="43">
        <f>F14*6%</f>
        <v>0</v>
      </c>
      <c r="H14" s="43"/>
      <c r="I14" s="44">
        <f t="shared" si="0"/>
        <v>0</v>
      </c>
      <c r="J14" s="44">
        <f t="shared" si="1"/>
        <v>0</v>
      </c>
      <c r="K14" s="44">
        <f t="shared" si="2"/>
        <v>0</v>
      </c>
      <c r="L14" s="45"/>
      <c r="M14" s="40"/>
      <c r="N14" s="43">
        <f t="shared" si="3"/>
        <v>0</v>
      </c>
      <c r="O14" s="43">
        <f t="shared" si="4"/>
        <v>0</v>
      </c>
      <c r="P14" s="46"/>
      <c r="Q14" s="40"/>
      <c r="R14" s="40"/>
      <c r="S14" s="40"/>
      <c r="T14" s="5"/>
    </row>
    <row r="15" spans="1:25" ht="15">
      <c r="A15" s="32"/>
      <c r="B15" s="33"/>
      <c r="C15" s="32"/>
      <c r="D15" s="33"/>
      <c r="E15" s="34"/>
      <c r="F15" s="32"/>
      <c r="G15" s="32"/>
      <c r="H15" s="32"/>
      <c r="I15" s="37"/>
      <c r="J15" s="37"/>
      <c r="K15" s="35"/>
      <c r="L15" s="35"/>
      <c r="M15" s="35"/>
      <c r="N15" s="36"/>
      <c r="O15" s="32"/>
      <c r="P15" s="37"/>
      <c r="Q15" s="37"/>
      <c r="R15" s="38"/>
      <c r="S15" s="32"/>
      <c r="T15" s="39"/>
      <c r="U15" s="6"/>
      <c r="V15" s="6"/>
    </row>
    <row r="16" spans="1:25" ht="15">
      <c r="A16" s="40"/>
      <c r="B16" s="41"/>
      <c r="C16" s="42"/>
      <c r="D16" s="40"/>
      <c r="E16" s="40"/>
      <c r="F16" s="40"/>
      <c r="G16" s="43">
        <f>F16*6%</f>
        <v>0</v>
      </c>
      <c r="H16" s="43"/>
      <c r="I16" s="44">
        <f t="shared" si="0"/>
        <v>0</v>
      </c>
      <c r="J16" s="44">
        <f t="shared" si="1"/>
        <v>0</v>
      </c>
      <c r="K16" s="44">
        <f t="shared" si="2"/>
        <v>0</v>
      </c>
      <c r="L16" s="45"/>
      <c r="M16" s="40"/>
      <c r="N16" s="43">
        <f t="shared" si="3"/>
        <v>0</v>
      </c>
      <c r="O16" s="43">
        <f t="shared" si="4"/>
        <v>0</v>
      </c>
      <c r="P16" s="46"/>
      <c r="Q16" s="40"/>
      <c r="R16" s="40"/>
      <c r="S16" s="40"/>
      <c r="T16" s="5"/>
    </row>
    <row r="17" spans="1:22" ht="15">
      <c r="A17" s="32"/>
      <c r="B17" s="33"/>
      <c r="C17" s="32"/>
      <c r="D17" s="33"/>
      <c r="E17" s="34"/>
      <c r="F17" s="32"/>
      <c r="G17" s="32"/>
      <c r="H17" s="32"/>
      <c r="I17" s="37"/>
      <c r="J17" s="37"/>
      <c r="K17" s="35"/>
      <c r="L17" s="35"/>
      <c r="M17" s="35"/>
      <c r="N17" s="36"/>
      <c r="O17" s="32"/>
      <c r="P17" s="37"/>
      <c r="Q17" s="37"/>
      <c r="R17" s="38"/>
      <c r="S17" s="32"/>
      <c r="T17" s="39"/>
      <c r="U17" s="6"/>
      <c r="V17" s="6"/>
    </row>
    <row r="18" spans="1:22" ht="15">
      <c r="A18" s="40"/>
      <c r="B18" s="41"/>
      <c r="C18" s="42"/>
      <c r="D18" s="40"/>
      <c r="E18" s="40"/>
      <c r="F18" s="40"/>
      <c r="G18" s="43">
        <f>F18*6%</f>
        <v>0</v>
      </c>
      <c r="H18" s="43"/>
      <c r="I18" s="44">
        <f t="shared" si="0"/>
        <v>0</v>
      </c>
      <c r="J18" s="44">
        <f t="shared" si="1"/>
        <v>0</v>
      </c>
      <c r="K18" s="44">
        <f t="shared" si="2"/>
        <v>0</v>
      </c>
      <c r="L18" s="45"/>
      <c r="M18" s="40"/>
      <c r="N18" s="43">
        <f t="shared" si="3"/>
        <v>0</v>
      </c>
      <c r="O18" s="43">
        <f t="shared" si="4"/>
        <v>0</v>
      </c>
      <c r="P18" s="46"/>
      <c r="Q18" s="40"/>
      <c r="R18" s="40"/>
      <c r="S18" s="40"/>
      <c r="T18" s="5"/>
    </row>
    <row r="19" spans="1:22" ht="15">
      <c r="A19" s="32"/>
      <c r="B19" s="33"/>
      <c r="C19" s="32"/>
      <c r="D19" s="33"/>
      <c r="E19" s="34"/>
      <c r="F19" s="32"/>
      <c r="G19" s="32"/>
      <c r="H19" s="32"/>
      <c r="I19" s="37"/>
      <c r="J19" s="37"/>
      <c r="K19" s="35"/>
      <c r="L19" s="35"/>
      <c r="M19" s="35"/>
      <c r="N19" s="36"/>
      <c r="O19" s="32"/>
      <c r="P19" s="37"/>
      <c r="Q19" s="37"/>
      <c r="R19" s="38"/>
      <c r="S19" s="32"/>
      <c r="T19" s="39"/>
      <c r="U19" s="6"/>
      <c r="V19" s="6"/>
    </row>
    <row r="20" spans="1:22" ht="15">
      <c r="A20" s="40"/>
      <c r="B20" s="41"/>
      <c r="C20" s="42"/>
      <c r="D20" s="40"/>
      <c r="E20" s="40"/>
      <c r="F20" s="40"/>
      <c r="G20" s="43">
        <f>F20*6%</f>
        <v>0</v>
      </c>
      <c r="H20" s="43"/>
      <c r="I20" s="44">
        <f t="shared" si="0"/>
        <v>0</v>
      </c>
      <c r="J20" s="44">
        <f t="shared" si="1"/>
        <v>0</v>
      </c>
      <c r="K20" s="44">
        <f t="shared" si="2"/>
        <v>0</v>
      </c>
      <c r="L20" s="45"/>
      <c r="M20" s="40"/>
      <c r="N20" s="43">
        <f t="shared" si="3"/>
        <v>0</v>
      </c>
      <c r="O20" s="43">
        <f t="shared" si="4"/>
        <v>0</v>
      </c>
      <c r="P20" s="46"/>
      <c r="Q20" s="40"/>
      <c r="R20" s="40"/>
      <c r="S20" s="40"/>
      <c r="T20" s="5"/>
    </row>
    <row r="21" spans="1:22" ht="15">
      <c r="A21" s="32"/>
      <c r="B21" s="33"/>
      <c r="C21" s="32"/>
      <c r="D21" s="33"/>
      <c r="E21" s="34"/>
      <c r="F21" s="32"/>
      <c r="G21" s="32"/>
      <c r="H21" s="32"/>
      <c r="I21" s="37"/>
      <c r="J21" s="37"/>
      <c r="K21" s="35"/>
      <c r="L21" s="35"/>
      <c r="M21" s="35"/>
      <c r="N21" s="36"/>
      <c r="O21" s="32"/>
      <c r="P21" s="37"/>
      <c r="Q21" s="37"/>
      <c r="R21" s="38"/>
      <c r="S21" s="32"/>
      <c r="T21" s="39"/>
      <c r="U21" s="6"/>
      <c r="V21" s="6"/>
    </row>
    <row r="22" spans="1:22" ht="15">
      <c r="A22" s="40"/>
      <c r="B22" s="41"/>
      <c r="C22" s="42"/>
      <c r="D22" s="40"/>
      <c r="E22" s="40"/>
      <c r="F22" s="40"/>
      <c r="G22" s="43">
        <f>F22*6%</f>
        <v>0</v>
      </c>
      <c r="H22" s="43"/>
      <c r="I22" s="44">
        <f t="shared" si="0"/>
        <v>0</v>
      </c>
      <c r="J22" s="44">
        <f t="shared" si="1"/>
        <v>0</v>
      </c>
      <c r="K22" s="44">
        <f t="shared" si="2"/>
        <v>0</v>
      </c>
      <c r="L22" s="45"/>
      <c r="M22" s="40"/>
      <c r="N22" s="43">
        <f t="shared" si="3"/>
        <v>0</v>
      </c>
      <c r="O22" s="43">
        <f t="shared" si="4"/>
        <v>0</v>
      </c>
      <c r="P22" s="46"/>
      <c r="Q22" s="40"/>
      <c r="R22" s="40"/>
      <c r="S22" s="40"/>
      <c r="T22" s="5"/>
    </row>
    <row r="23" spans="1:22" ht="15">
      <c r="A23" s="32"/>
      <c r="B23" s="33"/>
      <c r="C23" s="32"/>
      <c r="D23" s="33"/>
      <c r="E23" s="34"/>
      <c r="F23" s="32"/>
      <c r="G23" s="32"/>
      <c r="H23" s="32"/>
      <c r="I23" s="37"/>
      <c r="J23" s="37"/>
      <c r="K23" s="35"/>
      <c r="L23" s="35"/>
      <c r="M23" s="35"/>
      <c r="N23" s="36"/>
      <c r="O23" s="32"/>
      <c r="P23" s="37"/>
      <c r="Q23" s="37"/>
      <c r="R23" s="38"/>
      <c r="S23" s="32"/>
      <c r="T23" s="39"/>
      <c r="U23" s="6"/>
      <c r="V23" s="6"/>
    </row>
    <row r="24" spans="1:22" ht="15">
      <c r="A24" s="40"/>
      <c r="B24" s="41"/>
      <c r="C24" s="42"/>
      <c r="D24" s="40"/>
      <c r="E24" s="40"/>
      <c r="F24" s="40"/>
      <c r="G24" s="43">
        <f>F24*6%</f>
        <v>0</v>
      </c>
      <c r="H24" s="43"/>
      <c r="I24" s="44">
        <f t="shared" si="0"/>
        <v>0</v>
      </c>
      <c r="J24" s="44">
        <f t="shared" si="1"/>
        <v>0</v>
      </c>
      <c r="K24" s="44">
        <f t="shared" si="2"/>
        <v>0</v>
      </c>
      <c r="L24" s="45"/>
      <c r="M24" s="40"/>
      <c r="N24" s="43">
        <f t="shared" si="3"/>
        <v>0</v>
      </c>
      <c r="O24" s="43">
        <f t="shared" si="4"/>
        <v>0</v>
      </c>
      <c r="P24" s="46"/>
      <c r="Q24" s="40"/>
      <c r="R24" s="40"/>
      <c r="S24" s="40"/>
      <c r="T24" s="5"/>
    </row>
    <row r="25" spans="1:22" ht="15">
      <c r="A25" s="32"/>
      <c r="B25" s="33"/>
      <c r="C25" s="32"/>
      <c r="D25" s="33"/>
      <c r="E25" s="34"/>
      <c r="F25" s="32"/>
      <c r="G25" s="32"/>
      <c r="H25" s="32"/>
      <c r="I25" s="37"/>
      <c r="J25" s="37"/>
      <c r="K25" s="35"/>
      <c r="L25" s="35"/>
      <c r="M25" s="35"/>
      <c r="N25" s="36"/>
      <c r="O25" s="32"/>
      <c r="P25" s="37"/>
      <c r="Q25" s="37"/>
      <c r="R25" s="38"/>
      <c r="S25" s="32"/>
      <c r="T25" s="39"/>
      <c r="U25" s="6"/>
      <c r="V25" s="6"/>
    </row>
    <row r="26" spans="1:22" ht="15">
      <c r="A26" s="40"/>
      <c r="B26" s="41"/>
      <c r="C26" s="42"/>
      <c r="D26" s="40"/>
      <c r="E26" s="40"/>
      <c r="F26" s="40"/>
      <c r="G26" s="43">
        <f>F26*6%</f>
        <v>0</v>
      </c>
      <c r="H26" s="43"/>
      <c r="I26" s="44">
        <f t="shared" si="0"/>
        <v>0</v>
      </c>
      <c r="J26" s="44">
        <f t="shared" si="1"/>
        <v>0</v>
      </c>
      <c r="K26" s="44">
        <f t="shared" si="2"/>
        <v>0</v>
      </c>
      <c r="L26" s="45"/>
      <c r="M26" s="40"/>
      <c r="N26" s="43">
        <f t="shared" si="3"/>
        <v>0</v>
      </c>
      <c r="O26" s="43">
        <f t="shared" si="4"/>
        <v>0</v>
      </c>
      <c r="P26" s="46"/>
      <c r="Q26" s="40"/>
      <c r="R26" s="40"/>
      <c r="S26" s="40"/>
      <c r="T26" s="5"/>
    </row>
    <row r="27" spans="1:22" ht="15">
      <c r="A27" s="32"/>
      <c r="B27" s="33"/>
      <c r="C27" s="32"/>
      <c r="D27" s="33"/>
      <c r="E27" s="34"/>
      <c r="F27" s="32"/>
      <c r="G27" s="32"/>
      <c r="H27" s="32"/>
      <c r="I27" s="37"/>
      <c r="J27" s="37"/>
      <c r="K27" s="35"/>
      <c r="L27" s="35"/>
      <c r="M27" s="35"/>
      <c r="N27" s="36"/>
      <c r="O27" s="32"/>
      <c r="P27" s="37"/>
      <c r="Q27" s="37"/>
      <c r="R27" s="38"/>
      <c r="S27" s="32"/>
      <c r="T27" s="39"/>
      <c r="U27" s="6"/>
      <c r="V27" s="6"/>
    </row>
    <row r="28" spans="1:22" ht="15">
      <c r="A28" s="50"/>
      <c r="B28" s="51"/>
      <c r="C28" s="52"/>
      <c r="D28" s="50"/>
      <c r="E28" s="50"/>
      <c r="F28" s="50"/>
      <c r="G28" s="43">
        <f>F28*6%</f>
        <v>0</v>
      </c>
      <c r="H28" s="53"/>
      <c r="I28" s="78">
        <f t="shared" si="0"/>
        <v>0</v>
      </c>
      <c r="J28" s="54">
        <f t="shared" si="1"/>
        <v>0</v>
      </c>
      <c r="K28" s="54">
        <f t="shared" si="2"/>
        <v>0</v>
      </c>
      <c r="L28" s="55"/>
      <c r="M28" s="50"/>
      <c r="N28" s="53">
        <f t="shared" si="3"/>
        <v>0</v>
      </c>
      <c r="O28" s="53">
        <f t="shared" si="4"/>
        <v>0</v>
      </c>
      <c r="P28" s="56"/>
      <c r="Q28" s="50"/>
      <c r="R28" s="50"/>
      <c r="S28" s="50"/>
      <c r="T28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455" priority="28" operator="containsText" text="SIN FACTURA ">
      <formula>NOT(ISERROR(SEARCH("SIN FACTURA ",A2)))</formula>
    </cfRule>
  </conditionalFormatting>
  <conditionalFormatting sqref="J28:T28 J26:T26 J24:T24 J22:T22 J20:T20 J18:T18 J16:T16 J14:T14 J12:T12 J10:T10 J8:T8 A8:H8 A10:H10 A12:H12 A14:H14 A16:H16 A18:H18 A20:H20 A22:H22 A24:H24 A26:H26 A28:H28 J5:T6 A5:H6 I5:I28 A4:T4">
    <cfRule type="containsText" dxfId="2454" priority="27" operator="containsText" text="SIN FACTURA">
      <formula>NOT(ISERROR(SEARCH("SIN FACTURA",A4)))</formula>
    </cfRule>
  </conditionalFormatting>
  <conditionalFormatting sqref="C7:H7 J7:V7">
    <cfRule type="containsText" dxfId="2453" priority="25" operator="containsText" text="SIN FACTURA">
      <formula>NOT(ISERROR(SEARCH("SIN FACTURA",C7)))</formula>
    </cfRule>
  </conditionalFormatting>
  <conditionalFormatting sqref="C9:H9 J9:V9">
    <cfRule type="containsText" dxfId="2452" priority="24" operator="containsText" text="SIN FACTURA">
      <formula>NOT(ISERROR(SEARCH("SIN FACTURA",C9)))</formula>
    </cfRule>
  </conditionalFormatting>
  <conditionalFormatting sqref="C11:H11 J11:V11">
    <cfRule type="containsText" dxfId="2451" priority="23" operator="containsText" text="SIN FACTURA">
      <formula>NOT(ISERROR(SEARCH("SIN FACTURA",C11)))</formula>
    </cfRule>
  </conditionalFormatting>
  <conditionalFormatting sqref="C13:H13 J13:V13">
    <cfRule type="containsText" dxfId="2450" priority="22" operator="containsText" text="SIN FACTURA">
      <formula>NOT(ISERROR(SEARCH("SIN FACTURA",C13)))</formula>
    </cfRule>
  </conditionalFormatting>
  <conditionalFormatting sqref="C15:H15 J15:V15">
    <cfRule type="containsText" dxfId="2449" priority="21" operator="containsText" text="SIN FACTURA">
      <formula>NOT(ISERROR(SEARCH("SIN FACTURA",C15)))</formula>
    </cfRule>
  </conditionalFormatting>
  <conditionalFormatting sqref="C17:H17 J17:V17">
    <cfRule type="containsText" dxfId="2448" priority="20" operator="containsText" text="SIN FACTURA">
      <formula>NOT(ISERROR(SEARCH("SIN FACTURA",C17)))</formula>
    </cfRule>
  </conditionalFormatting>
  <conditionalFormatting sqref="C19:H19 J19:V19">
    <cfRule type="containsText" dxfId="2447" priority="19" operator="containsText" text="SIN FACTURA">
      <formula>NOT(ISERROR(SEARCH("SIN FACTURA",C19)))</formula>
    </cfRule>
  </conditionalFormatting>
  <conditionalFormatting sqref="C21:H21 J21:V21">
    <cfRule type="containsText" dxfId="2446" priority="18" operator="containsText" text="SIN FACTURA">
      <formula>NOT(ISERROR(SEARCH("SIN FACTURA",C21)))</formula>
    </cfRule>
  </conditionalFormatting>
  <conditionalFormatting sqref="C23:H23 J23:V23">
    <cfRule type="containsText" dxfId="2445" priority="17" operator="containsText" text="SIN FACTURA">
      <formula>NOT(ISERROR(SEARCH("SIN FACTURA",C23)))</formula>
    </cfRule>
  </conditionalFormatting>
  <conditionalFormatting sqref="C25:H25 J25:V25">
    <cfRule type="containsText" dxfId="2444" priority="16" operator="containsText" text="SIN FACTURA">
      <formula>NOT(ISERROR(SEARCH("SIN FACTURA",C25)))</formula>
    </cfRule>
  </conditionalFormatting>
  <conditionalFormatting sqref="C27:H27 J27:V27">
    <cfRule type="containsText" dxfId="2443" priority="15" operator="containsText" text="SIN FACTURA">
      <formula>NOT(ISERROR(SEARCH("SIN FACTURA",C27)))</formula>
    </cfRule>
  </conditionalFormatting>
  <conditionalFormatting sqref="A7:B7">
    <cfRule type="containsText" dxfId="2442" priority="13" operator="containsText" text="SIN FACTURA">
      <formula>NOT(ISERROR(SEARCH("SIN FACTURA",A7)))</formula>
    </cfRule>
  </conditionalFormatting>
  <conditionalFormatting sqref="A9:B9">
    <cfRule type="containsText" dxfId="2441" priority="12" operator="containsText" text="SIN FACTURA">
      <formula>NOT(ISERROR(SEARCH("SIN FACTURA",A9)))</formula>
    </cfRule>
  </conditionalFormatting>
  <conditionalFormatting sqref="A11:B11">
    <cfRule type="containsText" dxfId="2440" priority="11" operator="containsText" text="SIN FACTURA">
      <formula>NOT(ISERROR(SEARCH("SIN FACTURA",A11)))</formula>
    </cfRule>
  </conditionalFormatting>
  <conditionalFormatting sqref="A13:B13">
    <cfRule type="containsText" dxfId="2439" priority="10" operator="containsText" text="SIN FACTURA">
      <formula>NOT(ISERROR(SEARCH("SIN FACTURA",A13)))</formula>
    </cfRule>
  </conditionalFormatting>
  <conditionalFormatting sqref="A15:B15">
    <cfRule type="containsText" dxfId="2438" priority="9" operator="containsText" text="SIN FACTURA">
      <formula>NOT(ISERROR(SEARCH("SIN FACTURA",A15)))</formula>
    </cfRule>
  </conditionalFormatting>
  <conditionalFormatting sqref="A27:B27">
    <cfRule type="containsText" dxfId="2437" priority="8" operator="containsText" text="SIN FACTURA">
      <formula>NOT(ISERROR(SEARCH("SIN FACTURA",A27)))</formula>
    </cfRule>
  </conditionalFormatting>
  <conditionalFormatting sqref="A17:B17">
    <cfRule type="containsText" dxfId="2436" priority="7" operator="containsText" text="SIN FACTURA">
      <formula>NOT(ISERROR(SEARCH("SIN FACTURA",A17)))</formula>
    </cfRule>
  </conditionalFormatting>
  <conditionalFormatting sqref="A19:B19">
    <cfRule type="containsText" dxfId="2435" priority="6" operator="containsText" text="SIN FACTURA">
      <formula>NOT(ISERROR(SEARCH("SIN FACTURA",A19)))</formula>
    </cfRule>
  </conditionalFormatting>
  <conditionalFormatting sqref="A21:B21">
    <cfRule type="containsText" dxfId="2434" priority="5" operator="containsText" text="SIN FACTURA">
      <formula>NOT(ISERROR(SEARCH("SIN FACTURA",A21)))</formula>
    </cfRule>
  </conditionalFormatting>
  <conditionalFormatting sqref="A23:B23">
    <cfRule type="containsText" dxfId="2433" priority="4" operator="containsText" text="SIN FACTURA">
      <formula>NOT(ISERROR(SEARCH("SIN FACTURA",A23)))</formula>
    </cfRule>
  </conditionalFormatting>
  <conditionalFormatting sqref="A25:B25">
    <cfRule type="containsText" dxfId="2432" priority="3" operator="containsText" text="SIN FACTURA">
      <formula>NOT(ISERROR(SEARCH("SIN FACTURA",A25)))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71.xml><?xml version="1.0" encoding="utf-8"?>
<worksheet xmlns="http://schemas.openxmlformats.org/spreadsheetml/2006/main" xmlns:r="http://schemas.openxmlformats.org/officeDocument/2006/relationships">
  <sheetPr codeName="Hoja83"/>
  <dimension ref="A1:Y37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10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5" width="10.875" style="1"/>
    <col min="16" max="16" width="10.875" style="9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428</v>
      </c>
      <c r="B1" s="18" t="s">
        <v>129</v>
      </c>
      <c r="C1" s="20"/>
      <c r="D1" s="271"/>
      <c r="E1" s="271"/>
      <c r="F1" s="271"/>
      <c r="G1" s="271"/>
      <c r="H1" s="271"/>
      <c r="I1" s="5"/>
      <c r="J1" s="5"/>
      <c r="K1" s="5"/>
      <c r="L1" s="5"/>
      <c r="M1" s="5"/>
      <c r="N1" s="5"/>
      <c r="O1" s="5"/>
      <c r="P1" s="134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7" si="0">F5-G5-H5</f>
        <v>0</v>
      </c>
      <c r="J5" s="44">
        <f t="shared" ref="J5:J37" si="1">S5+T5</f>
        <v>0</v>
      </c>
      <c r="K5" s="44">
        <f t="shared" ref="K5:K37" si="2">I5-J5</f>
        <v>0</v>
      </c>
      <c r="L5" s="45"/>
      <c r="M5" s="40"/>
      <c r="N5" s="43">
        <f t="shared" ref="N5:N37" si="3">I5-J5-M5-R5</f>
        <v>0</v>
      </c>
      <c r="O5" s="43">
        <f t="shared" ref="O5:O37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2"/>
      <c r="D6" s="33"/>
      <c r="E6" s="34"/>
      <c r="F6" s="32"/>
      <c r="G6" s="32"/>
      <c r="H6" s="32"/>
      <c r="I6" s="37"/>
      <c r="J6" s="37"/>
      <c r="K6" s="35"/>
      <c r="L6" s="35"/>
      <c r="M6" s="35"/>
      <c r="N6" s="36"/>
      <c r="O6" s="32"/>
      <c r="P6" s="35"/>
      <c r="Q6" s="37"/>
      <c r="R6" s="38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>S11+T11</f>
        <v>0</v>
      </c>
      <c r="K11" s="44">
        <f t="shared" si="2"/>
        <v>0</v>
      </c>
      <c r="L11" s="45"/>
      <c r="M11" s="40"/>
      <c r="N11" s="43">
        <f>I11-J11-M11-R11</f>
        <v>0</v>
      </c>
      <c r="O11" s="43">
        <f>R11+S11+T11</f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5"/>
      <c r="Q16" s="37"/>
      <c r="R16" s="38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5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5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5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5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5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5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5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5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5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5"/>
      <c r="Q36" s="37"/>
      <c r="R36" s="38"/>
      <c r="S36" s="32"/>
      <c r="T36" s="39"/>
      <c r="U36" s="6"/>
      <c r="V36" s="6"/>
    </row>
    <row r="37" spans="1:22" ht="15">
      <c r="A37" s="50"/>
      <c r="B37" s="51"/>
      <c r="C37" s="52"/>
      <c r="D37" s="50"/>
      <c r="E37" s="50"/>
      <c r="F37" s="50"/>
      <c r="G37" s="43">
        <f>F37*6%</f>
        <v>0</v>
      </c>
      <c r="H37" s="53"/>
      <c r="I37" s="78">
        <f t="shared" si="0"/>
        <v>0</v>
      </c>
      <c r="J37" s="54">
        <f t="shared" si="1"/>
        <v>0</v>
      </c>
      <c r="K37" s="54">
        <f t="shared" si="2"/>
        <v>0</v>
      </c>
      <c r="L37" s="55"/>
      <c r="M37" s="50"/>
      <c r="N37" s="53">
        <f t="shared" si="3"/>
        <v>0</v>
      </c>
      <c r="O37" s="53">
        <f t="shared" si="4"/>
        <v>0</v>
      </c>
      <c r="P37" s="56"/>
      <c r="Q37" s="50"/>
      <c r="R37" s="50"/>
      <c r="S37" s="50"/>
      <c r="T37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431" priority="26" operator="containsText" text="SIN FACTURA ">
      <formula>NOT(ISERROR(SEARCH("SIN FACTURA ",A2)))</formula>
    </cfRule>
  </conditionalFormatting>
  <conditionalFormatting sqref="J37:T37 J35:T35 J33:T33 J31:T31 J29:T29 J27:T27 J25:T25 J23:T23 J21:T21 J19:T19 J17:T17 J7:T15 A7:H15 A17:H17 A19:H19 A21:H21 A23:H23 A25:H25 A27:H27 A29:H29 A31:H31 A33:H33 A35:H35 A37:H37 J5:T5 I5:I37 A5:H5 A4:T4">
    <cfRule type="containsText" dxfId="2430" priority="25" operator="containsText" text="SIN FACTURA">
      <formula>NOT(ISERROR(SEARCH("SIN FACTURA",A4)))</formula>
    </cfRule>
  </conditionalFormatting>
  <conditionalFormatting sqref="C6:H6 J6:V6">
    <cfRule type="containsText" dxfId="2429" priority="24" operator="containsText" text="SIN FACTURA">
      <formula>NOT(ISERROR(SEARCH("SIN FACTURA",C6)))</formula>
    </cfRule>
  </conditionalFormatting>
  <conditionalFormatting sqref="C16:H16 J16:V16">
    <cfRule type="containsText" dxfId="2428" priority="23" operator="containsText" text="SIN FACTURA">
      <formula>NOT(ISERROR(SEARCH("SIN FACTURA",C16)))</formula>
    </cfRule>
  </conditionalFormatting>
  <conditionalFormatting sqref="C18:H18 J18:V18">
    <cfRule type="containsText" dxfId="2427" priority="22" operator="containsText" text="SIN FACTURA">
      <formula>NOT(ISERROR(SEARCH("SIN FACTURA",C18)))</formula>
    </cfRule>
  </conditionalFormatting>
  <conditionalFormatting sqref="C20:H20 J20:V20">
    <cfRule type="containsText" dxfId="2426" priority="21" operator="containsText" text="SIN FACTURA">
      <formula>NOT(ISERROR(SEARCH("SIN FACTURA",C20)))</formula>
    </cfRule>
  </conditionalFormatting>
  <conditionalFormatting sqref="C22:H22 J22:V22">
    <cfRule type="containsText" dxfId="2425" priority="20" operator="containsText" text="SIN FACTURA">
      <formula>NOT(ISERROR(SEARCH("SIN FACTURA",C22)))</formula>
    </cfRule>
  </conditionalFormatting>
  <conditionalFormatting sqref="C24:H24 J24:V24">
    <cfRule type="containsText" dxfId="2424" priority="19" operator="containsText" text="SIN FACTURA">
      <formula>NOT(ISERROR(SEARCH("SIN FACTURA",C24)))</formula>
    </cfRule>
  </conditionalFormatting>
  <conditionalFormatting sqref="C26:H26 J26:V26">
    <cfRule type="containsText" dxfId="2423" priority="18" operator="containsText" text="SIN FACTURA">
      <formula>NOT(ISERROR(SEARCH("SIN FACTURA",C26)))</formula>
    </cfRule>
  </conditionalFormatting>
  <conditionalFormatting sqref="C28:H28 J28:V28">
    <cfRule type="containsText" dxfId="2422" priority="17" operator="containsText" text="SIN FACTURA">
      <formula>NOT(ISERROR(SEARCH("SIN FACTURA",C28)))</formula>
    </cfRule>
  </conditionalFormatting>
  <conditionalFormatting sqref="C30:H30 J30:V30">
    <cfRule type="containsText" dxfId="2421" priority="16" operator="containsText" text="SIN FACTURA">
      <formula>NOT(ISERROR(SEARCH("SIN FACTURA",C30)))</formula>
    </cfRule>
  </conditionalFormatting>
  <conditionalFormatting sqref="C32:H32 J32:V32">
    <cfRule type="containsText" dxfId="2420" priority="15" operator="containsText" text="SIN FACTURA">
      <formula>NOT(ISERROR(SEARCH("SIN FACTURA",C32)))</formula>
    </cfRule>
  </conditionalFormatting>
  <conditionalFormatting sqref="C34:H34 J34:V34">
    <cfRule type="containsText" dxfId="2419" priority="14" operator="containsText" text="SIN FACTURA">
      <formula>NOT(ISERROR(SEARCH("SIN FACTURA",C34)))</formula>
    </cfRule>
  </conditionalFormatting>
  <conditionalFormatting sqref="C36:H36 J36:V36">
    <cfRule type="containsText" dxfId="2418" priority="13" operator="containsText" text="SIN FACTURA">
      <formula>NOT(ISERROR(SEARCH("SIN FACTURA",C36)))</formula>
    </cfRule>
  </conditionalFormatting>
  <conditionalFormatting sqref="A6:B6">
    <cfRule type="containsText" dxfId="2417" priority="12" operator="containsText" text="SIN FACTURA">
      <formula>NOT(ISERROR(SEARCH("SIN FACTURA",A6)))</formula>
    </cfRule>
  </conditionalFormatting>
  <conditionalFormatting sqref="A16:B16">
    <cfRule type="containsText" dxfId="2416" priority="11" operator="containsText" text="SIN FACTURA">
      <formula>NOT(ISERROR(SEARCH("SIN FACTURA",A16)))</formula>
    </cfRule>
  </conditionalFormatting>
  <conditionalFormatting sqref="A18:B18">
    <cfRule type="containsText" dxfId="2415" priority="10" operator="containsText" text="SIN FACTURA">
      <formula>NOT(ISERROR(SEARCH("SIN FACTURA",A18)))</formula>
    </cfRule>
  </conditionalFormatting>
  <conditionalFormatting sqref="A20:B20">
    <cfRule type="containsText" dxfId="2414" priority="9" operator="containsText" text="SIN FACTURA">
      <formula>NOT(ISERROR(SEARCH("SIN FACTURA",A20)))</formula>
    </cfRule>
  </conditionalFormatting>
  <conditionalFormatting sqref="A22:B22">
    <cfRule type="containsText" dxfId="2413" priority="8" operator="containsText" text="SIN FACTURA">
      <formula>NOT(ISERROR(SEARCH("SIN FACTURA",A22)))</formula>
    </cfRule>
  </conditionalFormatting>
  <conditionalFormatting sqref="A24:B24">
    <cfRule type="containsText" dxfId="2412" priority="7" operator="containsText" text="SIN FACTURA">
      <formula>NOT(ISERROR(SEARCH("SIN FACTURA",A24)))</formula>
    </cfRule>
  </conditionalFormatting>
  <conditionalFormatting sqref="A36:B36">
    <cfRule type="containsText" dxfId="2411" priority="1" operator="containsText" text="SIN FACTURA">
      <formula>NOT(ISERROR(SEARCH("SIN FACTURA",A36)))</formula>
    </cfRule>
  </conditionalFormatting>
  <conditionalFormatting sqref="A26:B26">
    <cfRule type="containsText" dxfId="2410" priority="6" operator="containsText" text="SIN FACTURA">
      <formula>NOT(ISERROR(SEARCH("SIN FACTURA",A26)))</formula>
    </cfRule>
  </conditionalFormatting>
  <conditionalFormatting sqref="A28:B28">
    <cfRule type="containsText" dxfId="2409" priority="5" operator="containsText" text="SIN FACTURA">
      <formula>NOT(ISERROR(SEARCH("SIN FACTURA",A28)))</formula>
    </cfRule>
  </conditionalFormatting>
  <conditionalFormatting sqref="A30:B30">
    <cfRule type="containsText" dxfId="2408" priority="4" operator="containsText" text="SIN FACTURA">
      <formula>NOT(ISERROR(SEARCH("SIN FACTURA",A30)))</formula>
    </cfRule>
  </conditionalFormatting>
  <conditionalFormatting sqref="A32:B32">
    <cfRule type="containsText" dxfId="2407" priority="3" operator="containsText" text="SIN FACTURA">
      <formula>NOT(ISERROR(SEARCH("SIN FACTURA",A32)))</formula>
    </cfRule>
  </conditionalFormatting>
  <conditionalFormatting sqref="A34:B34">
    <cfRule type="containsText" dxfId="2406" priority="2" operator="containsText" text="SIN FACTURA">
      <formula>NOT(ISERROR(SEARCH("SIN FACTURA",A34)))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72.xml><?xml version="1.0" encoding="utf-8"?>
<worksheet xmlns="http://schemas.openxmlformats.org/spreadsheetml/2006/main" xmlns:r="http://schemas.openxmlformats.org/officeDocument/2006/relationships">
  <sheetPr codeName="Hoja85"/>
  <dimension ref="A1:Y44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5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110</v>
      </c>
      <c r="B1" s="18" t="s">
        <v>134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32"/>
      <c r="B5" s="33"/>
      <c r="C5" s="34"/>
      <c r="D5" s="32"/>
      <c r="E5" s="32"/>
      <c r="F5" s="32"/>
      <c r="G5" s="37"/>
      <c r="H5" s="37"/>
      <c r="I5" s="37"/>
      <c r="J5" s="35"/>
      <c r="K5" s="35"/>
      <c r="L5" s="36"/>
      <c r="M5" s="32"/>
      <c r="N5" s="37"/>
      <c r="O5" s="37"/>
      <c r="P5" s="38"/>
      <c r="Q5" s="32"/>
      <c r="R5" s="32"/>
      <c r="S5" s="32"/>
      <c r="T5" s="39"/>
    </row>
    <row r="6" spans="1:25" ht="15">
      <c r="A6" s="40"/>
      <c r="B6" s="41"/>
      <c r="C6" s="42"/>
      <c r="D6" s="40"/>
      <c r="E6" s="40"/>
      <c r="F6" s="40"/>
      <c r="G6" s="43">
        <f>F6*6%</f>
        <v>0</v>
      </c>
      <c r="H6" s="43"/>
      <c r="I6" s="44">
        <f t="shared" ref="I6:I44" si="0">F6-G6-H6</f>
        <v>0</v>
      </c>
      <c r="J6" s="44">
        <f t="shared" ref="J6:J44" si="1">S6+T6</f>
        <v>0</v>
      </c>
      <c r="K6" s="44">
        <f t="shared" ref="K6:K44" si="2">I6-J6</f>
        <v>0</v>
      </c>
      <c r="L6" s="45"/>
      <c r="M6" s="40"/>
      <c r="N6" s="43">
        <f t="shared" ref="N6:N44" si="3">I6-J6-M6-R6</f>
        <v>0</v>
      </c>
      <c r="O6" s="43">
        <f t="shared" ref="O6:O44" si="4">R6+S6+T6</f>
        <v>0</v>
      </c>
      <c r="P6" s="46"/>
      <c r="Q6" s="40"/>
      <c r="R6" s="47"/>
      <c r="S6" s="47"/>
      <c r="T6" s="48"/>
    </row>
    <row r="7" spans="1:25" ht="15">
      <c r="A7" s="32"/>
      <c r="B7" s="33"/>
      <c r="C7" s="34"/>
      <c r="D7" s="32"/>
      <c r="E7" s="32"/>
      <c r="F7" s="32"/>
      <c r="G7" s="37"/>
      <c r="H7" s="37"/>
      <c r="I7" s="37"/>
      <c r="J7" s="35"/>
      <c r="K7" s="35"/>
      <c r="L7" s="36"/>
      <c r="M7" s="32"/>
      <c r="N7" s="37"/>
      <c r="O7" s="37"/>
      <c r="P7" s="38"/>
      <c r="Q7" s="32"/>
      <c r="R7" s="32"/>
      <c r="S7" s="32"/>
      <c r="T7" s="39"/>
    </row>
    <row r="8" spans="1:25" ht="15">
      <c r="A8" s="40"/>
      <c r="B8" s="41"/>
      <c r="C8" s="42"/>
      <c r="D8" s="40"/>
      <c r="E8" s="40"/>
      <c r="F8" s="40"/>
      <c r="G8" s="43">
        <f>F8*6%</f>
        <v>0</v>
      </c>
      <c r="H8" s="43"/>
      <c r="I8" s="44">
        <f t="shared" si="0"/>
        <v>0</v>
      </c>
      <c r="J8" s="44">
        <f t="shared" si="1"/>
        <v>0</v>
      </c>
      <c r="K8" s="44">
        <f t="shared" si="2"/>
        <v>0</v>
      </c>
      <c r="L8" s="45"/>
      <c r="M8" s="40"/>
      <c r="N8" s="43">
        <f t="shared" si="3"/>
        <v>0</v>
      </c>
      <c r="O8" s="43">
        <f t="shared" si="4"/>
        <v>0</v>
      </c>
      <c r="P8" s="46"/>
      <c r="Q8" s="40"/>
      <c r="R8" s="43"/>
      <c r="S8" s="43"/>
      <c r="T8" s="49"/>
    </row>
    <row r="9" spans="1:25" ht="15">
      <c r="A9" s="32"/>
      <c r="B9" s="33"/>
      <c r="C9" s="34"/>
      <c r="D9" s="32"/>
      <c r="E9" s="32"/>
      <c r="F9" s="32"/>
      <c r="G9" s="37"/>
      <c r="H9" s="37"/>
      <c r="I9" s="37"/>
      <c r="J9" s="35"/>
      <c r="K9" s="35"/>
      <c r="L9" s="36"/>
      <c r="M9" s="32"/>
      <c r="N9" s="37"/>
      <c r="O9" s="37"/>
      <c r="P9" s="38"/>
      <c r="Q9" s="32"/>
      <c r="R9" s="32"/>
      <c r="S9" s="32"/>
      <c r="T9" s="39"/>
    </row>
    <row r="10" spans="1:25" ht="15">
      <c r="A10" s="40"/>
      <c r="B10" s="41"/>
      <c r="C10" s="42"/>
      <c r="D10" s="40"/>
      <c r="E10" s="40"/>
      <c r="F10" s="40"/>
      <c r="G10" s="43">
        <f>F10*6%</f>
        <v>0</v>
      </c>
      <c r="H10" s="43"/>
      <c r="I10" s="44">
        <f t="shared" si="0"/>
        <v>0</v>
      </c>
      <c r="J10" s="44">
        <f>S10+T10</f>
        <v>0</v>
      </c>
      <c r="K10" s="44">
        <f>I10-J10</f>
        <v>0</v>
      </c>
      <c r="L10" s="45"/>
      <c r="M10" s="40"/>
      <c r="N10" s="43">
        <f t="shared" si="3"/>
        <v>0</v>
      </c>
      <c r="O10" s="43">
        <f t="shared" si="4"/>
        <v>0</v>
      </c>
      <c r="P10" s="46"/>
      <c r="Q10" s="40"/>
      <c r="R10" s="47"/>
      <c r="S10" s="47"/>
      <c r="T10" s="48"/>
    </row>
    <row r="11" spans="1:25" ht="15">
      <c r="A11" s="32"/>
      <c r="B11" s="33"/>
      <c r="C11" s="34"/>
      <c r="D11" s="32"/>
      <c r="E11" s="32"/>
      <c r="F11" s="32"/>
      <c r="G11" s="37"/>
      <c r="H11" s="37"/>
      <c r="I11" s="37"/>
      <c r="J11" s="35"/>
      <c r="K11" s="35"/>
      <c r="L11" s="36"/>
      <c r="M11" s="32"/>
      <c r="N11" s="37"/>
      <c r="O11" s="37"/>
      <c r="P11" s="38"/>
      <c r="Q11" s="32"/>
      <c r="R11" s="32"/>
      <c r="S11" s="32"/>
      <c r="T11" s="39"/>
    </row>
    <row r="12" spans="1:25" ht="15">
      <c r="A12" s="40"/>
      <c r="B12" s="41"/>
      <c r="C12" s="42"/>
      <c r="D12" s="40"/>
      <c r="E12" s="40"/>
      <c r="F12" s="40"/>
      <c r="G12" s="43">
        <f>F12*6%</f>
        <v>0</v>
      </c>
      <c r="H12" s="43"/>
      <c r="I12" s="44">
        <f t="shared" si="0"/>
        <v>0</v>
      </c>
      <c r="J12" s="44">
        <f t="shared" si="1"/>
        <v>0</v>
      </c>
      <c r="K12" s="44">
        <f t="shared" si="2"/>
        <v>0</v>
      </c>
      <c r="L12" s="45"/>
      <c r="M12" s="40"/>
      <c r="N12" s="43">
        <f t="shared" si="3"/>
        <v>0</v>
      </c>
      <c r="O12" s="43">
        <f t="shared" si="4"/>
        <v>0</v>
      </c>
      <c r="P12" s="46"/>
      <c r="Q12" s="40"/>
      <c r="R12" s="47"/>
      <c r="S12" s="47"/>
      <c r="T12" s="48"/>
    </row>
    <row r="13" spans="1:25" ht="15">
      <c r="A13" s="32"/>
      <c r="B13" s="33"/>
      <c r="C13" s="32"/>
      <c r="D13" s="33"/>
      <c r="E13" s="34"/>
      <c r="F13" s="32"/>
      <c r="G13" s="32"/>
      <c r="H13" s="32"/>
      <c r="I13" s="37"/>
      <c r="J13" s="37"/>
      <c r="K13" s="35"/>
      <c r="L13" s="35"/>
      <c r="M13" s="35"/>
      <c r="N13" s="36"/>
      <c r="O13" s="32"/>
      <c r="P13" s="37"/>
      <c r="Q13" s="37"/>
      <c r="R13" s="38"/>
      <c r="S13" s="32"/>
      <c r="T13" s="39"/>
    </row>
    <row r="14" spans="1:25" ht="15">
      <c r="A14" s="40"/>
      <c r="B14" s="41"/>
      <c r="C14" s="42"/>
      <c r="D14" s="40"/>
      <c r="E14" s="40"/>
      <c r="F14" s="40"/>
      <c r="G14" s="43">
        <f>F14*6%</f>
        <v>0</v>
      </c>
      <c r="H14" s="43"/>
      <c r="I14" s="44">
        <f t="shared" si="0"/>
        <v>0</v>
      </c>
      <c r="J14" s="44">
        <f t="shared" si="1"/>
        <v>0</v>
      </c>
      <c r="K14" s="44">
        <f t="shared" si="2"/>
        <v>0</v>
      </c>
      <c r="L14" s="45"/>
      <c r="M14" s="40"/>
      <c r="N14" s="43">
        <f t="shared" si="3"/>
        <v>0</v>
      </c>
      <c r="O14" s="43">
        <f t="shared" si="4"/>
        <v>0</v>
      </c>
      <c r="P14" s="46"/>
      <c r="Q14" s="40"/>
      <c r="R14" s="47"/>
      <c r="S14" s="47"/>
      <c r="T14" s="48"/>
    </row>
    <row r="15" spans="1:25" ht="15">
      <c r="A15" s="32"/>
      <c r="B15" s="33"/>
      <c r="C15" s="34"/>
      <c r="D15" s="32"/>
      <c r="E15" s="32"/>
      <c r="F15" s="32"/>
      <c r="G15" s="37"/>
      <c r="H15" s="37"/>
      <c r="I15" s="37"/>
      <c r="J15" s="35"/>
      <c r="K15" s="35"/>
      <c r="L15" s="36"/>
      <c r="M15" s="32"/>
      <c r="N15" s="37"/>
      <c r="O15" s="37"/>
      <c r="P15" s="38"/>
      <c r="Q15" s="32"/>
      <c r="R15" s="32"/>
      <c r="S15" s="32"/>
      <c r="T15" s="39"/>
    </row>
    <row r="16" spans="1:25" ht="15">
      <c r="A16" s="40"/>
      <c r="B16" s="41"/>
      <c r="C16" s="42"/>
      <c r="D16" s="40"/>
      <c r="E16" s="40"/>
      <c r="F16" s="40"/>
      <c r="G16" s="43">
        <f>F16*6%</f>
        <v>0</v>
      </c>
      <c r="H16" s="43"/>
      <c r="I16" s="44">
        <f t="shared" si="0"/>
        <v>0</v>
      </c>
      <c r="J16" s="44">
        <f t="shared" si="1"/>
        <v>0</v>
      </c>
      <c r="K16" s="44">
        <f t="shared" si="2"/>
        <v>0</v>
      </c>
      <c r="L16" s="45"/>
      <c r="M16" s="40"/>
      <c r="N16" s="43">
        <f t="shared" si="3"/>
        <v>0</v>
      </c>
      <c r="O16" s="43">
        <f t="shared" si="4"/>
        <v>0</v>
      </c>
      <c r="P16" s="46"/>
      <c r="Q16" s="40"/>
      <c r="R16" s="40"/>
      <c r="S16" s="40"/>
      <c r="T16" s="5"/>
    </row>
    <row r="17" spans="1:22" ht="15">
      <c r="A17" s="32"/>
      <c r="B17" s="33"/>
      <c r="C17" s="34"/>
      <c r="D17" s="32"/>
      <c r="E17" s="32"/>
      <c r="F17" s="32"/>
      <c r="G17" s="37"/>
      <c r="H17" s="37"/>
      <c r="I17" s="37"/>
      <c r="J17" s="35"/>
      <c r="K17" s="35"/>
      <c r="L17" s="36"/>
      <c r="M17" s="32"/>
      <c r="N17" s="37"/>
      <c r="O17" s="37"/>
      <c r="P17" s="38"/>
      <c r="Q17" s="32"/>
      <c r="R17" s="32"/>
      <c r="S17" s="32"/>
      <c r="T17" s="39"/>
    </row>
    <row r="18" spans="1:22" ht="15">
      <c r="A18" s="40"/>
      <c r="B18" s="41"/>
      <c r="C18" s="42"/>
      <c r="D18" s="40"/>
      <c r="E18" s="40"/>
      <c r="F18" s="40"/>
      <c r="G18" s="43">
        <f>F18*6%</f>
        <v>0</v>
      </c>
      <c r="H18" s="43"/>
      <c r="I18" s="44">
        <f t="shared" si="0"/>
        <v>0</v>
      </c>
      <c r="J18" s="44">
        <f>S18+T18</f>
        <v>0</v>
      </c>
      <c r="K18" s="44">
        <f t="shared" si="2"/>
        <v>0</v>
      </c>
      <c r="L18" s="45"/>
      <c r="M18" s="40"/>
      <c r="N18" s="43">
        <f>I18-J18-M18-R18</f>
        <v>0</v>
      </c>
      <c r="O18" s="43">
        <f>R18+S18+T18</f>
        <v>0</v>
      </c>
      <c r="P18" s="46"/>
      <c r="Q18" s="40"/>
      <c r="R18" s="47"/>
      <c r="S18" s="47"/>
      <c r="T18" s="48"/>
    </row>
    <row r="19" spans="1:22" ht="15">
      <c r="A19" s="32"/>
      <c r="B19" s="33"/>
      <c r="C19" s="34"/>
      <c r="D19" s="32"/>
      <c r="E19" s="32"/>
      <c r="F19" s="32"/>
      <c r="G19" s="37"/>
      <c r="H19" s="37"/>
      <c r="I19" s="37"/>
      <c r="J19" s="35"/>
      <c r="K19" s="35"/>
      <c r="L19" s="36"/>
      <c r="M19" s="32"/>
      <c r="N19" s="37"/>
      <c r="O19" s="37"/>
      <c r="P19" s="38"/>
      <c r="Q19" s="32"/>
      <c r="R19" s="32"/>
      <c r="S19" s="32"/>
      <c r="T19" s="39"/>
    </row>
    <row r="20" spans="1:22" ht="15">
      <c r="A20" s="40"/>
      <c r="B20" s="41"/>
      <c r="C20" s="42"/>
      <c r="D20" s="40"/>
      <c r="E20" s="40"/>
      <c r="F20" s="40"/>
      <c r="G20" s="43">
        <f>F20*6%</f>
        <v>0</v>
      </c>
      <c r="H20" s="43"/>
      <c r="I20" s="44">
        <f t="shared" si="0"/>
        <v>0</v>
      </c>
      <c r="J20" s="44">
        <f t="shared" si="1"/>
        <v>0</v>
      </c>
      <c r="K20" s="44">
        <f t="shared" si="2"/>
        <v>0</v>
      </c>
      <c r="L20" s="45"/>
      <c r="M20" s="40"/>
      <c r="N20" s="43">
        <f t="shared" si="3"/>
        <v>0</v>
      </c>
      <c r="O20" s="43">
        <f t="shared" si="4"/>
        <v>0</v>
      </c>
      <c r="P20" s="46"/>
      <c r="Q20" s="40"/>
      <c r="R20" s="47"/>
      <c r="S20" s="47"/>
      <c r="T20" s="48"/>
    </row>
    <row r="21" spans="1:22" ht="15">
      <c r="A21" s="32"/>
      <c r="B21" s="33"/>
      <c r="C21" s="34"/>
      <c r="D21" s="32"/>
      <c r="E21" s="32"/>
      <c r="F21" s="32"/>
      <c r="G21" s="37"/>
      <c r="H21" s="37"/>
      <c r="I21" s="37"/>
      <c r="J21" s="35"/>
      <c r="K21" s="35"/>
      <c r="L21" s="36"/>
      <c r="M21" s="32"/>
      <c r="N21" s="37"/>
      <c r="O21" s="37"/>
      <c r="P21" s="38"/>
      <c r="Q21" s="32"/>
      <c r="R21" s="32"/>
      <c r="S21" s="32"/>
      <c r="T21" s="39"/>
    </row>
    <row r="22" spans="1:22" ht="15">
      <c r="A22" s="40"/>
      <c r="B22" s="41"/>
      <c r="C22" s="42"/>
      <c r="D22" s="40"/>
      <c r="E22" s="40"/>
      <c r="F22" s="40"/>
      <c r="G22" s="43">
        <f>F22*6%</f>
        <v>0</v>
      </c>
      <c r="H22" s="43"/>
      <c r="I22" s="44">
        <f t="shared" si="0"/>
        <v>0</v>
      </c>
      <c r="J22" s="44">
        <f t="shared" si="1"/>
        <v>0</v>
      </c>
      <c r="K22" s="44">
        <f t="shared" si="2"/>
        <v>0</v>
      </c>
      <c r="L22" s="45"/>
      <c r="M22" s="40"/>
      <c r="N22" s="43">
        <f t="shared" si="3"/>
        <v>0</v>
      </c>
      <c r="O22" s="43">
        <f t="shared" si="4"/>
        <v>0</v>
      </c>
      <c r="P22" s="46"/>
      <c r="Q22" s="40"/>
      <c r="R22" s="40"/>
      <c r="S22" s="40"/>
      <c r="T22" s="5"/>
    </row>
    <row r="23" spans="1:22" ht="15">
      <c r="A23" s="32"/>
      <c r="B23" s="33"/>
      <c r="C23" s="32"/>
      <c r="D23" s="33"/>
      <c r="E23" s="34"/>
      <c r="F23" s="32"/>
      <c r="G23" s="32"/>
      <c r="H23" s="32"/>
      <c r="I23" s="37"/>
      <c r="J23" s="37"/>
      <c r="K23" s="35"/>
      <c r="L23" s="35"/>
      <c r="M23" s="35"/>
      <c r="N23" s="36"/>
      <c r="O23" s="32"/>
      <c r="P23" s="37"/>
      <c r="Q23" s="37"/>
      <c r="R23" s="38"/>
      <c r="S23" s="32"/>
      <c r="T23" s="39"/>
    </row>
    <row r="24" spans="1:22" ht="15">
      <c r="A24" s="40"/>
      <c r="B24" s="41"/>
      <c r="C24" s="42"/>
      <c r="D24" s="40"/>
      <c r="E24" s="40"/>
      <c r="F24" s="40"/>
      <c r="G24" s="43">
        <f>F24*6%</f>
        <v>0</v>
      </c>
      <c r="H24" s="43"/>
      <c r="I24" s="44">
        <f t="shared" si="0"/>
        <v>0</v>
      </c>
      <c r="J24" s="44">
        <f t="shared" si="1"/>
        <v>0</v>
      </c>
      <c r="K24" s="44">
        <f t="shared" si="2"/>
        <v>0</v>
      </c>
      <c r="L24" s="45"/>
      <c r="M24" s="40"/>
      <c r="N24" s="43">
        <f t="shared" si="3"/>
        <v>0</v>
      </c>
      <c r="O24" s="43">
        <f t="shared" si="4"/>
        <v>0</v>
      </c>
      <c r="P24" s="46"/>
      <c r="Q24" s="40"/>
      <c r="R24" s="40"/>
      <c r="S24" s="40"/>
      <c r="T24" s="5"/>
    </row>
    <row r="25" spans="1:22" ht="15">
      <c r="A25" s="32"/>
      <c r="B25" s="33"/>
      <c r="C25" s="32"/>
      <c r="D25" s="33"/>
      <c r="E25" s="34"/>
      <c r="F25" s="32"/>
      <c r="G25" s="32"/>
      <c r="H25" s="32"/>
      <c r="I25" s="37"/>
      <c r="J25" s="37"/>
      <c r="K25" s="35"/>
      <c r="L25" s="35"/>
      <c r="M25" s="35"/>
      <c r="N25" s="36"/>
      <c r="O25" s="32"/>
      <c r="P25" s="37"/>
      <c r="Q25" s="37"/>
      <c r="R25" s="38"/>
      <c r="S25" s="32"/>
      <c r="T25" s="39"/>
      <c r="U25" s="6"/>
      <c r="V25" s="6"/>
    </row>
    <row r="26" spans="1:22" ht="15">
      <c r="A26" s="40"/>
      <c r="B26" s="41"/>
      <c r="C26" s="42"/>
      <c r="D26" s="40"/>
      <c r="E26" s="40"/>
      <c r="F26" s="40"/>
      <c r="G26" s="43">
        <f>F26*6%</f>
        <v>0</v>
      </c>
      <c r="H26" s="43"/>
      <c r="I26" s="44">
        <f t="shared" si="0"/>
        <v>0</v>
      </c>
      <c r="J26" s="44">
        <f t="shared" si="1"/>
        <v>0</v>
      </c>
      <c r="K26" s="44">
        <f t="shared" si="2"/>
        <v>0</v>
      </c>
      <c r="L26" s="45"/>
      <c r="M26" s="40"/>
      <c r="N26" s="43">
        <f t="shared" si="3"/>
        <v>0</v>
      </c>
      <c r="O26" s="43">
        <f t="shared" si="4"/>
        <v>0</v>
      </c>
      <c r="P26" s="46"/>
      <c r="Q26" s="40"/>
      <c r="R26" s="40"/>
      <c r="S26" s="40"/>
      <c r="T26" s="5"/>
    </row>
    <row r="27" spans="1:22" ht="15">
      <c r="A27" s="32"/>
      <c r="B27" s="33"/>
      <c r="C27" s="32"/>
      <c r="D27" s="33"/>
      <c r="E27" s="34"/>
      <c r="F27" s="32"/>
      <c r="G27" s="32"/>
      <c r="H27" s="32"/>
      <c r="I27" s="37"/>
      <c r="J27" s="37"/>
      <c r="K27" s="35"/>
      <c r="L27" s="35"/>
      <c r="M27" s="35"/>
      <c r="N27" s="36"/>
      <c r="O27" s="32"/>
      <c r="P27" s="37"/>
      <c r="Q27" s="37"/>
      <c r="R27" s="38"/>
      <c r="S27" s="32"/>
      <c r="T27" s="39"/>
      <c r="U27" s="6"/>
      <c r="V27" s="6"/>
    </row>
    <row r="28" spans="1:22" ht="15">
      <c r="A28" s="40"/>
      <c r="B28" s="41"/>
      <c r="C28" s="42"/>
      <c r="D28" s="40"/>
      <c r="E28" s="40"/>
      <c r="F28" s="40"/>
      <c r="G28" s="43">
        <f>F28*6%</f>
        <v>0</v>
      </c>
      <c r="H28" s="43"/>
      <c r="I28" s="44">
        <f t="shared" si="0"/>
        <v>0</v>
      </c>
      <c r="J28" s="44">
        <f t="shared" si="1"/>
        <v>0</v>
      </c>
      <c r="K28" s="44">
        <f t="shared" si="2"/>
        <v>0</v>
      </c>
      <c r="L28" s="45"/>
      <c r="M28" s="40"/>
      <c r="N28" s="43">
        <f t="shared" si="3"/>
        <v>0</v>
      </c>
      <c r="O28" s="43">
        <f t="shared" si="4"/>
        <v>0</v>
      </c>
      <c r="P28" s="46"/>
      <c r="Q28" s="40"/>
      <c r="R28" s="40"/>
      <c r="S28" s="40"/>
      <c r="T28" s="5"/>
    </row>
    <row r="29" spans="1:22" ht="15">
      <c r="A29" s="32"/>
      <c r="B29" s="33"/>
      <c r="C29" s="32"/>
      <c r="D29" s="33"/>
      <c r="E29" s="34"/>
      <c r="F29" s="32"/>
      <c r="G29" s="32"/>
      <c r="H29" s="32"/>
      <c r="I29" s="37"/>
      <c r="J29" s="37"/>
      <c r="K29" s="35"/>
      <c r="L29" s="35"/>
      <c r="M29" s="35"/>
      <c r="N29" s="36"/>
      <c r="O29" s="32"/>
      <c r="P29" s="37"/>
      <c r="Q29" s="37"/>
      <c r="R29" s="38"/>
      <c r="S29" s="32"/>
      <c r="T29" s="39"/>
      <c r="U29" s="6"/>
      <c r="V29" s="6"/>
    </row>
    <row r="30" spans="1:22" ht="15">
      <c r="A30" s="40"/>
      <c r="B30" s="41"/>
      <c r="C30" s="42"/>
      <c r="D30" s="40"/>
      <c r="E30" s="40"/>
      <c r="F30" s="40"/>
      <c r="G30" s="43">
        <f>F30*6%</f>
        <v>0</v>
      </c>
      <c r="H30" s="43"/>
      <c r="I30" s="44">
        <f t="shared" si="0"/>
        <v>0</v>
      </c>
      <c r="J30" s="44">
        <f t="shared" si="1"/>
        <v>0</v>
      </c>
      <c r="K30" s="44">
        <f t="shared" si="2"/>
        <v>0</v>
      </c>
      <c r="L30" s="45"/>
      <c r="M30" s="40"/>
      <c r="N30" s="43">
        <f t="shared" si="3"/>
        <v>0</v>
      </c>
      <c r="O30" s="43">
        <f t="shared" si="4"/>
        <v>0</v>
      </c>
      <c r="P30" s="46"/>
      <c r="Q30" s="40"/>
      <c r="R30" s="40"/>
      <c r="S30" s="40"/>
      <c r="T30" s="5"/>
    </row>
    <row r="31" spans="1:22" ht="15">
      <c r="A31" s="32"/>
      <c r="B31" s="33"/>
      <c r="C31" s="32"/>
      <c r="D31" s="33"/>
      <c r="E31" s="34"/>
      <c r="F31" s="32"/>
      <c r="G31" s="32"/>
      <c r="H31" s="32"/>
      <c r="I31" s="37"/>
      <c r="J31" s="37"/>
      <c r="K31" s="35"/>
      <c r="L31" s="35"/>
      <c r="M31" s="35"/>
      <c r="N31" s="36"/>
      <c r="O31" s="32"/>
      <c r="P31" s="37"/>
      <c r="Q31" s="37"/>
      <c r="R31" s="38"/>
      <c r="S31" s="32"/>
      <c r="T31" s="39"/>
      <c r="U31" s="6"/>
      <c r="V31" s="6"/>
    </row>
    <row r="32" spans="1:22" ht="15">
      <c r="A32" s="40"/>
      <c r="B32" s="41"/>
      <c r="C32" s="42"/>
      <c r="D32" s="40"/>
      <c r="E32" s="40"/>
      <c r="F32" s="40"/>
      <c r="G32" s="43">
        <f>F32*6%</f>
        <v>0</v>
      </c>
      <c r="H32" s="43"/>
      <c r="I32" s="44">
        <f t="shared" si="0"/>
        <v>0</v>
      </c>
      <c r="J32" s="44">
        <f t="shared" si="1"/>
        <v>0</v>
      </c>
      <c r="K32" s="44">
        <f t="shared" si="2"/>
        <v>0</v>
      </c>
      <c r="L32" s="45"/>
      <c r="M32" s="40"/>
      <c r="N32" s="43">
        <f t="shared" si="3"/>
        <v>0</v>
      </c>
      <c r="O32" s="43">
        <f t="shared" si="4"/>
        <v>0</v>
      </c>
      <c r="P32" s="46"/>
      <c r="Q32" s="40"/>
      <c r="R32" s="40"/>
      <c r="S32" s="40"/>
      <c r="T32" s="5"/>
    </row>
    <row r="33" spans="1:22" ht="15">
      <c r="A33" s="32"/>
      <c r="B33" s="33"/>
      <c r="C33" s="32"/>
      <c r="D33" s="33"/>
      <c r="E33" s="34"/>
      <c r="F33" s="32"/>
      <c r="G33" s="32"/>
      <c r="H33" s="32"/>
      <c r="I33" s="37"/>
      <c r="J33" s="37"/>
      <c r="K33" s="35"/>
      <c r="L33" s="35"/>
      <c r="M33" s="35"/>
      <c r="N33" s="36"/>
      <c r="O33" s="32"/>
      <c r="P33" s="37"/>
      <c r="Q33" s="37"/>
      <c r="R33" s="38"/>
      <c r="S33" s="32"/>
      <c r="T33" s="39"/>
      <c r="U33" s="6"/>
      <c r="V33" s="6"/>
    </row>
    <row r="34" spans="1:22" ht="15">
      <c r="A34" s="40"/>
      <c r="B34" s="41"/>
      <c r="C34" s="42"/>
      <c r="D34" s="40"/>
      <c r="E34" s="40"/>
      <c r="F34" s="40"/>
      <c r="G34" s="43">
        <f>F34*6%</f>
        <v>0</v>
      </c>
      <c r="H34" s="43"/>
      <c r="I34" s="44">
        <f t="shared" si="0"/>
        <v>0</v>
      </c>
      <c r="J34" s="44">
        <f t="shared" si="1"/>
        <v>0</v>
      </c>
      <c r="K34" s="44">
        <f t="shared" si="2"/>
        <v>0</v>
      </c>
      <c r="L34" s="45"/>
      <c r="M34" s="40"/>
      <c r="N34" s="43">
        <f t="shared" si="3"/>
        <v>0</v>
      </c>
      <c r="O34" s="43">
        <f t="shared" si="4"/>
        <v>0</v>
      </c>
      <c r="P34" s="46"/>
      <c r="Q34" s="40"/>
      <c r="R34" s="40"/>
      <c r="S34" s="40"/>
      <c r="T34" s="5"/>
    </row>
    <row r="35" spans="1:22" ht="15">
      <c r="A35" s="32"/>
      <c r="B35" s="33"/>
      <c r="C35" s="32"/>
      <c r="D35" s="33"/>
      <c r="E35" s="34"/>
      <c r="F35" s="32"/>
      <c r="G35" s="32"/>
      <c r="H35" s="32"/>
      <c r="I35" s="37"/>
      <c r="J35" s="37"/>
      <c r="K35" s="35"/>
      <c r="L35" s="35"/>
      <c r="M35" s="35"/>
      <c r="N35" s="36"/>
      <c r="O35" s="32"/>
      <c r="P35" s="37"/>
      <c r="Q35" s="37"/>
      <c r="R35" s="38"/>
      <c r="S35" s="32"/>
      <c r="T35" s="39"/>
      <c r="U35" s="6"/>
      <c r="V35" s="6"/>
    </row>
    <row r="36" spans="1:22" ht="15">
      <c r="A36" s="40"/>
      <c r="B36" s="41"/>
      <c r="C36" s="42"/>
      <c r="D36" s="40"/>
      <c r="E36" s="40"/>
      <c r="F36" s="40"/>
      <c r="G36" s="43">
        <f>F36*6%</f>
        <v>0</v>
      </c>
      <c r="H36" s="43"/>
      <c r="I36" s="44">
        <f t="shared" si="0"/>
        <v>0</v>
      </c>
      <c r="J36" s="44">
        <f t="shared" si="1"/>
        <v>0</v>
      </c>
      <c r="K36" s="44">
        <f t="shared" si="2"/>
        <v>0</v>
      </c>
      <c r="L36" s="45"/>
      <c r="M36" s="40"/>
      <c r="N36" s="43">
        <f t="shared" si="3"/>
        <v>0</v>
      </c>
      <c r="O36" s="43">
        <f t="shared" si="4"/>
        <v>0</v>
      </c>
      <c r="P36" s="46"/>
      <c r="Q36" s="40"/>
      <c r="R36" s="40"/>
      <c r="S36" s="40"/>
      <c r="T36" s="5"/>
    </row>
    <row r="37" spans="1:22" ht="15">
      <c r="A37" s="32"/>
      <c r="B37" s="33"/>
      <c r="C37" s="32"/>
      <c r="D37" s="33"/>
      <c r="E37" s="34"/>
      <c r="F37" s="32"/>
      <c r="G37" s="32"/>
      <c r="H37" s="32"/>
      <c r="I37" s="37"/>
      <c r="J37" s="37"/>
      <c r="K37" s="35"/>
      <c r="L37" s="35"/>
      <c r="M37" s="35"/>
      <c r="N37" s="36"/>
      <c r="O37" s="32"/>
      <c r="P37" s="37"/>
      <c r="Q37" s="37"/>
      <c r="R37" s="38"/>
      <c r="S37" s="32"/>
      <c r="T37" s="39"/>
      <c r="U37" s="6"/>
      <c r="V37" s="6"/>
    </row>
    <row r="38" spans="1:22" ht="15">
      <c r="A38" s="40"/>
      <c r="B38" s="41"/>
      <c r="C38" s="42"/>
      <c r="D38" s="40"/>
      <c r="E38" s="40"/>
      <c r="F38" s="40"/>
      <c r="G38" s="43">
        <f>F38*6%</f>
        <v>0</v>
      </c>
      <c r="H38" s="43"/>
      <c r="I38" s="44">
        <f t="shared" si="0"/>
        <v>0</v>
      </c>
      <c r="J38" s="44">
        <f t="shared" si="1"/>
        <v>0</v>
      </c>
      <c r="K38" s="44">
        <f t="shared" si="2"/>
        <v>0</v>
      </c>
      <c r="L38" s="45"/>
      <c r="M38" s="40"/>
      <c r="N38" s="43">
        <f t="shared" si="3"/>
        <v>0</v>
      </c>
      <c r="O38" s="43">
        <f t="shared" si="4"/>
        <v>0</v>
      </c>
      <c r="P38" s="46"/>
      <c r="Q38" s="40"/>
      <c r="R38" s="40"/>
      <c r="S38" s="40"/>
      <c r="T38" s="5"/>
    </row>
    <row r="39" spans="1:22" ht="15">
      <c r="A39" s="32"/>
      <c r="B39" s="33"/>
      <c r="C39" s="32"/>
      <c r="D39" s="33"/>
      <c r="E39" s="34"/>
      <c r="F39" s="32"/>
      <c r="G39" s="32"/>
      <c r="H39" s="32"/>
      <c r="I39" s="37"/>
      <c r="J39" s="37"/>
      <c r="K39" s="35"/>
      <c r="L39" s="35"/>
      <c r="M39" s="35"/>
      <c r="N39" s="36"/>
      <c r="O39" s="32"/>
      <c r="P39" s="37"/>
      <c r="Q39" s="37"/>
      <c r="R39" s="38"/>
      <c r="S39" s="32"/>
      <c r="T39" s="39"/>
      <c r="U39" s="6"/>
      <c r="V39" s="6"/>
    </row>
    <row r="40" spans="1:22" ht="15">
      <c r="A40" s="40"/>
      <c r="B40" s="41"/>
      <c r="C40" s="42"/>
      <c r="D40" s="40"/>
      <c r="E40" s="40"/>
      <c r="F40" s="40"/>
      <c r="G40" s="43">
        <f>F40*6%</f>
        <v>0</v>
      </c>
      <c r="H40" s="43"/>
      <c r="I40" s="44">
        <f t="shared" si="0"/>
        <v>0</v>
      </c>
      <c r="J40" s="44">
        <f t="shared" si="1"/>
        <v>0</v>
      </c>
      <c r="K40" s="44">
        <f t="shared" si="2"/>
        <v>0</v>
      </c>
      <c r="L40" s="45"/>
      <c r="M40" s="40"/>
      <c r="N40" s="43">
        <f t="shared" si="3"/>
        <v>0</v>
      </c>
      <c r="O40" s="43">
        <f t="shared" si="4"/>
        <v>0</v>
      </c>
      <c r="P40" s="46"/>
      <c r="Q40" s="40"/>
      <c r="R40" s="40"/>
      <c r="S40" s="40"/>
      <c r="T40" s="5"/>
    </row>
    <row r="41" spans="1:22" ht="15">
      <c r="A41" s="32"/>
      <c r="B41" s="33"/>
      <c r="C41" s="32"/>
      <c r="D41" s="33"/>
      <c r="E41" s="34"/>
      <c r="F41" s="32"/>
      <c r="G41" s="32"/>
      <c r="H41" s="32"/>
      <c r="I41" s="37"/>
      <c r="J41" s="37"/>
      <c r="K41" s="35"/>
      <c r="L41" s="35"/>
      <c r="M41" s="35"/>
      <c r="N41" s="36"/>
      <c r="O41" s="32"/>
      <c r="P41" s="37"/>
      <c r="Q41" s="37"/>
      <c r="R41" s="38"/>
      <c r="S41" s="32"/>
      <c r="T41" s="39"/>
      <c r="U41" s="6"/>
      <c r="V41" s="6"/>
    </row>
    <row r="42" spans="1:22" ht="15">
      <c r="A42" s="40"/>
      <c r="B42" s="41"/>
      <c r="C42" s="42"/>
      <c r="D42" s="40"/>
      <c r="E42" s="40"/>
      <c r="F42" s="40"/>
      <c r="G42" s="43">
        <f>F42*6%</f>
        <v>0</v>
      </c>
      <c r="H42" s="43"/>
      <c r="I42" s="44">
        <f t="shared" si="0"/>
        <v>0</v>
      </c>
      <c r="J42" s="44">
        <f t="shared" si="1"/>
        <v>0</v>
      </c>
      <c r="K42" s="44">
        <f t="shared" si="2"/>
        <v>0</v>
      </c>
      <c r="L42" s="45"/>
      <c r="M42" s="40"/>
      <c r="N42" s="43">
        <f t="shared" si="3"/>
        <v>0</v>
      </c>
      <c r="O42" s="43">
        <f t="shared" si="4"/>
        <v>0</v>
      </c>
      <c r="P42" s="46"/>
      <c r="Q42" s="40"/>
      <c r="R42" s="40"/>
      <c r="S42" s="40"/>
      <c r="T42" s="5"/>
    </row>
    <row r="43" spans="1:22" ht="15">
      <c r="A43" s="32"/>
      <c r="B43" s="33"/>
      <c r="C43" s="32"/>
      <c r="D43" s="33"/>
      <c r="E43" s="34"/>
      <c r="F43" s="32"/>
      <c r="G43" s="32"/>
      <c r="H43" s="32"/>
      <c r="I43" s="37"/>
      <c r="J43" s="37"/>
      <c r="K43" s="35"/>
      <c r="L43" s="35"/>
      <c r="M43" s="35"/>
      <c r="N43" s="36"/>
      <c r="O43" s="32"/>
      <c r="P43" s="37"/>
      <c r="Q43" s="37"/>
      <c r="R43" s="38"/>
      <c r="S43" s="32"/>
      <c r="T43" s="39"/>
      <c r="U43" s="6"/>
      <c r="V43" s="6"/>
    </row>
    <row r="44" spans="1:22" ht="15">
      <c r="A44" s="50"/>
      <c r="B44" s="51"/>
      <c r="C44" s="52"/>
      <c r="D44" s="50"/>
      <c r="E44" s="50"/>
      <c r="F44" s="50"/>
      <c r="G44" s="43">
        <f>F44*6%</f>
        <v>0</v>
      </c>
      <c r="H44" s="53"/>
      <c r="I44" s="78">
        <f t="shared" si="0"/>
        <v>0</v>
      </c>
      <c r="J44" s="54">
        <f t="shared" si="1"/>
        <v>0</v>
      </c>
      <c r="K44" s="54">
        <f t="shared" si="2"/>
        <v>0</v>
      </c>
      <c r="L44" s="55"/>
      <c r="M44" s="50"/>
      <c r="N44" s="53">
        <f t="shared" si="3"/>
        <v>0</v>
      </c>
      <c r="O44" s="53">
        <f t="shared" si="4"/>
        <v>0</v>
      </c>
      <c r="P44" s="56"/>
      <c r="Q44" s="50"/>
      <c r="R44" s="50"/>
      <c r="S44" s="50"/>
      <c r="T44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405" priority="26" operator="containsText" text="SIN FACTURA ">
      <formula>NOT(ISERROR(SEARCH("SIN FACTURA ",A2)))</formula>
    </cfRule>
  </conditionalFormatting>
  <conditionalFormatting sqref="J44:T44 J42:T42 J40:T40 J38:T38 J36:T36 J34:T34 J32:T32 J30:T30 J28:T28 J26:T26 J24:T24 J14:T22 J5:T12 I5:I44 A5:H12 A14:H22 A24:H24 A26:H26 A28:H28 A30:H30 A32:H32 A34:H34 A36:H36 A38:H38 A40:H40 A42:H42 A44:H44 A4:T4">
    <cfRule type="containsText" dxfId="2404" priority="25" operator="containsText" text="SIN FACTURA">
      <formula>NOT(ISERROR(SEARCH("SIN FACTURA",A4)))</formula>
    </cfRule>
  </conditionalFormatting>
  <conditionalFormatting sqref="C13:H13 J13:V13">
    <cfRule type="containsText" dxfId="2403" priority="24" operator="containsText" text="SIN FACTURA">
      <formula>NOT(ISERROR(SEARCH("SIN FACTURA",C13)))</formula>
    </cfRule>
  </conditionalFormatting>
  <conditionalFormatting sqref="C23:H23 J23:V23">
    <cfRule type="containsText" dxfId="2402" priority="23" operator="containsText" text="SIN FACTURA">
      <formula>NOT(ISERROR(SEARCH("SIN FACTURA",C23)))</formula>
    </cfRule>
  </conditionalFormatting>
  <conditionalFormatting sqref="C25:H25 J25:V25">
    <cfRule type="containsText" dxfId="2401" priority="22" operator="containsText" text="SIN FACTURA">
      <formula>NOT(ISERROR(SEARCH("SIN FACTURA",C25)))</formula>
    </cfRule>
  </conditionalFormatting>
  <conditionalFormatting sqref="C27:H27 J27:V27">
    <cfRule type="containsText" dxfId="2400" priority="21" operator="containsText" text="SIN FACTURA">
      <formula>NOT(ISERROR(SEARCH("SIN FACTURA",C27)))</formula>
    </cfRule>
  </conditionalFormatting>
  <conditionalFormatting sqref="C29:H29 J29:V29">
    <cfRule type="containsText" dxfId="2399" priority="20" operator="containsText" text="SIN FACTURA">
      <formula>NOT(ISERROR(SEARCH("SIN FACTURA",C29)))</formula>
    </cfRule>
  </conditionalFormatting>
  <conditionalFormatting sqref="C31:H31 J31:V31">
    <cfRule type="containsText" dxfId="2398" priority="19" operator="containsText" text="SIN FACTURA">
      <formula>NOT(ISERROR(SEARCH("SIN FACTURA",C31)))</formula>
    </cfRule>
  </conditionalFormatting>
  <conditionalFormatting sqref="C33:H33 J33:V33">
    <cfRule type="containsText" dxfId="2397" priority="18" operator="containsText" text="SIN FACTURA">
      <formula>NOT(ISERROR(SEARCH("SIN FACTURA",C33)))</formula>
    </cfRule>
  </conditionalFormatting>
  <conditionalFormatting sqref="C35:H35 J35:V35">
    <cfRule type="containsText" dxfId="2396" priority="17" operator="containsText" text="SIN FACTURA">
      <formula>NOT(ISERROR(SEARCH("SIN FACTURA",C35)))</formula>
    </cfRule>
  </conditionalFormatting>
  <conditionalFormatting sqref="C37:H37 J37:V37">
    <cfRule type="containsText" dxfId="2395" priority="16" operator="containsText" text="SIN FACTURA">
      <formula>NOT(ISERROR(SEARCH("SIN FACTURA",C37)))</formula>
    </cfRule>
  </conditionalFormatting>
  <conditionalFormatting sqref="C39:H39 J39:V39">
    <cfRule type="containsText" dxfId="2394" priority="15" operator="containsText" text="SIN FACTURA">
      <formula>NOT(ISERROR(SEARCH("SIN FACTURA",C39)))</formula>
    </cfRule>
  </conditionalFormatting>
  <conditionalFormatting sqref="C41:H41 J41:V41">
    <cfRule type="containsText" dxfId="2393" priority="14" operator="containsText" text="SIN FACTURA">
      <formula>NOT(ISERROR(SEARCH("SIN FACTURA",C41)))</formula>
    </cfRule>
  </conditionalFormatting>
  <conditionalFormatting sqref="C43:H43 J43:V43">
    <cfRule type="containsText" dxfId="2392" priority="13" operator="containsText" text="SIN FACTURA">
      <formula>NOT(ISERROR(SEARCH("SIN FACTURA",C43)))</formula>
    </cfRule>
  </conditionalFormatting>
  <conditionalFormatting sqref="A13:B13">
    <cfRule type="containsText" dxfId="2391" priority="12" operator="containsText" text="SIN FACTURA">
      <formula>NOT(ISERROR(SEARCH("SIN FACTURA",A13)))</formula>
    </cfRule>
  </conditionalFormatting>
  <conditionalFormatting sqref="A23:B23">
    <cfRule type="containsText" dxfId="2390" priority="11" operator="containsText" text="SIN FACTURA">
      <formula>NOT(ISERROR(SEARCH("SIN FACTURA",A23)))</formula>
    </cfRule>
  </conditionalFormatting>
  <conditionalFormatting sqref="A25:B25">
    <cfRule type="containsText" dxfId="2389" priority="10" operator="containsText" text="SIN FACTURA">
      <formula>NOT(ISERROR(SEARCH("SIN FACTURA",A25)))</formula>
    </cfRule>
  </conditionalFormatting>
  <conditionalFormatting sqref="A27:B27">
    <cfRule type="containsText" dxfId="2388" priority="9" operator="containsText" text="SIN FACTURA">
      <formula>NOT(ISERROR(SEARCH("SIN FACTURA",A27)))</formula>
    </cfRule>
  </conditionalFormatting>
  <conditionalFormatting sqref="A29:B29">
    <cfRule type="containsText" dxfId="2387" priority="8" operator="containsText" text="SIN FACTURA">
      <formula>NOT(ISERROR(SEARCH("SIN FACTURA",A29)))</formula>
    </cfRule>
  </conditionalFormatting>
  <conditionalFormatting sqref="A31:B31">
    <cfRule type="containsText" dxfId="2386" priority="7" operator="containsText" text="SIN FACTURA">
      <formula>NOT(ISERROR(SEARCH("SIN FACTURA",A31)))</formula>
    </cfRule>
  </conditionalFormatting>
  <conditionalFormatting sqref="A43:B43">
    <cfRule type="containsText" dxfId="2385" priority="1" operator="containsText" text="SIN FACTURA">
      <formula>NOT(ISERROR(SEARCH("SIN FACTURA",A43)))</formula>
    </cfRule>
  </conditionalFormatting>
  <conditionalFormatting sqref="A33:B33">
    <cfRule type="containsText" dxfId="2384" priority="6" operator="containsText" text="SIN FACTURA">
      <formula>NOT(ISERROR(SEARCH("SIN FACTURA",A33)))</formula>
    </cfRule>
  </conditionalFormatting>
  <conditionalFormatting sqref="A35:B35">
    <cfRule type="containsText" dxfId="2383" priority="5" operator="containsText" text="SIN FACTURA">
      <formula>NOT(ISERROR(SEARCH("SIN FACTURA",A35)))</formula>
    </cfRule>
  </conditionalFormatting>
  <conditionalFormatting sqref="A37:B37">
    <cfRule type="containsText" dxfId="2382" priority="4" operator="containsText" text="SIN FACTURA">
      <formula>NOT(ISERROR(SEARCH("SIN FACTURA",A37)))</formula>
    </cfRule>
  </conditionalFormatting>
  <conditionalFormatting sqref="A39:B39">
    <cfRule type="containsText" dxfId="2381" priority="3" operator="containsText" text="SIN FACTURA">
      <formula>NOT(ISERROR(SEARCH("SIN FACTURA",A39)))</formula>
    </cfRule>
  </conditionalFormatting>
  <conditionalFormatting sqref="A41:B41">
    <cfRule type="containsText" dxfId="2380" priority="2" operator="containsText" text="SIN FACTURA">
      <formula>NOT(ISERROR(SEARCH("SIN FACTURA",A41)))</formula>
    </cfRule>
  </conditionalFormatting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>
  <sheetPr codeName="Hoja5"/>
  <dimension ref="A1:Y41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10" sqref="A5:XFD10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223</v>
      </c>
      <c r="B1" s="18">
        <v>79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1" si="0">F5-G5-H5</f>
        <v>0</v>
      </c>
      <c r="J5" s="44">
        <f t="shared" ref="J5:J41" si="1">S5+T5</f>
        <v>0</v>
      </c>
      <c r="K5" s="44">
        <f t="shared" ref="K5:K41" si="2">I5-J5</f>
        <v>0</v>
      </c>
      <c r="L5" s="45"/>
      <c r="M5" s="40"/>
      <c r="N5" s="43">
        <f t="shared" ref="N5:N41" si="3">I5-J5-M5-R5</f>
        <v>0</v>
      </c>
      <c r="O5" s="43">
        <f t="shared" ref="O5:O41" si="4">R5+S5+T5</f>
        <v>0</v>
      </c>
      <c r="P5" s="46"/>
      <c r="Q5" s="40"/>
      <c r="R5" s="43"/>
      <c r="S5" s="43"/>
      <c r="T5" s="49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>I7-J7</f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>S15+T15</f>
        <v>0</v>
      </c>
      <c r="K15" s="44">
        <f t="shared" si="2"/>
        <v>0</v>
      </c>
      <c r="L15" s="45"/>
      <c r="M15" s="40"/>
      <c r="N15" s="43">
        <f>I15-J15-M15-R15</f>
        <v>0</v>
      </c>
      <c r="O15" s="43">
        <f>R15+S15+T15</f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50"/>
      <c r="B41" s="51"/>
      <c r="C41" s="52"/>
      <c r="D41" s="50"/>
      <c r="E41" s="50"/>
      <c r="F41" s="50"/>
      <c r="G41" s="43">
        <f>F41*6%</f>
        <v>0</v>
      </c>
      <c r="H41" s="53"/>
      <c r="I41" s="78">
        <f t="shared" si="0"/>
        <v>0</v>
      </c>
      <c r="J41" s="54">
        <f t="shared" si="1"/>
        <v>0</v>
      </c>
      <c r="K41" s="54">
        <f t="shared" si="2"/>
        <v>0</v>
      </c>
      <c r="L41" s="55"/>
      <c r="M41" s="50"/>
      <c r="N41" s="53">
        <f t="shared" si="3"/>
        <v>0</v>
      </c>
      <c r="O41" s="53">
        <f t="shared" si="4"/>
        <v>0</v>
      </c>
      <c r="P41" s="56"/>
      <c r="Q41" s="50"/>
      <c r="R41" s="50"/>
      <c r="S41" s="50"/>
      <c r="T41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379" priority="27" operator="containsText" text="SIN FACTURA ">
      <formula>NOT(ISERROR(SEARCH("SIN FACTURA ",A2)))</formula>
    </cfRule>
  </conditionalFormatting>
  <conditionalFormatting sqref="J41:T41 J39:T39 J37:T37 J35:T35 J33:T33 J31:T31 J29:T29 J27:T27 J25:T25 J23:T23 J21:T21 J11:T19 A11:H19 A21:H21 A23:H23 A25:H25 A27:H27 A29:H29 A31:H31 A33:H33 A35:H35 A37:H37 A39:H39 A41:H41 A4:T4 I5:I41 A5:H9 J5:T9">
    <cfRule type="containsText" dxfId="2378" priority="26" operator="containsText" text="SIN FACTURA">
      <formula>NOT(ISERROR(SEARCH("SIN FACTURA",A4)))</formula>
    </cfRule>
  </conditionalFormatting>
  <conditionalFormatting sqref="C10:H10 J10:V10">
    <cfRule type="containsText" dxfId="2377" priority="25" operator="containsText" text="SIN FACTURA">
      <formula>NOT(ISERROR(SEARCH("SIN FACTURA",C10)))</formula>
    </cfRule>
  </conditionalFormatting>
  <conditionalFormatting sqref="C20:H20 J20:V20">
    <cfRule type="containsText" dxfId="2376" priority="24" operator="containsText" text="SIN FACTURA">
      <formula>NOT(ISERROR(SEARCH("SIN FACTURA",C20)))</formula>
    </cfRule>
  </conditionalFormatting>
  <conditionalFormatting sqref="C22:H22 J22:V22">
    <cfRule type="containsText" dxfId="2375" priority="23" operator="containsText" text="SIN FACTURA">
      <formula>NOT(ISERROR(SEARCH("SIN FACTURA",C22)))</formula>
    </cfRule>
  </conditionalFormatting>
  <conditionalFormatting sqref="C24:H24 J24:V24">
    <cfRule type="containsText" dxfId="2374" priority="22" operator="containsText" text="SIN FACTURA">
      <formula>NOT(ISERROR(SEARCH("SIN FACTURA",C24)))</formula>
    </cfRule>
  </conditionalFormatting>
  <conditionalFormatting sqref="C26:H26 J26:V26">
    <cfRule type="containsText" dxfId="2373" priority="21" operator="containsText" text="SIN FACTURA">
      <formula>NOT(ISERROR(SEARCH("SIN FACTURA",C26)))</formula>
    </cfRule>
  </conditionalFormatting>
  <conditionalFormatting sqref="C28:H28 J28:V28">
    <cfRule type="containsText" dxfId="2372" priority="20" operator="containsText" text="SIN FACTURA">
      <formula>NOT(ISERROR(SEARCH("SIN FACTURA",C28)))</formula>
    </cfRule>
  </conditionalFormatting>
  <conditionalFormatting sqref="C30:H30 J30:V30">
    <cfRule type="containsText" dxfId="2371" priority="19" operator="containsText" text="SIN FACTURA">
      <formula>NOT(ISERROR(SEARCH("SIN FACTURA",C30)))</formula>
    </cfRule>
  </conditionalFormatting>
  <conditionalFormatting sqref="C32:H32 J32:V32">
    <cfRule type="containsText" dxfId="2370" priority="18" operator="containsText" text="SIN FACTURA">
      <formula>NOT(ISERROR(SEARCH("SIN FACTURA",C32)))</formula>
    </cfRule>
  </conditionalFormatting>
  <conditionalFormatting sqref="C34:H34 J34:V34">
    <cfRule type="containsText" dxfId="2369" priority="17" operator="containsText" text="SIN FACTURA">
      <formula>NOT(ISERROR(SEARCH("SIN FACTURA",C34)))</formula>
    </cfRule>
  </conditionalFormatting>
  <conditionalFormatting sqref="C36:H36 J36:V36">
    <cfRule type="containsText" dxfId="2368" priority="16" operator="containsText" text="SIN FACTURA">
      <formula>NOT(ISERROR(SEARCH("SIN FACTURA",C36)))</formula>
    </cfRule>
  </conditionalFormatting>
  <conditionalFormatting sqref="C38:H38 J38:V38">
    <cfRule type="containsText" dxfId="2367" priority="15" operator="containsText" text="SIN FACTURA">
      <formula>NOT(ISERROR(SEARCH("SIN FACTURA",C38)))</formula>
    </cfRule>
  </conditionalFormatting>
  <conditionalFormatting sqref="C40:H40 J40:V40">
    <cfRule type="containsText" dxfId="2366" priority="14" operator="containsText" text="SIN FACTURA">
      <formula>NOT(ISERROR(SEARCH("SIN FACTURA",C40)))</formula>
    </cfRule>
  </conditionalFormatting>
  <conditionalFormatting sqref="A10:B10">
    <cfRule type="containsText" dxfId="2365" priority="13" operator="containsText" text="SIN FACTURA">
      <formula>NOT(ISERROR(SEARCH("SIN FACTURA",A10)))</formula>
    </cfRule>
  </conditionalFormatting>
  <conditionalFormatting sqref="A20:B20">
    <cfRule type="containsText" dxfId="2364" priority="12" operator="containsText" text="SIN FACTURA">
      <formula>NOT(ISERROR(SEARCH("SIN FACTURA",A20)))</formula>
    </cfRule>
  </conditionalFormatting>
  <conditionalFormatting sqref="A22:B22">
    <cfRule type="containsText" dxfId="2363" priority="11" operator="containsText" text="SIN FACTURA">
      <formula>NOT(ISERROR(SEARCH("SIN FACTURA",A22)))</formula>
    </cfRule>
  </conditionalFormatting>
  <conditionalFormatting sqref="A24:B24">
    <cfRule type="containsText" dxfId="2362" priority="10" operator="containsText" text="SIN FACTURA">
      <formula>NOT(ISERROR(SEARCH("SIN FACTURA",A24)))</formula>
    </cfRule>
  </conditionalFormatting>
  <conditionalFormatting sqref="A26:B26">
    <cfRule type="containsText" dxfId="2361" priority="9" operator="containsText" text="SIN FACTURA">
      <formula>NOT(ISERROR(SEARCH("SIN FACTURA",A26)))</formula>
    </cfRule>
  </conditionalFormatting>
  <conditionalFormatting sqref="A28:B28">
    <cfRule type="containsText" dxfId="2360" priority="8" operator="containsText" text="SIN FACTURA">
      <formula>NOT(ISERROR(SEARCH("SIN FACTURA",A28)))</formula>
    </cfRule>
  </conditionalFormatting>
  <conditionalFormatting sqref="A40:B40">
    <cfRule type="containsText" dxfId="2359" priority="2" operator="containsText" text="SIN FACTURA">
      <formula>NOT(ISERROR(SEARCH("SIN FACTURA",A40)))</formula>
    </cfRule>
  </conditionalFormatting>
  <conditionalFormatting sqref="A30:B30">
    <cfRule type="containsText" dxfId="2358" priority="7" operator="containsText" text="SIN FACTURA">
      <formula>NOT(ISERROR(SEARCH("SIN FACTURA",A30)))</formula>
    </cfRule>
  </conditionalFormatting>
  <conditionalFormatting sqref="A32:B32">
    <cfRule type="containsText" dxfId="2357" priority="6" operator="containsText" text="SIN FACTURA">
      <formula>NOT(ISERROR(SEARCH("SIN FACTURA",A32)))</formula>
    </cfRule>
  </conditionalFormatting>
  <conditionalFormatting sqref="A34:B34">
    <cfRule type="containsText" dxfId="2356" priority="5" operator="containsText" text="SIN FACTURA">
      <formula>NOT(ISERROR(SEARCH("SIN FACTURA",A34)))</formula>
    </cfRule>
  </conditionalFormatting>
  <conditionalFormatting sqref="A36:B36">
    <cfRule type="containsText" dxfId="2355" priority="4" operator="containsText" text="SIN FACTURA">
      <formula>NOT(ISERROR(SEARCH("SIN FACTURA",A36)))</formula>
    </cfRule>
  </conditionalFormatting>
  <conditionalFormatting sqref="A38:B38">
    <cfRule type="containsText" dxfId="2354" priority="3" operator="containsText" text="SIN FACTURA">
      <formula>NOT(ISERROR(SEARCH("SIN FACTURA",A38)))</formula>
    </cfRule>
  </conditionalFormatting>
  <pageMargins left="0.75" right="0.75" top="1" bottom="1" header="0.5" footer="0.5"/>
  <pageSetup paperSize="9" orientation="portrait" horizontalDpi="0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>
  <sheetPr codeName="Hoja90"/>
  <dimension ref="A1:Y43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F13" sqref="F13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181</v>
      </c>
      <c r="B1" s="18"/>
      <c r="C1" s="20">
        <v>475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78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353" priority="26" operator="containsText" text="SIN FACTURA ">
      <formula>NOT(ISERROR(SEARCH("SIN FACTURA ",A2)))</formula>
    </cfRule>
  </conditionalFormatting>
  <conditionalFormatting sqref="J43:T43 J41:T41 J39:T39 J37:T37 J35:T35 J33:T33 J31:T31 J29:T29 J27:T27 J25:T25 J23:T23 J13:T21 A13:H21 A23:H23 A25:H25 A27:H27 A29:H29 A31:H31 A33:H33 A35:H35 A37:H37 A39:H39 A41:H41 A43:H43 A4:T4 J5:T11 I5:I43 A5:H11">
    <cfRule type="containsText" dxfId="2352" priority="25" operator="containsText" text="SIN FACTURA">
      <formula>NOT(ISERROR(SEARCH("SIN FACTURA",A4)))</formula>
    </cfRule>
  </conditionalFormatting>
  <conditionalFormatting sqref="C12:H12 J12:V12">
    <cfRule type="containsText" dxfId="2351" priority="24" operator="containsText" text="SIN FACTURA">
      <formula>NOT(ISERROR(SEARCH("SIN FACTURA",C12)))</formula>
    </cfRule>
  </conditionalFormatting>
  <conditionalFormatting sqref="C22:H22 J22:V22">
    <cfRule type="containsText" dxfId="2350" priority="23" operator="containsText" text="SIN FACTURA">
      <formula>NOT(ISERROR(SEARCH("SIN FACTURA",C22)))</formula>
    </cfRule>
  </conditionalFormatting>
  <conditionalFormatting sqref="C24:H24 J24:V24">
    <cfRule type="containsText" dxfId="2349" priority="22" operator="containsText" text="SIN FACTURA">
      <formula>NOT(ISERROR(SEARCH("SIN FACTURA",C24)))</formula>
    </cfRule>
  </conditionalFormatting>
  <conditionalFormatting sqref="C26:H26 J26:V26">
    <cfRule type="containsText" dxfId="2348" priority="21" operator="containsText" text="SIN FACTURA">
      <formula>NOT(ISERROR(SEARCH("SIN FACTURA",C26)))</formula>
    </cfRule>
  </conditionalFormatting>
  <conditionalFormatting sqref="C28:H28 J28:V28">
    <cfRule type="containsText" dxfId="2347" priority="20" operator="containsText" text="SIN FACTURA">
      <formula>NOT(ISERROR(SEARCH("SIN FACTURA",C28)))</formula>
    </cfRule>
  </conditionalFormatting>
  <conditionalFormatting sqref="C30:H30 J30:V30">
    <cfRule type="containsText" dxfId="2346" priority="19" operator="containsText" text="SIN FACTURA">
      <formula>NOT(ISERROR(SEARCH("SIN FACTURA",C30)))</formula>
    </cfRule>
  </conditionalFormatting>
  <conditionalFormatting sqref="C32:H32 J32:V32">
    <cfRule type="containsText" dxfId="2345" priority="18" operator="containsText" text="SIN FACTURA">
      <formula>NOT(ISERROR(SEARCH("SIN FACTURA",C32)))</formula>
    </cfRule>
  </conditionalFormatting>
  <conditionalFormatting sqref="C34:H34 J34:V34">
    <cfRule type="containsText" dxfId="2344" priority="17" operator="containsText" text="SIN FACTURA">
      <formula>NOT(ISERROR(SEARCH("SIN FACTURA",C34)))</formula>
    </cfRule>
  </conditionalFormatting>
  <conditionalFormatting sqref="C36:H36 J36:V36">
    <cfRule type="containsText" dxfId="2343" priority="16" operator="containsText" text="SIN FACTURA">
      <formula>NOT(ISERROR(SEARCH("SIN FACTURA",C36)))</formula>
    </cfRule>
  </conditionalFormatting>
  <conditionalFormatting sqref="C38:H38 J38:V38">
    <cfRule type="containsText" dxfId="2342" priority="15" operator="containsText" text="SIN FACTURA">
      <formula>NOT(ISERROR(SEARCH("SIN FACTURA",C38)))</formula>
    </cfRule>
  </conditionalFormatting>
  <conditionalFormatting sqref="C40:H40 J40:V40">
    <cfRule type="containsText" dxfId="2341" priority="14" operator="containsText" text="SIN FACTURA">
      <formula>NOT(ISERROR(SEARCH("SIN FACTURA",C40)))</formula>
    </cfRule>
  </conditionalFormatting>
  <conditionalFormatting sqref="C42:H42 J42:V42">
    <cfRule type="containsText" dxfId="2340" priority="13" operator="containsText" text="SIN FACTURA">
      <formula>NOT(ISERROR(SEARCH("SIN FACTURA",C42)))</formula>
    </cfRule>
  </conditionalFormatting>
  <conditionalFormatting sqref="A12:B12">
    <cfRule type="containsText" dxfId="2339" priority="12" operator="containsText" text="SIN FACTURA">
      <formula>NOT(ISERROR(SEARCH("SIN FACTURA",A12)))</formula>
    </cfRule>
  </conditionalFormatting>
  <conditionalFormatting sqref="A22:B22">
    <cfRule type="containsText" dxfId="2338" priority="11" operator="containsText" text="SIN FACTURA">
      <formula>NOT(ISERROR(SEARCH("SIN FACTURA",A22)))</formula>
    </cfRule>
  </conditionalFormatting>
  <conditionalFormatting sqref="A24:B24">
    <cfRule type="containsText" dxfId="2337" priority="10" operator="containsText" text="SIN FACTURA">
      <formula>NOT(ISERROR(SEARCH("SIN FACTURA",A24)))</formula>
    </cfRule>
  </conditionalFormatting>
  <conditionalFormatting sqref="A26:B26">
    <cfRule type="containsText" dxfId="2336" priority="9" operator="containsText" text="SIN FACTURA">
      <formula>NOT(ISERROR(SEARCH("SIN FACTURA",A26)))</formula>
    </cfRule>
  </conditionalFormatting>
  <conditionalFormatting sqref="A28:B28">
    <cfRule type="containsText" dxfId="2335" priority="8" operator="containsText" text="SIN FACTURA">
      <formula>NOT(ISERROR(SEARCH("SIN FACTURA",A28)))</formula>
    </cfRule>
  </conditionalFormatting>
  <conditionalFormatting sqref="A30:B30">
    <cfRule type="containsText" dxfId="2334" priority="7" operator="containsText" text="SIN FACTURA">
      <formula>NOT(ISERROR(SEARCH("SIN FACTURA",A30)))</formula>
    </cfRule>
  </conditionalFormatting>
  <conditionalFormatting sqref="A42:B42">
    <cfRule type="containsText" dxfId="2333" priority="1" operator="containsText" text="SIN FACTURA">
      <formula>NOT(ISERROR(SEARCH("SIN FACTURA",A42)))</formula>
    </cfRule>
  </conditionalFormatting>
  <conditionalFormatting sqref="A32:B32">
    <cfRule type="containsText" dxfId="2332" priority="6" operator="containsText" text="SIN FACTURA">
      <formula>NOT(ISERROR(SEARCH("SIN FACTURA",A32)))</formula>
    </cfRule>
  </conditionalFormatting>
  <conditionalFormatting sqref="A34:B34">
    <cfRule type="containsText" dxfId="2331" priority="5" operator="containsText" text="SIN FACTURA">
      <formula>NOT(ISERROR(SEARCH("SIN FACTURA",A34)))</formula>
    </cfRule>
  </conditionalFormatting>
  <conditionalFormatting sqref="A36:B36">
    <cfRule type="containsText" dxfId="2330" priority="4" operator="containsText" text="SIN FACTURA">
      <formula>NOT(ISERROR(SEARCH("SIN FACTURA",A36)))</formula>
    </cfRule>
  </conditionalFormatting>
  <conditionalFormatting sqref="A38:B38">
    <cfRule type="containsText" dxfId="2329" priority="3" operator="containsText" text="SIN FACTURA">
      <formula>NOT(ISERROR(SEARCH("SIN FACTURA",A38)))</formula>
    </cfRule>
  </conditionalFormatting>
  <conditionalFormatting sqref="A40:B40">
    <cfRule type="containsText" dxfId="2328" priority="2" operator="containsText" text="SIN FACTURA">
      <formula>NOT(ISERROR(SEARCH("SIN FACTURA",A40)))</formula>
    </cfRule>
  </conditionalFormatting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>
  <sheetPr codeName="Hoja154"/>
  <dimension ref="A1:Y41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8" sqref="A5:XFD8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314</v>
      </c>
      <c r="B1" s="18" t="s">
        <v>110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1" si="0">F5-G5-H5</f>
        <v>0</v>
      </c>
      <c r="J5" s="44">
        <f t="shared" ref="J5:J41" si="1">S5+T5</f>
        <v>0</v>
      </c>
      <c r="K5" s="44">
        <f t="shared" ref="K5:K41" si="2">I5-J5</f>
        <v>0</v>
      </c>
      <c r="L5" s="45"/>
      <c r="M5" s="40"/>
      <c r="N5" s="43">
        <f t="shared" ref="N5:N41" si="3">I5-J5-M5-R5</f>
        <v>0</v>
      </c>
      <c r="O5" s="43">
        <f t="shared" ref="O5:O41" si="4">R5+S5+T5</f>
        <v>0</v>
      </c>
      <c r="P5" s="46"/>
      <c r="Q5" s="40"/>
      <c r="R5" s="43"/>
      <c r="S5" s="43"/>
      <c r="T5" s="49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>I7-J7</f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>S15+T15</f>
        <v>0</v>
      </c>
      <c r="K15" s="44">
        <f t="shared" si="2"/>
        <v>0</v>
      </c>
      <c r="L15" s="45"/>
      <c r="M15" s="40"/>
      <c r="N15" s="43">
        <f>I15-J15-M15-R15</f>
        <v>0</v>
      </c>
      <c r="O15" s="43">
        <f>R15+S15+T15</f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50"/>
      <c r="B41" s="51"/>
      <c r="C41" s="52"/>
      <c r="D41" s="50"/>
      <c r="E41" s="50"/>
      <c r="F41" s="50"/>
      <c r="G41" s="43">
        <f>F41*6%</f>
        <v>0</v>
      </c>
      <c r="H41" s="53"/>
      <c r="I41" s="44">
        <f t="shared" si="0"/>
        <v>0</v>
      </c>
      <c r="J41" s="54">
        <f t="shared" si="1"/>
        <v>0</v>
      </c>
      <c r="K41" s="54">
        <f t="shared" si="2"/>
        <v>0</v>
      </c>
      <c r="L41" s="55"/>
      <c r="M41" s="50"/>
      <c r="N41" s="53">
        <f t="shared" si="3"/>
        <v>0</v>
      </c>
      <c r="O41" s="53">
        <f t="shared" si="4"/>
        <v>0</v>
      </c>
      <c r="P41" s="56"/>
      <c r="Q41" s="50"/>
      <c r="R41" s="50"/>
      <c r="S41" s="50"/>
      <c r="T41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327" priority="29" operator="containsText" text="SIN FACTURA ">
      <formula>NOT(ISERROR(SEARCH("SIN FACTURA ",A2)))</formula>
    </cfRule>
  </conditionalFormatting>
  <conditionalFormatting sqref="A40:B40 A4:T4 J5:T9 I5:I41 A5:H9">
    <cfRule type="containsText" dxfId="2326" priority="3" operator="containsText" text="SIN FACTURA">
      <formula>NOT(ISERROR(SEARCH("SIN FACTURA",A4)))</formula>
    </cfRule>
  </conditionalFormatting>
  <conditionalFormatting sqref="J41:T41 J39:T39 J37:T37 J35:T35 J33:T33 J31:T31 J29:T29 J27:T27 J25:T25 J23:T23 J21:T21 J11:T19 A11:H19 A21:H21 A23:H23 A25:H25 A27:H27 A29:H29 A31:H31 A33:H33 A35:H35 A37:H37 A39:H39 A41:H41">
    <cfRule type="containsText" dxfId="2325" priority="27" operator="containsText" text="SIN FACTURA">
      <formula>NOT(ISERROR(SEARCH("SIN FACTURA",A11)))</formula>
    </cfRule>
  </conditionalFormatting>
  <conditionalFormatting sqref="C10:H10 J10:V10">
    <cfRule type="containsText" dxfId="2324" priority="26" operator="containsText" text="SIN FACTURA">
      <formula>NOT(ISERROR(SEARCH("SIN FACTURA",C10)))</formula>
    </cfRule>
  </conditionalFormatting>
  <conditionalFormatting sqref="C20:H20 J20:V20">
    <cfRule type="containsText" dxfId="2323" priority="25" operator="containsText" text="SIN FACTURA">
      <formula>NOT(ISERROR(SEARCH("SIN FACTURA",C20)))</formula>
    </cfRule>
  </conditionalFormatting>
  <conditionalFormatting sqref="C22:H22 J22:V22">
    <cfRule type="containsText" dxfId="2322" priority="24" operator="containsText" text="SIN FACTURA">
      <formula>NOT(ISERROR(SEARCH("SIN FACTURA",C22)))</formula>
    </cfRule>
  </conditionalFormatting>
  <conditionalFormatting sqref="C24:H24 J24:V24">
    <cfRule type="containsText" dxfId="2321" priority="23" operator="containsText" text="SIN FACTURA">
      <formula>NOT(ISERROR(SEARCH("SIN FACTURA",C24)))</formula>
    </cfRule>
  </conditionalFormatting>
  <conditionalFormatting sqref="C26:H26 J26:V26">
    <cfRule type="containsText" dxfId="2320" priority="22" operator="containsText" text="SIN FACTURA">
      <formula>NOT(ISERROR(SEARCH("SIN FACTURA",C26)))</formula>
    </cfRule>
  </conditionalFormatting>
  <conditionalFormatting sqref="C28:H28 J28:V28">
    <cfRule type="containsText" dxfId="2319" priority="21" operator="containsText" text="SIN FACTURA">
      <formula>NOT(ISERROR(SEARCH("SIN FACTURA",C28)))</formula>
    </cfRule>
  </conditionalFormatting>
  <conditionalFormatting sqref="C30:H30 J30:V30">
    <cfRule type="containsText" dxfId="2318" priority="20" operator="containsText" text="SIN FACTURA">
      <formula>NOT(ISERROR(SEARCH("SIN FACTURA",C30)))</formula>
    </cfRule>
  </conditionalFormatting>
  <conditionalFormatting sqref="C32:H32 J32:V32">
    <cfRule type="containsText" dxfId="2317" priority="19" operator="containsText" text="SIN FACTURA">
      <formula>NOT(ISERROR(SEARCH("SIN FACTURA",C32)))</formula>
    </cfRule>
  </conditionalFormatting>
  <conditionalFormatting sqref="C34:H34 J34:V34">
    <cfRule type="containsText" dxfId="2316" priority="18" operator="containsText" text="SIN FACTURA">
      <formula>NOT(ISERROR(SEARCH("SIN FACTURA",C34)))</formula>
    </cfRule>
  </conditionalFormatting>
  <conditionalFormatting sqref="C36:H36 J36:V36">
    <cfRule type="containsText" dxfId="2315" priority="17" operator="containsText" text="SIN FACTURA">
      <formula>NOT(ISERROR(SEARCH("SIN FACTURA",C36)))</formula>
    </cfRule>
  </conditionalFormatting>
  <conditionalFormatting sqref="C38:H38 J38:V38">
    <cfRule type="containsText" dxfId="2314" priority="16" operator="containsText" text="SIN FACTURA">
      <formula>NOT(ISERROR(SEARCH("SIN FACTURA",C38)))</formula>
    </cfRule>
  </conditionalFormatting>
  <conditionalFormatting sqref="C40:H40 J40:V40">
    <cfRule type="containsText" dxfId="2313" priority="15" operator="containsText" text="SIN FACTURA">
      <formula>NOT(ISERROR(SEARCH("SIN FACTURA",C40)))</formula>
    </cfRule>
  </conditionalFormatting>
  <conditionalFormatting sqref="A10:B10">
    <cfRule type="containsText" dxfId="2312" priority="14" operator="containsText" text="SIN FACTURA">
      <formula>NOT(ISERROR(SEARCH("SIN FACTURA",A10)))</formula>
    </cfRule>
  </conditionalFormatting>
  <conditionalFormatting sqref="A20:B20">
    <cfRule type="containsText" dxfId="2311" priority="13" operator="containsText" text="SIN FACTURA">
      <formula>NOT(ISERROR(SEARCH("SIN FACTURA",A20)))</formula>
    </cfRule>
  </conditionalFormatting>
  <conditionalFormatting sqref="A22:B22">
    <cfRule type="containsText" dxfId="2310" priority="12" operator="containsText" text="SIN FACTURA">
      <formula>NOT(ISERROR(SEARCH("SIN FACTURA",A22)))</formula>
    </cfRule>
  </conditionalFormatting>
  <conditionalFormatting sqref="A24:B24">
    <cfRule type="containsText" dxfId="2309" priority="11" operator="containsText" text="SIN FACTURA">
      <formula>NOT(ISERROR(SEARCH("SIN FACTURA",A24)))</formula>
    </cfRule>
  </conditionalFormatting>
  <conditionalFormatting sqref="A26:B26">
    <cfRule type="containsText" dxfId="2308" priority="10" operator="containsText" text="SIN FACTURA">
      <formula>NOT(ISERROR(SEARCH("SIN FACTURA",A26)))</formula>
    </cfRule>
  </conditionalFormatting>
  <conditionalFormatting sqref="A28:B28">
    <cfRule type="containsText" dxfId="2307" priority="9" operator="containsText" text="SIN FACTURA">
      <formula>NOT(ISERROR(SEARCH("SIN FACTURA",A28)))</formula>
    </cfRule>
  </conditionalFormatting>
  <conditionalFormatting sqref="A30:B30">
    <cfRule type="containsText" dxfId="2306" priority="8" operator="containsText" text="SIN FACTURA">
      <formula>NOT(ISERROR(SEARCH("SIN FACTURA",A30)))</formula>
    </cfRule>
  </conditionalFormatting>
  <conditionalFormatting sqref="A32:B32">
    <cfRule type="containsText" dxfId="2305" priority="7" operator="containsText" text="SIN FACTURA">
      <formula>NOT(ISERROR(SEARCH("SIN FACTURA",A32)))</formula>
    </cfRule>
  </conditionalFormatting>
  <conditionalFormatting sqref="A34:B34">
    <cfRule type="containsText" dxfId="2304" priority="6" operator="containsText" text="SIN FACTURA">
      <formula>NOT(ISERROR(SEARCH("SIN FACTURA",A34)))</formula>
    </cfRule>
  </conditionalFormatting>
  <conditionalFormatting sqref="A36:B36">
    <cfRule type="containsText" dxfId="2303" priority="5" operator="containsText" text="SIN FACTURA">
      <formula>NOT(ISERROR(SEARCH("SIN FACTURA",A36)))</formula>
    </cfRule>
  </conditionalFormatting>
  <conditionalFormatting sqref="A38:B38">
    <cfRule type="containsText" dxfId="2302" priority="4" operator="containsText" text="SIN FACTURA">
      <formula>NOT(ISERROR(SEARCH("SIN FACTURA",A38)))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76.xml><?xml version="1.0" encoding="utf-8"?>
<worksheet xmlns="http://schemas.openxmlformats.org/spreadsheetml/2006/main" xmlns:r="http://schemas.openxmlformats.org/officeDocument/2006/relationships">
  <dimension ref="A1:Y35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1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20">
        <v>470</v>
      </c>
      <c r="B1" s="4" t="s">
        <v>252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5" si="0">F5-G5-H5</f>
        <v>0</v>
      </c>
      <c r="J5" s="44">
        <f t="shared" ref="J5:J35" si="1">S5+T5</f>
        <v>0</v>
      </c>
      <c r="K5" s="44">
        <f t="shared" ref="K5:K35" si="2">I5-J5</f>
        <v>0</v>
      </c>
      <c r="L5" s="45"/>
      <c r="M5" s="40"/>
      <c r="N5" s="43">
        <f t="shared" ref="N5:N35" si="3">I5-J5-M5-R5</f>
        <v>0</v>
      </c>
      <c r="O5" s="43">
        <f t="shared" ref="O5:O35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 t="shared" si="2"/>
        <v>0</v>
      </c>
      <c r="L9" s="45"/>
      <c r="M9" s="40"/>
      <c r="N9" s="43">
        <f>I9-J9-M9-R9</f>
        <v>0</v>
      </c>
      <c r="O9" s="43">
        <f>R9+S9+T9</f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50"/>
      <c r="B35" s="51"/>
      <c r="C35" s="52"/>
      <c r="D35" s="50"/>
      <c r="E35" s="50"/>
      <c r="F35" s="50"/>
      <c r="G35" s="43">
        <f>F35*6%</f>
        <v>0</v>
      </c>
      <c r="H35" s="53"/>
      <c r="I35" s="78">
        <f t="shared" si="0"/>
        <v>0</v>
      </c>
      <c r="J35" s="54">
        <f t="shared" si="1"/>
        <v>0</v>
      </c>
      <c r="K35" s="54">
        <f t="shared" si="2"/>
        <v>0</v>
      </c>
      <c r="L35" s="55"/>
      <c r="M35" s="50"/>
      <c r="N35" s="53">
        <f t="shared" si="3"/>
        <v>0</v>
      </c>
      <c r="O35" s="53">
        <f t="shared" si="4"/>
        <v>0</v>
      </c>
      <c r="P35" s="56"/>
      <c r="Q35" s="50"/>
      <c r="R35" s="50"/>
      <c r="S35" s="50"/>
      <c r="T35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301" priority="26" operator="containsText" text="SIN FACTURA ">
      <formula>NOT(ISERROR(SEARCH("SIN FACTURA ",A2)))</formula>
    </cfRule>
  </conditionalFormatting>
  <conditionalFormatting sqref="J35:T35 J33:T33 J31:T31 J29:T29 J27:T27 J25:T25 J23:T23 J21:T21 J19:T19 J17:T17 J15:T15 J5:T13 A5:H13 A15:H15 A17:H17 A19:H19 A21:H21 A23:H23 A25:H25 A27:H27 A29:H29 A31:H31 A33:H33 A35:H35 A4:T4 I5:I35">
    <cfRule type="containsText" dxfId="2300" priority="25" operator="containsText" text="SIN FACTURA">
      <formula>NOT(ISERROR(SEARCH("SIN FACTURA",A4)))</formula>
    </cfRule>
  </conditionalFormatting>
  <conditionalFormatting sqref="C14:H14 J14:V14">
    <cfRule type="containsText" dxfId="2299" priority="23" operator="containsText" text="SIN FACTURA">
      <formula>NOT(ISERROR(SEARCH("SIN FACTURA",C14)))</formula>
    </cfRule>
  </conditionalFormatting>
  <conditionalFormatting sqref="C16:H16 J16:V16">
    <cfRule type="containsText" dxfId="2298" priority="22" operator="containsText" text="SIN FACTURA">
      <formula>NOT(ISERROR(SEARCH("SIN FACTURA",C16)))</formula>
    </cfRule>
  </conditionalFormatting>
  <conditionalFormatting sqref="C18:H18 J18:V18">
    <cfRule type="containsText" dxfId="2297" priority="21" operator="containsText" text="SIN FACTURA">
      <formula>NOT(ISERROR(SEARCH("SIN FACTURA",C18)))</formula>
    </cfRule>
  </conditionalFormatting>
  <conditionalFormatting sqref="C20:H20 J20:V20">
    <cfRule type="containsText" dxfId="2296" priority="20" operator="containsText" text="SIN FACTURA">
      <formula>NOT(ISERROR(SEARCH("SIN FACTURA",C20)))</formula>
    </cfRule>
  </conditionalFormatting>
  <conditionalFormatting sqref="C22:H22 J22:V22">
    <cfRule type="containsText" dxfId="2295" priority="19" operator="containsText" text="SIN FACTURA">
      <formula>NOT(ISERROR(SEARCH("SIN FACTURA",C22)))</formula>
    </cfRule>
  </conditionalFormatting>
  <conditionalFormatting sqref="C24:H24 J24:V24">
    <cfRule type="containsText" dxfId="2294" priority="18" operator="containsText" text="SIN FACTURA">
      <formula>NOT(ISERROR(SEARCH("SIN FACTURA",C24)))</formula>
    </cfRule>
  </conditionalFormatting>
  <conditionalFormatting sqref="C26:H26 J26:V26">
    <cfRule type="containsText" dxfId="2293" priority="17" operator="containsText" text="SIN FACTURA">
      <formula>NOT(ISERROR(SEARCH("SIN FACTURA",C26)))</formula>
    </cfRule>
  </conditionalFormatting>
  <conditionalFormatting sqref="C28:H28 J28:V28">
    <cfRule type="containsText" dxfId="2292" priority="16" operator="containsText" text="SIN FACTURA">
      <formula>NOT(ISERROR(SEARCH("SIN FACTURA",C28)))</formula>
    </cfRule>
  </conditionalFormatting>
  <conditionalFormatting sqref="C30:H30 J30:V30">
    <cfRule type="containsText" dxfId="2291" priority="15" operator="containsText" text="SIN FACTURA">
      <formula>NOT(ISERROR(SEARCH("SIN FACTURA",C30)))</formula>
    </cfRule>
  </conditionalFormatting>
  <conditionalFormatting sqref="C32:H32 J32:V32">
    <cfRule type="containsText" dxfId="2290" priority="14" operator="containsText" text="SIN FACTURA">
      <formula>NOT(ISERROR(SEARCH("SIN FACTURA",C32)))</formula>
    </cfRule>
  </conditionalFormatting>
  <conditionalFormatting sqref="C34:H34 J34:V34">
    <cfRule type="containsText" dxfId="2289" priority="13" operator="containsText" text="SIN FACTURA">
      <formula>NOT(ISERROR(SEARCH("SIN FACTURA",C34)))</formula>
    </cfRule>
  </conditionalFormatting>
  <conditionalFormatting sqref="A14:B14">
    <cfRule type="containsText" dxfId="2288" priority="11" operator="containsText" text="SIN FACTURA">
      <formula>NOT(ISERROR(SEARCH("SIN FACTURA",A14)))</formula>
    </cfRule>
  </conditionalFormatting>
  <conditionalFormatting sqref="A16:B16">
    <cfRule type="containsText" dxfId="2287" priority="10" operator="containsText" text="SIN FACTURA">
      <formula>NOT(ISERROR(SEARCH("SIN FACTURA",A16)))</formula>
    </cfRule>
  </conditionalFormatting>
  <conditionalFormatting sqref="A18:B18">
    <cfRule type="containsText" dxfId="2286" priority="9" operator="containsText" text="SIN FACTURA">
      <formula>NOT(ISERROR(SEARCH("SIN FACTURA",A18)))</formula>
    </cfRule>
  </conditionalFormatting>
  <conditionalFormatting sqref="A20:B20">
    <cfRule type="containsText" dxfId="2285" priority="8" operator="containsText" text="SIN FACTURA">
      <formula>NOT(ISERROR(SEARCH("SIN FACTURA",A20)))</formula>
    </cfRule>
  </conditionalFormatting>
  <conditionalFormatting sqref="A22:B22">
    <cfRule type="containsText" dxfId="2284" priority="7" operator="containsText" text="SIN FACTURA">
      <formula>NOT(ISERROR(SEARCH("SIN FACTURA",A22)))</formula>
    </cfRule>
  </conditionalFormatting>
  <conditionalFormatting sqref="A34:B34">
    <cfRule type="containsText" dxfId="2283" priority="1" operator="containsText" text="SIN FACTURA">
      <formula>NOT(ISERROR(SEARCH("SIN FACTURA",A34)))</formula>
    </cfRule>
  </conditionalFormatting>
  <conditionalFormatting sqref="A24:B24">
    <cfRule type="containsText" dxfId="2282" priority="6" operator="containsText" text="SIN FACTURA">
      <formula>NOT(ISERROR(SEARCH("SIN FACTURA",A24)))</formula>
    </cfRule>
  </conditionalFormatting>
  <conditionalFormatting sqref="A26:B26">
    <cfRule type="containsText" dxfId="2281" priority="5" operator="containsText" text="SIN FACTURA">
      <formula>NOT(ISERROR(SEARCH("SIN FACTURA",A26)))</formula>
    </cfRule>
  </conditionalFormatting>
  <conditionalFormatting sqref="A28:B28">
    <cfRule type="containsText" dxfId="2280" priority="4" operator="containsText" text="SIN FACTURA">
      <formula>NOT(ISERROR(SEARCH("SIN FACTURA",A28)))</formula>
    </cfRule>
  </conditionalFormatting>
  <conditionalFormatting sqref="A30:B30">
    <cfRule type="containsText" dxfId="2279" priority="3" operator="containsText" text="SIN FACTURA">
      <formula>NOT(ISERROR(SEARCH("SIN FACTURA",A30)))</formula>
    </cfRule>
  </conditionalFormatting>
  <conditionalFormatting sqref="A32:B32">
    <cfRule type="containsText" dxfId="2278" priority="2" operator="containsText" text="SIN FACTURA">
      <formula>NOT(ISERROR(SEARCH("SIN FACTURA",A32)))</formula>
    </cfRule>
  </conditionalFormatting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>
  <sheetPr codeName="Hoja191"/>
  <dimension ref="A1:Y18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13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224</v>
      </c>
      <c r="B1" s="18"/>
      <c r="C1" s="20"/>
      <c r="D1" s="4">
        <v>493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32"/>
      <c r="B5" s="33"/>
      <c r="C5" s="32"/>
      <c r="D5" s="33"/>
      <c r="E5" s="34"/>
      <c r="F5" s="32"/>
      <c r="G5" s="32"/>
      <c r="H5" s="32"/>
      <c r="I5" s="37"/>
      <c r="J5" s="37"/>
      <c r="K5" s="35"/>
      <c r="L5" s="35"/>
      <c r="M5" s="35"/>
      <c r="N5" s="36"/>
      <c r="O5" s="32"/>
      <c r="P5" s="37"/>
      <c r="Q5" s="37"/>
      <c r="R5" s="38"/>
      <c r="S5" s="32"/>
      <c r="T5" s="39"/>
      <c r="U5" s="6"/>
      <c r="V5" s="6"/>
    </row>
    <row r="6" spans="1:25" ht="15">
      <c r="A6" s="40"/>
      <c r="B6" s="41"/>
      <c r="C6" s="42"/>
      <c r="D6" s="40"/>
      <c r="E6" s="40"/>
      <c r="F6" s="40"/>
      <c r="G6" s="43">
        <f>F6*6%</f>
        <v>0</v>
      </c>
      <c r="H6" s="43"/>
      <c r="I6" s="44">
        <f t="shared" ref="I6:I18" si="0">F6-G6-H6</f>
        <v>0</v>
      </c>
      <c r="J6" s="44">
        <f t="shared" ref="J6:J18" si="1">S6+T6</f>
        <v>0</v>
      </c>
      <c r="K6" s="44">
        <f t="shared" ref="K6:K18" si="2">I6-J6</f>
        <v>0</v>
      </c>
      <c r="L6" s="45"/>
      <c r="M6" s="40"/>
      <c r="N6" s="43">
        <f t="shared" ref="N6:N18" si="3">I6-J6-M6-R6</f>
        <v>0</v>
      </c>
      <c r="O6" s="43">
        <f t="shared" ref="O6:O18" si="4">R6+S6+T6</f>
        <v>0</v>
      </c>
      <c r="P6" s="46"/>
      <c r="Q6" s="40"/>
      <c r="R6" s="40"/>
      <c r="S6" s="40"/>
      <c r="T6" s="5"/>
    </row>
    <row r="7" spans="1:25" ht="15">
      <c r="A7" s="32"/>
      <c r="B7" s="33"/>
      <c r="C7" s="32"/>
      <c r="D7" s="33"/>
      <c r="E7" s="34"/>
      <c r="F7" s="32"/>
      <c r="G7" s="37"/>
      <c r="H7" s="32"/>
      <c r="I7" s="37"/>
      <c r="J7" s="37"/>
      <c r="K7" s="35"/>
      <c r="L7" s="35"/>
      <c r="M7" s="35"/>
      <c r="N7" s="36"/>
      <c r="O7" s="32"/>
      <c r="P7" s="37"/>
      <c r="Q7" s="37"/>
      <c r="R7" s="38"/>
      <c r="S7" s="32"/>
      <c r="T7" s="39"/>
      <c r="U7" s="6"/>
      <c r="V7" s="6"/>
    </row>
    <row r="8" spans="1:25" ht="15">
      <c r="A8" s="40"/>
      <c r="B8" s="41"/>
      <c r="C8" s="42"/>
      <c r="D8" s="40"/>
      <c r="E8" s="40"/>
      <c r="F8" s="40"/>
      <c r="G8" s="43">
        <f>F8*6%</f>
        <v>0</v>
      </c>
      <c r="H8" s="43"/>
      <c r="I8" s="44">
        <f t="shared" si="0"/>
        <v>0</v>
      </c>
      <c r="J8" s="44">
        <f t="shared" si="1"/>
        <v>0</v>
      </c>
      <c r="K8" s="44">
        <f t="shared" si="2"/>
        <v>0</v>
      </c>
      <c r="L8" s="45"/>
      <c r="M8" s="40"/>
      <c r="N8" s="43">
        <f t="shared" si="3"/>
        <v>0</v>
      </c>
      <c r="O8" s="43">
        <f t="shared" si="4"/>
        <v>0</v>
      </c>
      <c r="P8" s="46"/>
      <c r="Q8" s="40"/>
      <c r="R8" s="40"/>
      <c r="S8" s="40"/>
      <c r="T8" s="5"/>
    </row>
    <row r="9" spans="1:25" ht="15">
      <c r="A9" s="32"/>
      <c r="B9" s="33"/>
      <c r="C9" s="32"/>
      <c r="D9" s="33"/>
      <c r="E9" s="34"/>
      <c r="F9" s="32"/>
      <c r="G9" s="32"/>
      <c r="H9" s="32"/>
      <c r="I9" s="37"/>
      <c r="J9" s="37"/>
      <c r="K9" s="35"/>
      <c r="L9" s="35"/>
      <c r="M9" s="35"/>
      <c r="N9" s="36"/>
      <c r="O9" s="32"/>
      <c r="P9" s="37"/>
      <c r="Q9" s="37"/>
      <c r="R9" s="38"/>
      <c r="S9" s="32"/>
      <c r="T9" s="39"/>
      <c r="U9" s="6"/>
      <c r="V9" s="6"/>
    </row>
    <row r="10" spans="1:25" ht="15">
      <c r="A10" s="40"/>
      <c r="B10" s="41"/>
      <c r="C10" s="42"/>
      <c r="D10" s="40"/>
      <c r="E10" s="40"/>
      <c r="F10" s="40"/>
      <c r="G10" s="43">
        <f>F10*6%</f>
        <v>0</v>
      </c>
      <c r="H10" s="43"/>
      <c r="I10" s="44">
        <f t="shared" si="0"/>
        <v>0</v>
      </c>
      <c r="J10" s="44">
        <f t="shared" si="1"/>
        <v>0</v>
      </c>
      <c r="K10" s="44">
        <f t="shared" si="2"/>
        <v>0</v>
      </c>
      <c r="L10" s="45"/>
      <c r="M10" s="40"/>
      <c r="N10" s="43">
        <f t="shared" si="3"/>
        <v>0</v>
      </c>
      <c r="O10" s="43">
        <f t="shared" si="4"/>
        <v>0</v>
      </c>
      <c r="P10" s="46"/>
      <c r="Q10" s="40"/>
      <c r="R10" s="40"/>
      <c r="S10" s="40"/>
      <c r="T10" s="5"/>
    </row>
    <row r="11" spans="1:25" ht="15">
      <c r="A11" s="32"/>
      <c r="B11" s="33"/>
      <c r="C11" s="32"/>
      <c r="D11" s="33"/>
      <c r="E11" s="34"/>
      <c r="F11" s="32"/>
      <c r="G11" s="32"/>
      <c r="H11" s="32"/>
      <c r="I11" s="37"/>
      <c r="J11" s="37"/>
      <c r="K11" s="35"/>
      <c r="L11" s="35"/>
      <c r="M11" s="35"/>
      <c r="N11" s="36"/>
      <c r="O11" s="32"/>
      <c r="P11" s="37"/>
      <c r="Q11" s="37"/>
      <c r="R11" s="38"/>
      <c r="S11" s="32"/>
      <c r="T11" s="39"/>
      <c r="U11" s="6"/>
      <c r="V11" s="6"/>
    </row>
    <row r="12" spans="1:25" ht="15">
      <c r="A12" s="40"/>
      <c r="B12" s="41"/>
      <c r="C12" s="42"/>
      <c r="D12" s="40"/>
      <c r="E12" s="40"/>
      <c r="F12" s="40"/>
      <c r="G12" s="43">
        <f>F12*6%</f>
        <v>0</v>
      </c>
      <c r="H12" s="43"/>
      <c r="I12" s="44">
        <f t="shared" si="0"/>
        <v>0</v>
      </c>
      <c r="J12" s="44">
        <f t="shared" si="1"/>
        <v>0</v>
      </c>
      <c r="K12" s="44">
        <f t="shared" si="2"/>
        <v>0</v>
      </c>
      <c r="L12" s="45"/>
      <c r="M12" s="40"/>
      <c r="N12" s="43">
        <f t="shared" si="3"/>
        <v>0</v>
      </c>
      <c r="O12" s="43">
        <f t="shared" si="4"/>
        <v>0</v>
      </c>
      <c r="P12" s="46"/>
      <c r="Q12" s="40"/>
      <c r="R12" s="40"/>
      <c r="S12" s="40"/>
      <c r="T12" s="5"/>
    </row>
    <row r="13" spans="1:25" ht="15">
      <c r="A13" s="32"/>
      <c r="B13" s="33"/>
      <c r="C13" s="32"/>
      <c r="D13" s="33"/>
      <c r="E13" s="34"/>
      <c r="F13" s="32"/>
      <c r="G13" s="32"/>
      <c r="H13" s="32"/>
      <c r="I13" s="37"/>
      <c r="J13" s="37"/>
      <c r="K13" s="35"/>
      <c r="L13" s="35"/>
      <c r="M13" s="35"/>
      <c r="N13" s="36"/>
      <c r="O13" s="32"/>
      <c r="P13" s="37"/>
      <c r="Q13" s="37"/>
      <c r="R13" s="38"/>
      <c r="S13" s="32"/>
      <c r="T13" s="39"/>
      <c r="U13" s="6"/>
      <c r="V13" s="6"/>
    </row>
    <row r="14" spans="1:25" ht="15">
      <c r="A14" s="40"/>
      <c r="B14" s="41"/>
      <c r="C14" s="42"/>
      <c r="D14" s="40"/>
      <c r="E14" s="40"/>
      <c r="F14" s="40"/>
      <c r="G14" s="43">
        <f>F14*6%</f>
        <v>0</v>
      </c>
      <c r="H14" s="43"/>
      <c r="I14" s="44">
        <f t="shared" si="0"/>
        <v>0</v>
      </c>
      <c r="J14" s="44">
        <f t="shared" si="1"/>
        <v>0</v>
      </c>
      <c r="K14" s="44">
        <f t="shared" si="2"/>
        <v>0</v>
      </c>
      <c r="L14" s="45"/>
      <c r="M14" s="40"/>
      <c r="N14" s="43">
        <f t="shared" si="3"/>
        <v>0</v>
      </c>
      <c r="O14" s="43">
        <f t="shared" si="4"/>
        <v>0</v>
      </c>
      <c r="P14" s="46"/>
      <c r="Q14" s="40"/>
      <c r="R14" s="40"/>
      <c r="S14" s="40"/>
      <c r="T14" s="5"/>
    </row>
    <row r="15" spans="1:25" ht="15">
      <c r="A15" s="32"/>
      <c r="B15" s="33"/>
      <c r="C15" s="32"/>
      <c r="D15" s="33"/>
      <c r="E15" s="34"/>
      <c r="F15" s="32"/>
      <c r="G15" s="32"/>
      <c r="H15" s="32"/>
      <c r="I15" s="37"/>
      <c r="J15" s="37"/>
      <c r="K15" s="35"/>
      <c r="L15" s="35"/>
      <c r="M15" s="35"/>
      <c r="N15" s="36"/>
      <c r="O15" s="32"/>
      <c r="P15" s="37"/>
      <c r="Q15" s="37"/>
      <c r="R15" s="38"/>
      <c r="S15" s="32"/>
      <c r="T15" s="39"/>
      <c r="U15" s="6"/>
      <c r="V15" s="6"/>
    </row>
    <row r="16" spans="1:25" ht="15">
      <c r="A16" s="40"/>
      <c r="B16" s="41"/>
      <c r="C16" s="42"/>
      <c r="D16" s="40"/>
      <c r="E16" s="40"/>
      <c r="F16" s="40"/>
      <c r="G16" s="43">
        <f>F16*6%</f>
        <v>0</v>
      </c>
      <c r="H16" s="43"/>
      <c r="I16" s="44">
        <f t="shared" si="0"/>
        <v>0</v>
      </c>
      <c r="J16" s="44">
        <f t="shared" si="1"/>
        <v>0</v>
      </c>
      <c r="K16" s="44">
        <f t="shared" si="2"/>
        <v>0</v>
      </c>
      <c r="L16" s="45"/>
      <c r="M16" s="40"/>
      <c r="N16" s="43">
        <f t="shared" si="3"/>
        <v>0</v>
      </c>
      <c r="O16" s="43">
        <f t="shared" si="4"/>
        <v>0</v>
      </c>
      <c r="P16" s="46"/>
      <c r="Q16" s="40"/>
      <c r="R16" s="40"/>
      <c r="S16" s="40"/>
      <c r="T16" s="5"/>
    </row>
    <row r="17" spans="1:22" ht="15">
      <c r="A17" s="32"/>
      <c r="B17" s="33"/>
      <c r="C17" s="32"/>
      <c r="D17" s="33"/>
      <c r="E17" s="34"/>
      <c r="F17" s="32"/>
      <c r="G17" s="32"/>
      <c r="H17" s="32"/>
      <c r="I17" s="37"/>
      <c r="J17" s="37"/>
      <c r="K17" s="35"/>
      <c r="L17" s="35"/>
      <c r="M17" s="35"/>
      <c r="N17" s="36"/>
      <c r="O17" s="32"/>
      <c r="P17" s="37"/>
      <c r="Q17" s="37"/>
      <c r="R17" s="38"/>
      <c r="S17" s="32"/>
      <c r="T17" s="39"/>
      <c r="U17" s="6"/>
      <c r="V17" s="6"/>
    </row>
    <row r="18" spans="1:22" ht="15">
      <c r="A18" s="50"/>
      <c r="B18" s="51"/>
      <c r="C18" s="52"/>
      <c r="D18" s="50"/>
      <c r="E18" s="50"/>
      <c r="F18" s="50"/>
      <c r="G18" s="43">
        <f>F18*6%</f>
        <v>0</v>
      </c>
      <c r="H18" s="53"/>
      <c r="I18" s="78">
        <f t="shared" si="0"/>
        <v>0</v>
      </c>
      <c r="J18" s="54">
        <f t="shared" si="1"/>
        <v>0</v>
      </c>
      <c r="K18" s="54">
        <f t="shared" si="2"/>
        <v>0</v>
      </c>
      <c r="L18" s="55"/>
      <c r="M18" s="50"/>
      <c r="N18" s="53">
        <f t="shared" si="3"/>
        <v>0</v>
      </c>
      <c r="O18" s="53">
        <f t="shared" si="4"/>
        <v>0</v>
      </c>
      <c r="P18" s="56"/>
      <c r="Q18" s="50"/>
      <c r="R18" s="50"/>
      <c r="S18" s="50"/>
      <c r="T18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277" priority="28" operator="containsText" text="SIN FACTURA ">
      <formula>NOT(ISERROR(SEARCH("SIN FACTURA ",A2)))</formula>
    </cfRule>
  </conditionalFormatting>
  <conditionalFormatting sqref="J18:T18 J16:T16 J14:T14 J12:T12 J10:T10 J8:T8 J6:T6 A6:H6 A8:H8 A10:H10 A12:H12 A14:H14 A16:H16 A18:H18 A4:T4 I5:I18">
    <cfRule type="containsText" dxfId="2276" priority="27" operator="containsText" text="SIN FACTURA">
      <formula>NOT(ISERROR(SEARCH("SIN FACTURA",A4)))</formula>
    </cfRule>
  </conditionalFormatting>
  <conditionalFormatting sqref="C5:H5 J5:V5">
    <cfRule type="containsText" dxfId="2275" priority="21" operator="containsText" text="SIN FACTURA">
      <formula>NOT(ISERROR(SEARCH("SIN FACTURA",C5)))</formula>
    </cfRule>
  </conditionalFormatting>
  <conditionalFormatting sqref="C7:H7 J7:V7">
    <cfRule type="containsText" dxfId="2274" priority="20" operator="containsText" text="SIN FACTURA">
      <formula>NOT(ISERROR(SEARCH("SIN FACTURA",C7)))</formula>
    </cfRule>
  </conditionalFormatting>
  <conditionalFormatting sqref="C9:H9 J9:V9">
    <cfRule type="containsText" dxfId="2273" priority="19" operator="containsText" text="SIN FACTURA">
      <formula>NOT(ISERROR(SEARCH("SIN FACTURA",C9)))</formula>
    </cfRule>
  </conditionalFormatting>
  <conditionalFormatting sqref="C11:H11 J11:V11">
    <cfRule type="containsText" dxfId="2272" priority="18" operator="containsText" text="SIN FACTURA">
      <formula>NOT(ISERROR(SEARCH("SIN FACTURA",C11)))</formula>
    </cfRule>
  </conditionalFormatting>
  <conditionalFormatting sqref="C13:H13 J13:V13">
    <cfRule type="containsText" dxfId="2271" priority="17" operator="containsText" text="SIN FACTURA">
      <formula>NOT(ISERROR(SEARCH("SIN FACTURA",C13)))</formula>
    </cfRule>
  </conditionalFormatting>
  <conditionalFormatting sqref="C15:H15 J15:V15">
    <cfRule type="containsText" dxfId="2270" priority="16" operator="containsText" text="SIN FACTURA">
      <formula>NOT(ISERROR(SEARCH("SIN FACTURA",C15)))</formula>
    </cfRule>
  </conditionalFormatting>
  <conditionalFormatting sqref="C17:H17 J17:V17">
    <cfRule type="containsText" dxfId="2269" priority="15" operator="containsText" text="SIN FACTURA">
      <formula>NOT(ISERROR(SEARCH("SIN FACTURA",C17)))</formula>
    </cfRule>
  </conditionalFormatting>
  <conditionalFormatting sqref="A5:B5">
    <cfRule type="containsText" dxfId="2268" priority="9" operator="containsText" text="SIN FACTURA">
      <formula>NOT(ISERROR(SEARCH("SIN FACTURA",A5)))</formula>
    </cfRule>
  </conditionalFormatting>
  <conditionalFormatting sqref="A17:B17">
    <cfRule type="containsText" dxfId="2267" priority="3" operator="containsText" text="SIN FACTURA">
      <formula>NOT(ISERROR(SEARCH("SIN FACTURA",A17)))</formula>
    </cfRule>
  </conditionalFormatting>
  <conditionalFormatting sqref="A7:B7">
    <cfRule type="containsText" dxfId="2266" priority="8" operator="containsText" text="SIN FACTURA">
      <formula>NOT(ISERROR(SEARCH("SIN FACTURA",A7)))</formula>
    </cfRule>
  </conditionalFormatting>
  <conditionalFormatting sqref="A9:B9">
    <cfRule type="containsText" dxfId="2265" priority="7" operator="containsText" text="SIN FACTURA">
      <formula>NOT(ISERROR(SEARCH("SIN FACTURA",A9)))</formula>
    </cfRule>
  </conditionalFormatting>
  <conditionalFormatting sqref="A11:B11">
    <cfRule type="containsText" dxfId="2264" priority="6" operator="containsText" text="SIN FACTURA">
      <formula>NOT(ISERROR(SEARCH("SIN FACTURA",A11)))</formula>
    </cfRule>
  </conditionalFormatting>
  <conditionalFormatting sqref="A13:B13">
    <cfRule type="containsText" dxfId="2263" priority="5" operator="containsText" text="SIN FACTURA">
      <formula>NOT(ISERROR(SEARCH("SIN FACTURA",A13)))</formula>
    </cfRule>
  </conditionalFormatting>
  <conditionalFormatting sqref="A15:B15">
    <cfRule type="containsText" dxfId="2262" priority="4" operator="containsText" text="SIN FACTURA">
      <formula>NOT(ISERROR(SEARCH("SIN FACTURA",A15)))</formula>
    </cfRule>
  </conditionalFormatting>
  <pageMargins left="0.75" right="0.75" top="1" bottom="1" header="0.5" footer="0.5"/>
  <pageSetup paperSize="9" orientation="portrait"/>
</worksheet>
</file>

<file path=xl/worksheets/sheet78.xml><?xml version="1.0" encoding="utf-8"?>
<worksheet xmlns="http://schemas.openxmlformats.org/spreadsheetml/2006/main" xmlns:r="http://schemas.openxmlformats.org/officeDocument/2006/relationships">
  <dimension ref="A1:Y39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10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/>
      <c r="B1" s="18" t="s">
        <v>281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9" si="0">F5-G5-H5</f>
        <v>0</v>
      </c>
      <c r="J5" s="44">
        <f>S5+T5</f>
        <v>0</v>
      </c>
      <c r="K5" s="44">
        <f>I5-J5</f>
        <v>0</v>
      </c>
      <c r="L5" s="45"/>
      <c r="M5" s="40"/>
      <c r="N5" s="43">
        <f t="shared" ref="N5:N39" si="1">I5-J5-M5-R5</f>
        <v>0</v>
      </c>
      <c r="O5" s="43">
        <f t="shared" ref="O5:O39" si="2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ref="J7:J39" si="3">S7+T7</f>
        <v>0</v>
      </c>
      <c r="K7" s="44">
        <f t="shared" ref="K7:K39" si="4">I7-J7</f>
        <v>0</v>
      </c>
      <c r="L7" s="45"/>
      <c r="M7" s="40"/>
      <c r="N7" s="43">
        <f t="shared" si="1"/>
        <v>0</v>
      </c>
      <c r="O7" s="43">
        <f t="shared" si="2"/>
        <v>0</v>
      </c>
      <c r="P7" s="46"/>
      <c r="Q7" s="40"/>
      <c r="R7" s="47"/>
      <c r="S7" s="47"/>
      <c r="T7" s="48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3"/>
        <v>0</v>
      </c>
      <c r="K9" s="44">
        <f t="shared" si="4"/>
        <v>0</v>
      </c>
      <c r="L9" s="45"/>
      <c r="M9" s="40"/>
      <c r="N9" s="43">
        <f t="shared" si="1"/>
        <v>0</v>
      </c>
      <c r="O9" s="43">
        <f t="shared" si="2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3"/>
        <v>0</v>
      </c>
      <c r="K11" s="44">
        <f t="shared" si="4"/>
        <v>0</v>
      </c>
      <c r="L11" s="45"/>
      <c r="M11" s="40"/>
      <c r="N11" s="43">
        <f t="shared" si="1"/>
        <v>0</v>
      </c>
      <c r="O11" s="43">
        <f t="shared" si="2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>S13+T13</f>
        <v>0</v>
      </c>
      <c r="K13" s="44">
        <f t="shared" si="4"/>
        <v>0</v>
      </c>
      <c r="L13" s="45"/>
      <c r="M13" s="40"/>
      <c r="N13" s="43">
        <f>I13-J13-M13-R13</f>
        <v>0</v>
      </c>
      <c r="O13" s="43">
        <f>R13+S13+T13</f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3"/>
        <v>0</v>
      </c>
      <c r="K15" s="44">
        <f t="shared" si="4"/>
        <v>0</v>
      </c>
      <c r="L15" s="45"/>
      <c r="M15" s="40"/>
      <c r="N15" s="43">
        <f t="shared" si="1"/>
        <v>0</v>
      </c>
      <c r="O15" s="43">
        <f t="shared" si="2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3"/>
        <v>0</v>
      </c>
      <c r="K17" s="44">
        <f t="shared" si="4"/>
        <v>0</v>
      </c>
      <c r="L17" s="45"/>
      <c r="M17" s="40"/>
      <c r="N17" s="43">
        <f t="shared" si="1"/>
        <v>0</v>
      </c>
      <c r="O17" s="43">
        <f t="shared" si="2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3"/>
        <v>0</v>
      </c>
      <c r="K19" s="44">
        <f t="shared" si="4"/>
        <v>0</v>
      </c>
      <c r="L19" s="45"/>
      <c r="M19" s="40"/>
      <c r="N19" s="43">
        <f t="shared" si="1"/>
        <v>0</v>
      </c>
      <c r="O19" s="43">
        <f t="shared" si="2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3"/>
        <v>0</v>
      </c>
      <c r="K21" s="44">
        <f t="shared" si="4"/>
        <v>0</v>
      </c>
      <c r="L21" s="45"/>
      <c r="M21" s="40"/>
      <c r="N21" s="43">
        <f t="shared" si="1"/>
        <v>0</v>
      </c>
      <c r="O21" s="43">
        <f t="shared" si="2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3"/>
        <v>0</v>
      </c>
      <c r="K23" s="44">
        <f t="shared" si="4"/>
        <v>0</v>
      </c>
      <c r="L23" s="45"/>
      <c r="M23" s="40"/>
      <c r="N23" s="43">
        <f t="shared" si="1"/>
        <v>0</v>
      </c>
      <c r="O23" s="43">
        <f t="shared" si="2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3"/>
        <v>0</v>
      </c>
      <c r="K25" s="44">
        <f t="shared" si="4"/>
        <v>0</v>
      </c>
      <c r="L25" s="45"/>
      <c r="M25" s="40"/>
      <c r="N25" s="43">
        <f t="shared" si="1"/>
        <v>0</v>
      </c>
      <c r="O25" s="43">
        <f t="shared" si="2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3"/>
        <v>0</v>
      </c>
      <c r="K27" s="44">
        <f t="shared" si="4"/>
        <v>0</v>
      </c>
      <c r="L27" s="45"/>
      <c r="M27" s="40"/>
      <c r="N27" s="43">
        <f t="shared" si="1"/>
        <v>0</v>
      </c>
      <c r="O27" s="43">
        <f t="shared" si="2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3"/>
        <v>0</v>
      </c>
      <c r="K29" s="44">
        <f t="shared" si="4"/>
        <v>0</v>
      </c>
      <c r="L29" s="45"/>
      <c r="M29" s="40"/>
      <c r="N29" s="43">
        <f t="shared" si="1"/>
        <v>0</v>
      </c>
      <c r="O29" s="43">
        <f t="shared" si="2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3"/>
        <v>0</v>
      </c>
      <c r="K31" s="44">
        <f t="shared" si="4"/>
        <v>0</v>
      </c>
      <c r="L31" s="45"/>
      <c r="M31" s="40"/>
      <c r="N31" s="43">
        <f t="shared" si="1"/>
        <v>0</v>
      </c>
      <c r="O31" s="43">
        <f t="shared" si="2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3"/>
        <v>0</v>
      </c>
      <c r="K33" s="44">
        <f t="shared" si="4"/>
        <v>0</v>
      </c>
      <c r="L33" s="45"/>
      <c r="M33" s="40"/>
      <c r="N33" s="43">
        <f t="shared" si="1"/>
        <v>0</v>
      </c>
      <c r="O33" s="43">
        <f t="shared" si="2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3"/>
        <v>0</v>
      </c>
      <c r="K35" s="44">
        <f t="shared" si="4"/>
        <v>0</v>
      </c>
      <c r="L35" s="45"/>
      <c r="M35" s="40"/>
      <c r="N35" s="43">
        <f t="shared" si="1"/>
        <v>0</v>
      </c>
      <c r="O35" s="43">
        <f t="shared" si="2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3"/>
        <v>0</v>
      </c>
      <c r="K37" s="44">
        <f t="shared" si="4"/>
        <v>0</v>
      </c>
      <c r="L37" s="45"/>
      <c r="M37" s="40"/>
      <c r="N37" s="43">
        <f t="shared" si="1"/>
        <v>0</v>
      </c>
      <c r="O37" s="43">
        <f t="shared" si="2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50"/>
      <c r="B39" s="51"/>
      <c r="C39" s="52"/>
      <c r="D39" s="50"/>
      <c r="E39" s="50"/>
      <c r="F39" s="50"/>
      <c r="G39" s="43">
        <f>F39*6%</f>
        <v>0</v>
      </c>
      <c r="H39" s="53"/>
      <c r="I39" s="78">
        <f t="shared" si="0"/>
        <v>0</v>
      </c>
      <c r="J39" s="54">
        <f t="shared" si="3"/>
        <v>0</v>
      </c>
      <c r="K39" s="54">
        <f t="shared" si="4"/>
        <v>0</v>
      </c>
      <c r="L39" s="55"/>
      <c r="M39" s="50"/>
      <c r="N39" s="53">
        <f t="shared" si="1"/>
        <v>0</v>
      </c>
      <c r="O39" s="53">
        <f t="shared" si="2"/>
        <v>0</v>
      </c>
      <c r="P39" s="56"/>
      <c r="Q39" s="50"/>
      <c r="R39" s="50"/>
      <c r="S39" s="50"/>
      <c r="T39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261" priority="26" operator="containsText" text="SIN FACTURA ">
      <formula>NOT(ISERROR(SEARCH("SIN FACTURA ",A2)))</formula>
    </cfRule>
  </conditionalFormatting>
  <conditionalFormatting sqref="J39:T39 J37:T37 J35:T35 J33:T33 J31:T31 J29:T29 J27:T27 J25:T25 J23:T23 J21:T21 J19:T19 J9:T17 A9:H17 A19:H19 A21:H21 A23:H23 A25:H25 A27:H27 A29:H29 A31:H31 A33:H33 A35:H35 A37:H37 A39:H39 A4:T4 I5:I39 A5:H7 J5:T7">
    <cfRule type="containsText" dxfId="2260" priority="25" operator="containsText" text="SIN FACTURA">
      <formula>NOT(ISERROR(SEARCH("SIN FACTURA",A4)))</formula>
    </cfRule>
  </conditionalFormatting>
  <conditionalFormatting sqref="C8:H8 J8:V8">
    <cfRule type="containsText" dxfId="2259" priority="24" operator="containsText" text="SIN FACTURA">
      <formula>NOT(ISERROR(SEARCH("SIN FACTURA",C8)))</formula>
    </cfRule>
  </conditionalFormatting>
  <conditionalFormatting sqref="C18:H18 J18:V18">
    <cfRule type="containsText" dxfId="2258" priority="23" operator="containsText" text="SIN FACTURA">
      <formula>NOT(ISERROR(SEARCH("SIN FACTURA",C18)))</formula>
    </cfRule>
  </conditionalFormatting>
  <conditionalFormatting sqref="C20:H20 J20:V20">
    <cfRule type="containsText" dxfId="2257" priority="22" operator="containsText" text="SIN FACTURA">
      <formula>NOT(ISERROR(SEARCH("SIN FACTURA",C20)))</formula>
    </cfRule>
  </conditionalFormatting>
  <conditionalFormatting sqref="C22:H22 J22:V22">
    <cfRule type="containsText" dxfId="2256" priority="21" operator="containsText" text="SIN FACTURA">
      <formula>NOT(ISERROR(SEARCH("SIN FACTURA",C22)))</formula>
    </cfRule>
  </conditionalFormatting>
  <conditionalFormatting sqref="C24:H24 J24:V24">
    <cfRule type="containsText" dxfId="2255" priority="20" operator="containsText" text="SIN FACTURA">
      <formula>NOT(ISERROR(SEARCH("SIN FACTURA",C24)))</formula>
    </cfRule>
  </conditionalFormatting>
  <conditionalFormatting sqref="C26:H26 J26:V26">
    <cfRule type="containsText" dxfId="2254" priority="19" operator="containsText" text="SIN FACTURA">
      <formula>NOT(ISERROR(SEARCH("SIN FACTURA",C26)))</formula>
    </cfRule>
  </conditionalFormatting>
  <conditionalFormatting sqref="C28:H28 J28:V28">
    <cfRule type="containsText" dxfId="2253" priority="18" operator="containsText" text="SIN FACTURA">
      <formula>NOT(ISERROR(SEARCH("SIN FACTURA",C28)))</formula>
    </cfRule>
  </conditionalFormatting>
  <conditionalFormatting sqref="C30:H30 J30:V30">
    <cfRule type="containsText" dxfId="2252" priority="17" operator="containsText" text="SIN FACTURA">
      <formula>NOT(ISERROR(SEARCH("SIN FACTURA",C30)))</formula>
    </cfRule>
  </conditionalFormatting>
  <conditionalFormatting sqref="C32:H32 J32:V32">
    <cfRule type="containsText" dxfId="2251" priority="16" operator="containsText" text="SIN FACTURA">
      <formula>NOT(ISERROR(SEARCH("SIN FACTURA",C32)))</formula>
    </cfRule>
  </conditionalFormatting>
  <conditionalFormatting sqref="C34:H34 J34:V34">
    <cfRule type="containsText" dxfId="2250" priority="15" operator="containsText" text="SIN FACTURA">
      <formula>NOT(ISERROR(SEARCH("SIN FACTURA",C34)))</formula>
    </cfRule>
  </conditionalFormatting>
  <conditionalFormatting sqref="C36:H36 J36:V36">
    <cfRule type="containsText" dxfId="2249" priority="14" operator="containsText" text="SIN FACTURA">
      <formula>NOT(ISERROR(SEARCH("SIN FACTURA",C36)))</formula>
    </cfRule>
  </conditionalFormatting>
  <conditionalFormatting sqref="C38:H38 J38:V38">
    <cfRule type="containsText" dxfId="2248" priority="13" operator="containsText" text="SIN FACTURA">
      <formula>NOT(ISERROR(SEARCH("SIN FACTURA",C38)))</formula>
    </cfRule>
  </conditionalFormatting>
  <conditionalFormatting sqref="A8:B8">
    <cfRule type="containsText" dxfId="2247" priority="12" operator="containsText" text="SIN FACTURA">
      <formula>NOT(ISERROR(SEARCH("SIN FACTURA",A8)))</formula>
    </cfRule>
  </conditionalFormatting>
  <conditionalFormatting sqref="A18:B18">
    <cfRule type="containsText" dxfId="2246" priority="11" operator="containsText" text="SIN FACTURA">
      <formula>NOT(ISERROR(SEARCH("SIN FACTURA",A18)))</formula>
    </cfRule>
  </conditionalFormatting>
  <conditionalFormatting sqref="A20:B20">
    <cfRule type="containsText" dxfId="2245" priority="10" operator="containsText" text="SIN FACTURA">
      <formula>NOT(ISERROR(SEARCH("SIN FACTURA",A20)))</formula>
    </cfRule>
  </conditionalFormatting>
  <conditionalFormatting sqref="A22:B22">
    <cfRule type="containsText" dxfId="2244" priority="9" operator="containsText" text="SIN FACTURA">
      <formula>NOT(ISERROR(SEARCH("SIN FACTURA",A22)))</formula>
    </cfRule>
  </conditionalFormatting>
  <conditionalFormatting sqref="A24:B24">
    <cfRule type="containsText" dxfId="2243" priority="8" operator="containsText" text="SIN FACTURA">
      <formula>NOT(ISERROR(SEARCH("SIN FACTURA",A24)))</formula>
    </cfRule>
  </conditionalFormatting>
  <conditionalFormatting sqref="A26:B26">
    <cfRule type="containsText" dxfId="2242" priority="7" operator="containsText" text="SIN FACTURA">
      <formula>NOT(ISERROR(SEARCH("SIN FACTURA",A26)))</formula>
    </cfRule>
  </conditionalFormatting>
  <conditionalFormatting sqref="A38:B38">
    <cfRule type="containsText" dxfId="2241" priority="1" operator="containsText" text="SIN FACTURA">
      <formula>NOT(ISERROR(SEARCH("SIN FACTURA",A38)))</formula>
    </cfRule>
  </conditionalFormatting>
  <conditionalFormatting sqref="A28:B28">
    <cfRule type="containsText" dxfId="2240" priority="6" operator="containsText" text="SIN FACTURA">
      <formula>NOT(ISERROR(SEARCH("SIN FACTURA",A28)))</formula>
    </cfRule>
  </conditionalFormatting>
  <conditionalFormatting sqref="A30:B30">
    <cfRule type="containsText" dxfId="2239" priority="5" operator="containsText" text="SIN FACTURA">
      <formula>NOT(ISERROR(SEARCH("SIN FACTURA",A30)))</formula>
    </cfRule>
  </conditionalFormatting>
  <conditionalFormatting sqref="A32:B32">
    <cfRule type="containsText" dxfId="2238" priority="4" operator="containsText" text="SIN FACTURA">
      <formula>NOT(ISERROR(SEARCH("SIN FACTURA",A32)))</formula>
    </cfRule>
  </conditionalFormatting>
  <conditionalFormatting sqref="A34:B34">
    <cfRule type="containsText" dxfId="2237" priority="3" operator="containsText" text="SIN FACTURA">
      <formula>NOT(ISERROR(SEARCH("SIN FACTURA",A34)))</formula>
    </cfRule>
  </conditionalFormatting>
  <conditionalFormatting sqref="A36:B36">
    <cfRule type="containsText" dxfId="2236" priority="2" operator="containsText" text="SIN FACTURA">
      <formula>NOT(ISERROR(SEARCH("SIN FACTURA",A36)))</formula>
    </cfRule>
  </conditionalFormatting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>
  <sheetPr codeName="Hoja152"/>
  <dimension ref="A1:Y42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22"/>
    </sheetView>
  </sheetViews>
  <sheetFormatPr baseColWidth="10" defaultColWidth="10.875" defaultRowHeight="15.75"/>
  <cols>
    <col min="1" max="1" width="25.875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/>
      <c r="B1" s="18" t="s">
        <v>100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1" si="0">F5-G5-H5</f>
        <v>0</v>
      </c>
      <c r="J5" s="44">
        <f>S5+T5</f>
        <v>0</v>
      </c>
      <c r="K5" s="44">
        <f t="shared" ref="K5:K31" si="1">I5-J5</f>
        <v>0</v>
      </c>
      <c r="L5" s="45"/>
      <c r="M5" s="40"/>
      <c r="N5" s="43">
        <f>I5-J5-M5-R5</f>
        <v>0</v>
      </c>
      <c r="O5" s="43">
        <f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ref="J7:J31" si="2">S7+T7</f>
        <v>0</v>
      </c>
      <c r="K7" s="44">
        <f t="shared" si="1"/>
        <v>0</v>
      </c>
      <c r="L7" s="45"/>
      <c r="M7" s="40"/>
      <c r="N7" s="43">
        <f t="shared" ref="N7:N31" si="3">I7-J7-M7-R7</f>
        <v>0</v>
      </c>
      <c r="O7" s="43">
        <f t="shared" ref="O7:O31" si="4">R7+S7+T7</f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2"/>
        <v>0</v>
      </c>
      <c r="K9" s="44">
        <f t="shared" si="1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2"/>
        <v>0</v>
      </c>
      <c r="K11" s="44">
        <f t="shared" si="1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2"/>
        <v>0</v>
      </c>
      <c r="K13" s="44">
        <f t="shared" si="1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2"/>
        <v>0</v>
      </c>
      <c r="K15" s="44">
        <f t="shared" si="1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2"/>
        <v>0</v>
      </c>
      <c r="K17" s="44">
        <f t="shared" si="1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2"/>
        <v>0</v>
      </c>
      <c r="K19" s="44">
        <f t="shared" si="1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2"/>
        <v>0</v>
      </c>
      <c r="K21" s="44">
        <f t="shared" si="1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2"/>
        <v>0</v>
      </c>
      <c r="K23" s="44">
        <f t="shared" si="1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2"/>
        <v>0</v>
      </c>
      <c r="K25" s="44">
        <f t="shared" si="1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2"/>
        <v>0</v>
      </c>
      <c r="K27" s="44">
        <f t="shared" si="1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2"/>
        <v>0</v>
      </c>
      <c r="K29" s="44">
        <f t="shared" si="1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2"/>
        <v>0</v>
      </c>
      <c r="K31" s="44">
        <f t="shared" si="1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58"/>
      <c r="B32" s="59"/>
      <c r="C32" s="60"/>
      <c r="D32" s="58"/>
      <c r="E32" s="58"/>
      <c r="F32" s="58"/>
      <c r="G32" s="58"/>
      <c r="H32" s="58"/>
      <c r="I32" s="61">
        <f t="shared" ref="I32:I42" si="5">F32-G32</f>
        <v>0</v>
      </c>
      <c r="J32" s="61">
        <f t="shared" ref="J32:J42" si="6">S32+T32</f>
        <v>0</v>
      </c>
      <c r="K32" s="61">
        <f t="shared" ref="K32:K42" si="7">I32-J32</f>
        <v>0</v>
      </c>
      <c r="L32" s="62"/>
      <c r="M32" s="58"/>
      <c r="N32" s="63">
        <f t="shared" ref="N32:N42" si="8">I32-J32-M32-R32</f>
        <v>0</v>
      </c>
      <c r="O32" s="63">
        <f t="shared" ref="O32:O42" si="9">R32+S32+T32</f>
        <v>0</v>
      </c>
      <c r="P32" s="64"/>
      <c r="Q32" s="58"/>
      <c r="R32" s="58"/>
      <c r="S32" s="58"/>
      <c r="T32" s="68"/>
    </row>
    <row r="33" spans="1:20" ht="15">
      <c r="A33" s="40"/>
      <c r="B33" s="41"/>
      <c r="C33" s="42"/>
      <c r="D33" s="40"/>
      <c r="E33" s="40"/>
      <c r="F33" s="40"/>
      <c r="G33" s="40"/>
      <c r="H33" s="40"/>
      <c r="I33" s="44">
        <f t="shared" si="5"/>
        <v>0</v>
      </c>
      <c r="J33" s="44">
        <f t="shared" si="6"/>
        <v>0</v>
      </c>
      <c r="K33" s="44">
        <f t="shared" si="7"/>
        <v>0</v>
      </c>
      <c r="L33" s="45"/>
      <c r="M33" s="40"/>
      <c r="N33" s="43">
        <f t="shared" si="8"/>
        <v>0</v>
      </c>
      <c r="O33" s="43">
        <f t="shared" si="9"/>
        <v>0</v>
      </c>
      <c r="P33" s="46"/>
      <c r="Q33" s="40"/>
      <c r="R33" s="40"/>
      <c r="S33" s="40"/>
      <c r="T33" s="5"/>
    </row>
    <row r="34" spans="1:20" ht="15">
      <c r="A34" s="58"/>
      <c r="B34" s="59"/>
      <c r="C34" s="60"/>
      <c r="D34" s="58"/>
      <c r="E34" s="58"/>
      <c r="F34" s="58"/>
      <c r="G34" s="58"/>
      <c r="H34" s="58"/>
      <c r="I34" s="61">
        <f t="shared" si="5"/>
        <v>0</v>
      </c>
      <c r="J34" s="61">
        <f t="shared" si="6"/>
        <v>0</v>
      </c>
      <c r="K34" s="61">
        <f t="shared" si="7"/>
        <v>0</v>
      </c>
      <c r="L34" s="62"/>
      <c r="M34" s="58"/>
      <c r="N34" s="63">
        <f t="shared" si="8"/>
        <v>0</v>
      </c>
      <c r="O34" s="63">
        <f t="shared" si="9"/>
        <v>0</v>
      </c>
      <c r="P34" s="64"/>
      <c r="Q34" s="58"/>
      <c r="R34" s="58"/>
      <c r="S34" s="58"/>
      <c r="T34" s="68"/>
    </row>
    <row r="35" spans="1:20" ht="15">
      <c r="A35" s="40"/>
      <c r="B35" s="41"/>
      <c r="C35" s="42"/>
      <c r="D35" s="40"/>
      <c r="E35" s="40"/>
      <c r="F35" s="40"/>
      <c r="G35" s="40"/>
      <c r="H35" s="40"/>
      <c r="I35" s="44">
        <f t="shared" si="5"/>
        <v>0</v>
      </c>
      <c r="J35" s="44">
        <f t="shared" si="6"/>
        <v>0</v>
      </c>
      <c r="K35" s="44">
        <f t="shared" si="7"/>
        <v>0</v>
      </c>
      <c r="L35" s="45"/>
      <c r="M35" s="40"/>
      <c r="N35" s="43">
        <f t="shared" si="8"/>
        <v>0</v>
      </c>
      <c r="O35" s="43">
        <f t="shared" si="9"/>
        <v>0</v>
      </c>
      <c r="P35" s="46"/>
      <c r="Q35" s="40"/>
      <c r="R35" s="40"/>
      <c r="S35" s="40"/>
      <c r="T35" s="5"/>
    </row>
    <row r="36" spans="1:20" ht="15">
      <c r="A36" s="58"/>
      <c r="B36" s="59"/>
      <c r="C36" s="60"/>
      <c r="D36" s="58"/>
      <c r="E36" s="58"/>
      <c r="F36" s="58"/>
      <c r="G36" s="58"/>
      <c r="H36" s="58"/>
      <c r="I36" s="61">
        <f t="shared" si="5"/>
        <v>0</v>
      </c>
      <c r="J36" s="61">
        <f t="shared" si="6"/>
        <v>0</v>
      </c>
      <c r="K36" s="61">
        <f t="shared" si="7"/>
        <v>0</v>
      </c>
      <c r="L36" s="62"/>
      <c r="M36" s="58"/>
      <c r="N36" s="63">
        <f t="shared" si="8"/>
        <v>0</v>
      </c>
      <c r="O36" s="63">
        <f t="shared" si="9"/>
        <v>0</v>
      </c>
      <c r="P36" s="64"/>
      <c r="Q36" s="58"/>
      <c r="R36" s="58"/>
      <c r="S36" s="58"/>
      <c r="T36" s="68"/>
    </row>
    <row r="37" spans="1:20" ht="15">
      <c r="A37" s="40"/>
      <c r="B37" s="41"/>
      <c r="C37" s="42"/>
      <c r="D37" s="40"/>
      <c r="E37" s="40"/>
      <c r="F37" s="40"/>
      <c r="G37" s="40"/>
      <c r="H37" s="40"/>
      <c r="I37" s="44">
        <f t="shared" si="5"/>
        <v>0</v>
      </c>
      <c r="J37" s="44">
        <f t="shared" si="6"/>
        <v>0</v>
      </c>
      <c r="K37" s="44">
        <f t="shared" si="7"/>
        <v>0</v>
      </c>
      <c r="L37" s="45"/>
      <c r="M37" s="40"/>
      <c r="N37" s="43">
        <f t="shared" si="8"/>
        <v>0</v>
      </c>
      <c r="O37" s="43">
        <f t="shared" si="9"/>
        <v>0</v>
      </c>
      <c r="P37" s="46"/>
      <c r="Q37" s="40"/>
      <c r="R37" s="40"/>
      <c r="S37" s="40"/>
      <c r="T37" s="5"/>
    </row>
    <row r="38" spans="1:20" ht="15">
      <c r="A38" s="58"/>
      <c r="B38" s="59"/>
      <c r="C38" s="60"/>
      <c r="D38" s="58"/>
      <c r="E38" s="58"/>
      <c r="F38" s="58"/>
      <c r="G38" s="58"/>
      <c r="H38" s="58"/>
      <c r="I38" s="61">
        <f t="shared" si="5"/>
        <v>0</v>
      </c>
      <c r="J38" s="61">
        <f t="shared" si="6"/>
        <v>0</v>
      </c>
      <c r="K38" s="61">
        <f t="shared" si="7"/>
        <v>0</v>
      </c>
      <c r="L38" s="62"/>
      <c r="M38" s="58"/>
      <c r="N38" s="63">
        <f t="shared" si="8"/>
        <v>0</v>
      </c>
      <c r="O38" s="63">
        <f t="shared" si="9"/>
        <v>0</v>
      </c>
      <c r="P38" s="64"/>
      <c r="Q38" s="58"/>
      <c r="R38" s="58"/>
      <c r="S38" s="58"/>
      <c r="T38" s="68"/>
    </row>
    <row r="39" spans="1:20" ht="15">
      <c r="A39" s="40"/>
      <c r="B39" s="41"/>
      <c r="C39" s="42"/>
      <c r="D39" s="40"/>
      <c r="E39" s="40"/>
      <c r="F39" s="40"/>
      <c r="G39" s="40"/>
      <c r="H39" s="40"/>
      <c r="I39" s="44">
        <f t="shared" si="5"/>
        <v>0</v>
      </c>
      <c r="J39" s="44">
        <f t="shared" si="6"/>
        <v>0</v>
      </c>
      <c r="K39" s="44">
        <f t="shared" si="7"/>
        <v>0</v>
      </c>
      <c r="L39" s="45"/>
      <c r="M39" s="40"/>
      <c r="N39" s="43">
        <f t="shared" si="8"/>
        <v>0</v>
      </c>
      <c r="O39" s="43">
        <f t="shared" si="9"/>
        <v>0</v>
      </c>
      <c r="P39" s="46"/>
      <c r="Q39" s="40"/>
      <c r="R39" s="40"/>
      <c r="S39" s="40"/>
      <c r="T39" s="5"/>
    </row>
    <row r="40" spans="1:20" ht="15">
      <c r="A40" s="58"/>
      <c r="B40" s="59"/>
      <c r="C40" s="60"/>
      <c r="D40" s="58"/>
      <c r="E40" s="58"/>
      <c r="F40" s="58"/>
      <c r="G40" s="58"/>
      <c r="H40" s="58"/>
      <c r="I40" s="61">
        <f t="shared" si="5"/>
        <v>0</v>
      </c>
      <c r="J40" s="61">
        <f t="shared" si="6"/>
        <v>0</v>
      </c>
      <c r="K40" s="61">
        <f t="shared" si="7"/>
        <v>0</v>
      </c>
      <c r="L40" s="62"/>
      <c r="M40" s="58"/>
      <c r="N40" s="63">
        <f t="shared" si="8"/>
        <v>0</v>
      </c>
      <c r="O40" s="63">
        <f t="shared" si="9"/>
        <v>0</v>
      </c>
      <c r="P40" s="64"/>
      <c r="Q40" s="58"/>
      <c r="R40" s="58"/>
      <c r="S40" s="58"/>
      <c r="T40" s="68"/>
    </row>
    <row r="41" spans="1:20" ht="15">
      <c r="A41" s="40"/>
      <c r="B41" s="41"/>
      <c r="C41" s="42"/>
      <c r="D41" s="40"/>
      <c r="E41" s="40"/>
      <c r="F41" s="40"/>
      <c r="G41" s="40"/>
      <c r="H41" s="40"/>
      <c r="I41" s="44">
        <f t="shared" si="5"/>
        <v>0</v>
      </c>
      <c r="J41" s="44">
        <f t="shared" si="6"/>
        <v>0</v>
      </c>
      <c r="K41" s="44">
        <f t="shared" si="7"/>
        <v>0</v>
      </c>
      <c r="L41" s="45"/>
      <c r="M41" s="40"/>
      <c r="N41" s="43">
        <f t="shared" si="8"/>
        <v>0</v>
      </c>
      <c r="O41" s="43">
        <f t="shared" si="9"/>
        <v>0</v>
      </c>
      <c r="P41" s="46"/>
      <c r="Q41" s="40"/>
      <c r="R41" s="40"/>
      <c r="S41" s="40"/>
      <c r="T41" s="5"/>
    </row>
    <row r="42" spans="1:20" ht="15">
      <c r="A42" s="69"/>
      <c r="B42" s="70"/>
      <c r="C42" s="71"/>
      <c r="D42" s="69"/>
      <c r="E42" s="69"/>
      <c r="F42" s="69"/>
      <c r="G42" s="69"/>
      <c r="H42" s="69"/>
      <c r="I42" s="72">
        <f t="shared" si="5"/>
        <v>0</v>
      </c>
      <c r="J42" s="72">
        <f t="shared" si="6"/>
        <v>0</v>
      </c>
      <c r="K42" s="72">
        <f t="shared" si="7"/>
        <v>0</v>
      </c>
      <c r="L42" s="73"/>
      <c r="M42" s="69"/>
      <c r="N42" s="74">
        <f t="shared" si="8"/>
        <v>0</v>
      </c>
      <c r="O42" s="74">
        <f t="shared" si="9"/>
        <v>0</v>
      </c>
      <c r="P42" s="75"/>
      <c r="Q42" s="69"/>
      <c r="R42" s="69"/>
      <c r="S42" s="69"/>
      <c r="T42" s="76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235" priority="29" operator="containsText" text="SIN FACTURA ">
      <formula>NOT(ISERROR(SEARCH("SIN FACTURA ",A2)))</formula>
    </cfRule>
  </conditionalFormatting>
  <conditionalFormatting sqref="A32:T42 A4:T4 J5:T9 I5:I31 A5:H9">
    <cfRule type="containsText" dxfId="2234" priority="28" operator="containsText" text="SIN FACTURA">
      <formula>NOT(ISERROR(SEARCH("SIN FACTURA",A4)))</formula>
    </cfRule>
  </conditionalFormatting>
  <conditionalFormatting sqref="J31:T31 J29:T29 J27:T27 J25:T25 J23:T23 J21:T21 J19:T19 J17:T17 J15:T15 J13:T13 J11:T11 A11:H11 A13:H13 A15:H15 A17:H17 A19:H19 A21:H21 A23:H23 A25:H25 A27:H27 A29:H29 A31:H31">
    <cfRule type="containsText" dxfId="2233" priority="27" operator="containsText" text="SIN FACTURA">
      <formula>NOT(ISERROR(SEARCH("SIN FACTURA",A11)))</formula>
    </cfRule>
  </conditionalFormatting>
  <conditionalFormatting sqref="C10:H10 J10:V10">
    <cfRule type="containsText" dxfId="2232" priority="25" operator="containsText" text="SIN FACTURA">
      <formula>NOT(ISERROR(SEARCH("SIN FACTURA",C10)))</formula>
    </cfRule>
  </conditionalFormatting>
  <conditionalFormatting sqref="C12:H12 J12:V12">
    <cfRule type="containsText" dxfId="2231" priority="24" operator="containsText" text="SIN FACTURA">
      <formula>NOT(ISERROR(SEARCH("SIN FACTURA",C12)))</formula>
    </cfRule>
  </conditionalFormatting>
  <conditionalFormatting sqref="C14:H14 J14:V14">
    <cfRule type="containsText" dxfId="2230" priority="23" operator="containsText" text="SIN FACTURA">
      <formula>NOT(ISERROR(SEARCH("SIN FACTURA",C14)))</formula>
    </cfRule>
  </conditionalFormatting>
  <conditionalFormatting sqref="C16:H16 J16:V16">
    <cfRule type="containsText" dxfId="2229" priority="22" operator="containsText" text="SIN FACTURA">
      <formula>NOT(ISERROR(SEARCH("SIN FACTURA",C16)))</formula>
    </cfRule>
  </conditionalFormatting>
  <conditionalFormatting sqref="C18:H18 J18:V18">
    <cfRule type="containsText" dxfId="2228" priority="21" operator="containsText" text="SIN FACTURA">
      <formula>NOT(ISERROR(SEARCH("SIN FACTURA",C18)))</formula>
    </cfRule>
  </conditionalFormatting>
  <conditionalFormatting sqref="C20:H20 J20:V20">
    <cfRule type="containsText" dxfId="2227" priority="20" operator="containsText" text="SIN FACTURA">
      <formula>NOT(ISERROR(SEARCH("SIN FACTURA",C20)))</formula>
    </cfRule>
  </conditionalFormatting>
  <conditionalFormatting sqref="C22:H22 J22:V22">
    <cfRule type="containsText" dxfId="2226" priority="19" operator="containsText" text="SIN FACTURA">
      <formula>NOT(ISERROR(SEARCH("SIN FACTURA",C22)))</formula>
    </cfRule>
  </conditionalFormatting>
  <conditionalFormatting sqref="C24:H24 J24:V24">
    <cfRule type="containsText" dxfId="2225" priority="18" operator="containsText" text="SIN FACTURA">
      <formula>NOT(ISERROR(SEARCH("SIN FACTURA",C24)))</formula>
    </cfRule>
  </conditionalFormatting>
  <conditionalFormatting sqref="C26:H26 J26:V26">
    <cfRule type="containsText" dxfId="2224" priority="17" operator="containsText" text="SIN FACTURA">
      <formula>NOT(ISERROR(SEARCH("SIN FACTURA",C26)))</formula>
    </cfRule>
  </conditionalFormatting>
  <conditionalFormatting sqref="C28:H28 J28:V28">
    <cfRule type="containsText" dxfId="2223" priority="16" operator="containsText" text="SIN FACTURA">
      <formula>NOT(ISERROR(SEARCH("SIN FACTURA",C28)))</formula>
    </cfRule>
  </conditionalFormatting>
  <conditionalFormatting sqref="C30:H30 J30:V30">
    <cfRule type="containsText" dxfId="2222" priority="15" operator="containsText" text="SIN FACTURA">
      <formula>NOT(ISERROR(SEARCH("SIN FACTURA",C30)))</formula>
    </cfRule>
  </conditionalFormatting>
  <conditionalFormatting sqref="A10:B10">
    <cfRule type="containsText" dxfId="2221" priority="13" operator="containsText" text="SIN FACTURA">
      <formula>NOT(ISERROR(SEARCH("SIN FACTURA",A10)))</formula>
    </cfRule>
  </conditionalFormatting>
  <conditionalFormatting sqref="A12:B12">
    <cfRule type="containsText" dxfId="2220" priority="12" operator="containsText" text="SIN FACTURA">
      <formula>NOT(ISERROR(SEARCH("SIN FACTURA",A12)))</formula>
    </cfRule>
  </conditionalFormatting>
  <conditionalFormatting sqref="A14:B14">
    <cfRule type="containsText" dxfId="2219" priority="11" operator="containsText" text="SIN FACTURA">
      <formula>NOT(ISERROR(SEARCH("SIN FACTURA",A14)))</formula>
    </cfRule>
  </conditionalFormatting>
  <conditionalFormatting sqref="A16:B16">
    <cfRule type="containsText" dxfId="2218" priority="10" operator="containsText" text="SIN FACTURA">
      <formula>NOT(ISERROR(SEARCH("SIN FACTURA",A16)))</formula>
    </cfRule>
  </conditionalFormatting>
  <conditionalFormatting sqref="A18:B18">
    <cfRule type="containsText" dxfId="2217" priority="9" operator="containsText" text="SIN FACTURA">
      <formula>NOT(ISERROR(SEARCH("SIN FACTURA",A18)))</formula>
    </cfRule>
  </conditionalFormatting>
  <conditionalFormatting sqref="A30:B30">
    <cfRule type="containsText" dxfId="2216" priority="3" operator="containsText" text="SIN FACTURA">
      <formula>NOT(ISERROR(SEARCH("SIN FACTURA",A30)))</formula>
    </cfRule>
  </conditionalFormatting>
  <conditionalFormatting sqref="A20:B20">
    <cfRule type="containsText" dxfId="2215" priority="8" operator="containsText" text="SIN FACTURA">
      <formula>NOT(ISERROR(SEARCH("SIN FACTURA",A20)))</formula>
    </cfRule>
  </conditionalFormatting>
  <conditionalFormatting sqref="A22:B22">
    <cfRule type="containsText" dxfId="2214" priority="7" operator="containsText" text="SIN FACTURA">
      <formula>NOT(ISERROR(SEARCH("SIN FACTURA",A22)))</formula>
    </cfRule>
  </conditionalFormatting>
  <conditionalFormatting sqref="A24:B24">
    <cfRule type="containsText" dxfId="2213" priority="6" operator="containsText" text="SIN FACTURA">
      <formula>NOT(ISERROR(SEARCH("SIN FACTURA",A24)))</formula>
    </cfRule>
  </conditionalFormatting>
  <conditionalFormatting sqref="A26:B26">
    <cfRule type="containsText" dxfId="2212" priority="5" operator="containsText" text="SIN FACTURA">
      <formula>NOT(ISERROR(SEARCH("SIN FACTURA",A26)))</formula>
    </cfRule>
  </conditionalFormatting>
  <conditionalFormatting sqref="A28:B28">
    <cfRule type="containsText" dxfId="2211" priority="4" operator="containsText" text="SIN FACTURA">
      <formula>NOT(ISERROR(SEARCH("SIN FACTURA",A28)))</formula>
    </cfRule>
  </conditionalFormatting>
  <pageMargins left="0.75" right="0.75" top="1" bottom="1" header="0.5" footer="0.5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>
  <sheetPr codeName="Hoja153"/>
  <dimension ref="A1:Y32"/>
  <sheetViews>
    <sheetView zoomScale="125" zoomScaleNormal="125" zoomScalePageLayoutView="125" workbookViewId="0">
      <pane ySplit="3" topLeftCell="A4" activePane="bottomLeft" state="frozen"/>
      <selection activeCell="B1" sqref="B1"/>
      <selection pane="bottomLeft" activeCell="F10" sqref="F10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2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323</v>
      </c>
      <c r="B1" s="18" t="s">
        <v>101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22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2"/>
      <c r="D4" s="33"/>
      <c r="E4" s="34"/>
      <c r="F4" s="32"/>
      <c r="G4" s="32"/>
      <c r="H4" s="32"/>
      <c r="I4" s="37"/>
      <c r="J4" s="37"/>
      <c r="K4" s="35"/>
      <c r="L4" s="35"/>
      <c r="M4" s="35"/>
      <c r="N4" s="36"/>
      <c r="O4" s="32"/>
      <c r="P4" s="37"/>
      <c r="Q4" s="248"/>
      <c r="R4" s="38"/>
      <c r="S4" s="32"/>
      <c r="T4" s="39"/>
      <c r="U4" s="6"/>
      <c r="V4" s="6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21" si="0">F5-G5-H5</f>
        <v>0</v>
      </c>
      <c r="J5" s="44">
        <f t="shared" ref="J5:J32" si="1">S5+T5</f>
        <v>0</v>
      </c>
      <c r="K5" s="44">
        <f t="shared" ref="K5:K32" si="2">I5-J5</f>
        <v>0</v>
      </c>
      <c r="L5" s="45"/>
      <c r="M5" s="40"/>
      <c r="N5" s="43">
        <f t="shared" ref="N5:N32" si="3">I5-J5-M5-R5</f>
        <v>0</v>
      </c>
      <c r="O5" s="43">
        <f t="shared" ref="O5:O32" si="4">R5+S5+T5</f>
        <v>0</v>
      </c>
      <c r="P5" s="46"/>
      <c r="Q5" s="67"/>
      <c r="R5" s="40"/>
      <c r="S5" s="40"/>
      <c r="T5" s="5"/>
    </row>
    <row r="6" spans="1:25" ht="15">
      <c r="A6" s="32"/>
      <c r="B6" s="33"/>
      <c r="C6" s="32"/>
      <c r="D6" s="33"/>
      <c r="E6" s="34"/>
      <c r="F6" s="32"/>
      <c r="G6" s="37"/>
      <c r="H6" s="32"/>
      <c r="I6" s="37"/>
      <c r="J6" s="37"/>
      <c r="K6" s="35"/>
      <c r="L6" s="35"/>
      <c r="M6" s="35"/>
      <c r="N6" s="36"/>
      <c r="O6" s="32"/>
      <c r="P6" s="37"/>
      <c r="Q6" s="248"/>
      <c r="R6" s="38"/>
      <c r="S6" s="32"/>
      <c r="T6" s="39"/>
      <c r="U6" s="6"/>
      <c r="V6" s="6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67"/>
      <c r="R7" s="40"/>
      <c r="S7" s="40"/>
      <c r="T7" s="5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248"/>
      <c r="R8" s="38"/>
      <c r="S8" s="32"/>
      <c r="T8" s="39"/>
      <c r="U8" s="6"/>
      <c r="V8" s="6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67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248"/>
      <c r="R10" s="38"/>
      <c r="S10" s="32"/>
      <c r="T10" s="39"/>
      <c r="U10" s="6"/>
      <c r="V10" s="6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67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248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67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248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67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248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67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248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67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248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67"/>
      <c r="R21" s="40"/>
      <c r="S21" s="40"/>
      <c r="T21" s="5"/>
    </row>
    <row r="22" spans="1:22" ht="15">
      <c r="A22" s="58"/>
      <c r="B22" s="59"/>
      <c r="C22" s="60"/>
      <c r="D22" s="58"/>
      <c r="E22" s="58"/>
      <c r="F22" s="58"/>
      <c r="G22" s="58"/>
      <c r="H22" s="58"/>
      <c r="I22" s="61">
        <f t="shared" ref="I22:I32" si="5">F22-G22</f>
        <v>0</v>
      </c>
      <c r="J22" s="61">
        <f t="shared" si="1"/>
        <v>0</v>
      </c>
      <c r="K22" s="61">
        <f t="shared" si="2"/>
        <v>0</v>
      </c>
      <c r="L22" s="62"/>
      <c r="M22" s="58"/>
      <c r="N22" s="63">
        <f t="shared" si="3"/>
        <v>0</v>
      </c>
      <c r="O22" s="63">
        <f t="shared" si="4"/>
        <v>0</v>
      </c>
      <c r="P22" s="64"/>
      <c r="Q22" s="88"/>
      <c r="R22" s="58"/>
      <c r="S22" s="58"/>
      <c r="T22" s="68"/>
    </row>
    <row r="23" spans="1:22" ht="15">
      <c r="A23" s="40"/>
      <c r="B23" s="41"/>
      <c r="C23" s="42"/>
      <c r="D23" s="40"/>
      <c r="E23" s="40"/>
      <c r="F23" s="40"/>
      <c r="G23" s="40"/>
      <c r="H23" s="40"/>
      <c r="I23" s="44">
        <f t="shared" si="5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67"/>
      <c r="R23" s="40"/>
      <c r="S23" s="40"/>
      <c r="T23" s="5"/>
    </row>
    <row r="24" spans="1:22" ht="15">
      <c r="A24" s="58"/>
      <c r="B24" s="59"/>
      <c r="C24" s="60"/>
      <c r="D24" s="58"/>
      <c r="E24" s="58"/>
      <c r="F24" s="58"/>
      <c r="G24" s="58"/>
      <c r="H24" s="58"/>
      <c r="I24" s="61">
        <f t="shared" si="5"/>
        <v>0</v>
      </c>
      <c r="J24" s="61">
        <f t="shared" si="1"/>
        <v>0</v>
      </c>
      <c r="K24" s="61">
        <f t="shared" si="2"/>
        <v>0</v>
      </c>
      <c r="L24" s="62"/>
      <c r="M24" s="58"/>
      <c r="N24" s="63">
        <f t="shared" si="3"/>
        <v>0</v>
      </c>
      <c r="O24" s="63">
        <f t="shared" si="4"/>
        <v>0</v>
      </c>
      <c r="P24" s="64"/>
      <c r="Q24" s="88"/>
      <c r="R24" s="58"/>
      <c r="S24" s="58"/>
      <c r="T24" s="68"/>
    </row>
    <row r="25" spans="1:22" ht="15">
      <c r="A25" s="40"/>
      <c r="B25" s="41"/>
      <c r="C25" s="42"/>
      <c r="D25" s="40"/>
      <c r="E25" s="40"/>
      <c r="F25" s="40"/>
      <c r="G25" s="40"/>
      <c r="H25" s="40"/>
      <c r="I25" s="44">
        <f t="shared" si="5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67"/>
      <c r="R25" s="40"/>
      <c r="S25" s="40"/>
      <c r="T25" s="5"/>
    </row>
    <row r="26" spans="1:22" ht="15">
      <c r="A26" s="58"/>
      <c r="B26" s="59"/>
      <c r="C26" s="60"/>
      <c r="D26" s="58"/>
      <c r="E26" s="58"/>
      <c r="F26" s="58"/>
      <c r="G26" s="58"/>
      <c r="H26" s="58"/>
      <c r="I26" s="61">
        <f t="shared" si="5"/>
        <v>0</v>
      </c>
      <c r="J26" s="61">
        <f t="shared" si="1"/>
        <v>0</v>
      </c>
      <c r="K26" s="61">
        <f t="shared" si="2"/>
        <v>0</v>
      </c>
      <c r="L26" s="62"/>
      <c r="M26" s="58"/>
      <c r="N26" s="63">
        <f t="shared" si="3"/>
        <v>0</v>
      </c>
      <c r="O26" s="63">
        <f t="shared" si="4"/>
        <v>0</v>
      </c>
      <c r="P26" s="64"/>
      <c r="Q26" s="88"/>
      <c r="R26" s="58"/>
      <c r="S26" s="58"/>
      <c r="T26" s="68"/>
    </row>
    <row r="27" spans="1:22" ht="15">
      <c r="A27" s="40"/>
      <c r="B27" s="41"/>
      <c r="C27" s="42"/>
      <c r="D27" s="40"/>
      <c r="E27" s="40"/>
      <c r="F27" s="40"/>
      <c r="G27" s="40"/>
      <c r="H27" s="40"/>
      <c r="I27" s="44">
        <f t="shared" si="5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67"/>
      <c r="R27" s="40"/>
      <c r="S27" s="40"/>
      <c r="T27" s="5"/>
    </row>
    <row r="28" spans="1:22" ht="15">
      <c r="A28" s="58"/>
      <c r="B28" s="59"/>
      <c r="C28" s="60"/>
      <c r="D28" s="58"/>
      <c r="E28" s="58"/>
      <c r="F28" s="58"/>
      <c r="G28" s="58"/>
      <c r="H28" s="58"/>
      <c r="I28" s="61">
        <f t="shared" si="5"/>
        <v>0</v>
      </c>
      <c r="J28" s="61">
        <f t="shared" si="1"/>
        <v>0</v>
      </c>
      <c r="K28" s="61">
        <f t="shared" si="2"/>
        <v>0</v>
      </c>
      <c r="L28" s="62"/>
      <c r="M28" s="58"/>
      <c r="N28" s="63">
        <f t="shared" si="3"/>
        <v>0</v>
      </c>
      <c r="O28" s="63">
        <f t="shared" si="4"/>
        <v>0</v>
      </c>
      <c r="P28" s="64"/>
      <c r="Q28" s="88"/>
      <c r="R28" s="58"/>
      <c r="S28" s="58"/>
      <c r="T28" s="68"/>
    </row>
    <row r="29" spans="1:22" ht="15">
      <c r="A29" s="40"/>
      <c r="B29" s="41"/>
      <c r="C29" s="42"/>
      <c r="D29" s="40"/>
      <c r="E29" s="40"/>
      <c r="F29" s="40"/>
      <c r="G29" s="40"/>
      <c r="H29" s="40"/>
      <c r="I29" s="44">
        <f t="shared" si="5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67"/>
      <c r="R29" s="40"/>
      <c r="S29" s="40"/>
      <c r="T29" s="5"/>
    </row>
    <row r="30" spans="1:22" ht="15">
      <c r="A30" s="58"/>
      <c r="B30" s="59"/>
      <c r="C30" s="60"/>
      <c r="D30" s="58"/>
      <c r="E30" s="58"/>
      <c r="F30" s="58"/>
      <c r="G30" s="58"/>
      <c r="H30" s="58"/>
      <c r="I30" s="61">
        <f t="shared" si="5"/>
        <v>0</v>
      </c>
      <c r="J30" s="61">
        <f t="shared" si="1"/>
        <v>0</v>
      </c>
      <c r="K30" s="61">
        <f t="shared" si="2"/>
        <v>0</v>
      </c>
      <c r="L30" s="62"/>
      <c r="M30" s="58"/>
      <c r="N30" s="63">
        <f t="shared" si="3"/>
        <v>0</v>
      </c>
      <c r="O30" s="63">
        <f t="shared" si="4"/>
        <v>0</v>
      </c>
      <c r="P30" s="64"/>
      <c r="Q30" s="88"/>
      <c r="R30" s="58"/>
      <c r="S30" s="58"/>
      <c r="T30" s="68"/>
    </row>
    <row r="31" spans="1:22" ht="15">
      <c r="A31" s="40"/>
      <c r="B31" s="41"/>
      <c r="C31" s="42"/>
      <c r="D31" s="40"/>
      <c r="E31" s="40"/>
      <c r="F31" s="40"/>
      <c r="G31" s="40"/>
      <c r="H31" s="40"/>
      <c r="I31" s="44">
        <f t="shared" si="5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67"/>
      <c r="R31" s="40"/>
      <c r="S31" s="40"/>
      <c r="T31" s="5"/>
    </row>
    <row r="32" spans="1:22" ht="15">
      <c r="A32" s="69"/>
      <c r="B32" s="70"/>
      <c r="C32" s="71"/>
      <c r="D32" s="69"/>
      <c r="E32" s="69"/>
      <c r="F32" s="69"/>
      <c r="G32" s="69"/>
      <c r="H32" s="69"/>
      <c r="I32" s="72">
        <f t="shared" si="5"/>
        <v>0</v>
      </c>
      <c r="J32" s="72">
        <f t="shared" si="1"/>
        <v>0</v>
      </c>
      <c r="K32" s="72">
        <f t="shared" si="2"/>
        <v>0</v>
      </c>
      <c r="L32" s="73"/>
      <c r="M32" s="69"/>
      <c r="N32" s="74">
        <f t="shared" si="3"/>
        <v>0</v>
      </c>
      <c r="O32" s="74">
        <f t="shared" si="4"/>
        <v>0</v>
      </c>
      <c r="P32" s="75"/>
      <c r="Q32" s="259"/>
      <c r="R32" s="69"/>
      <c r="S32" s="69"/>
      <c r="T32" s="76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210" priority="28" operator="containsText" text="SIN FACTURA ">
      <formula>NOT(ISERROR(SEARCH("SIN FACTURA ",A2)))</formula>
    </cfRule>
  </conditionalFormatting>
  <conditionalFormatting sqref="A22:T32 I4:I21">
    <cfRule type="containsText" dxfId="2209" priority="27" operator="containsText" text="SIN FACTURA">
      <formula>NOT(ISERROR(SEARCH("SIN FACTURA",A4)))</formula>
    </cfRule>
  </conditionalFormatting>
  <conditionalFormatting sqref="J21:T21 J19:T19 J17:T17 J15:T15 J13:T13 J11:T11 J9:T9 J7:T7 J5:T5 A5:H5 A7:H7 A9:H9 A11:H11 A13:H13 A15:H15 A17:H17 A19:H19 A21:H21">
    <cfRule type="containsText" dxfId="2208" priority="26" operator="containsText" text="SIN FACTURA">
      <formula>NOT(ISERROR(SEARCH("SIN FACTURA",A5)))</formula>
    </cfRule>
  </conditionalFormatting>
  <conditionalFormatting sqref="C4:H4 J4:V4">
    <cfRule type="containsText" dxfId="2207" priority="22" operator="containsText" text="SIN FACTURA">
      <formula>NOT(ISERROR(SEARCH("SIN FACTURA",C4)))</formula>
    </cfRule>
  </conditionalFormatting>
  <conditionalFormatting sqref="C6:H6 J6:V6">
    <cfRule type="containsText" dxfId="2206" priority="21" operator="containsText" text="SIN FACTURA">
      <formula>NOT(ISERROR(SEARCH("SIN FACTURA",C6)))</formula>
    </cfRule>
  </conditionalFormatting>
  <conditionalFormatting sqref="C8:H8 J8:V8">
    <cfRule type="containsText" dxfId="2205" priority="20" operator="containsText" text="SIN FACTURA">
      <formula>NOT(ISERROR(SEARCH("SIN FACTURA",C8)))</formula>
    </cfRule>
  </conditionalFormatting>
  <conditionalFormatting sqref="C10:H10 J10:V10">
    <cfRule type="containsText" dxfId="2204" priority="19" operator="containsText" text="SIN FACTURA">
      <formula>NOT(ISERROR(SEARCH("SIN FACTURA",C10)))</formula>
    </cfRule>
  </conditionalFormatting>
  <conditionalFormatting sqref="C12:H12 J12:V12">
    <cfRule type="containsText" dxfId="2203" priority="18" operator="containsText" text="SIN FACTURA">
      <formula>NOT(ISERROR(SEARCH("SIN FACTURA",C12)))</formula>
    </cfRule>
  </conditionalFormatting>
  <conditionalFormatting sqref="C14:H14 J14:V14">
    <cfRule type="containsText" dxfId="2202" priority="17" operator="containsText" text="SIN FACTURA">
      <formula>NOT(ISERROR(SEARCH("SIN FACTURA",C14)))</formula>
    </cfRule>
  </conditionalFormatting>
  <conditionalFormatting sqref="C16:H16 J16:V16">
    <cfRule type="containsText" dxfId="2201" priority="16" operator="containsText" text="SIN FACTURA">
      <formula>NOT(ISERROR(SEARCH("SIN FACTURA",C16)))</formula>
    </cfRule>
  </conditionalFormatting>
  <conditionalFormatting sqref="C18:H18 J18:V18">
    <cfRule type="containsText" dxfId="2200" priority="15" operator="containsText" text="SIN FACTURA">
      <formula>NOT(ISERROR(SEARCH("SIN FACTURA",C18)))</formula>
    </cfRule>
  </conditionalFormatting>
  <conditionalFormatting sqref="C20:H20 J20:V20">
    <cfRule type="containsText" dxfId="2199" priority="14" operator="containsText" text="SIN FACTURA">
      <formula>NOT(ISERROR(SEARCH("SIN FACTURA",C20)))</formula>
    </cfRule>
  </conditionalFormatting>
  <conditionalFormatting sqref="A4:B4">
    <cfRule type="containsText" dxfId="2198" priority="10" operator="containsText" text="SIN FACTURA">
      <formula>NOT(ISERROR(SEARCH("SIN FACTURA",A4)))</formula>
    </cfRule>
  </conditionalFormatting>
  <conditionalFormatting sqref="A6:B6">
    <cfRule type="containsText" dxfId="2197" priority="9" operator="containsText" text="SIN FACTURA">
      <formula>NOT(ISERROR(SEARCH("SIN FACTURA",A6)))</formula>
    </cfRule>
  </conditionalFormatting>
  <conditionalFormatting sqref="A8:B8">
    <cfRule type="containsText" dxfId="2196" priority="8" operator="containsText" text="SIN FACTURA">
      <formula>NOT(ISERROR(SEARCH("SIN FACTURA",A8)))</formula>
    </cfRule>
  </conditionalFormatting>
  <conditionalFormatting sqref="A20:B20">
    <cfRule type="containsText" dxfId="2195" priority="2" operator="containsText" text="SIN FACTURA">
      <formula>NOT(ISERROR(SEARCH("SIN FACTURA",A20)))</formula>
    </cfRule>
  </conditionalFormatting>
  <conditionalFormatting sqref="A10:B10">
    <cfRule type="containsText" dxfId="2194" priority="7" operator="containsText" text="SIN FACTURA">
      <formula>NOT(ISERROR(SEARCH("SIN FACTURA",A10)))</formula>
    </cfRule>
  </conditionalFormatting>
  <conditionalFormatting sqref="A12:B12">
    <cfRule type="containsText" dxfId="2193" priority="6" operator="containsText" text="SIN FACTURA">
      <formula>NOT(ISERROR(SEARCH("SIN FACTURA",A12)))</formula>
    </cfRule>
  </conditionalFormatting>
  <conditionalFormatting sqref="A14:B14">
    <cfRule type="containsText" dxfId="2192" priority="5" operator="containsText" text="SIN FACTURA">
      <formula>NOT(ISERROR(SEARCH("SIN FACTURA",A14)))</formula>
    </cfRule>
  </conditionalFormatting>
  <conditionalFormatting sqref="A16:B16">
    <cfRule type="containsText" dxfId="2191" priority="4" operator="containsText" text="SIN FACTURA">
      <formula>NOT(ISERROR(SEARCH("SIN FACTURA",A16)))</formula>
    </cfRule>
  </conditionalFormatting>
  <conditionalFormatting sqref="A18:B18">
    <cfRule type="containsText" dxfId="2190" priority="3" operator="containsText" text="SIN FACTURA">
      <formula>NOT(ISERROR(SEARCH("SIN FACTURA",A18)))</formula>
    </cfRule>
  </conditionalFormatting>
  <pageMargins left="0.75" right="0.75" top="1" bottom="1" header="0.5" footer="0.5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>
  <sheetPr codeName="Hoja35"/>
  <dimension ref="A1:Y54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13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43</v>
      </c>
      <c r="B1" s="18" t="s">
        <v>28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7" si="0">F5-G5-H5</f>
        <v>0</v>
      </c>
      <c r="J5" s="44">
        <f t="shared" ref="J5:J37" si="1">S5+T5</f>
        <v>0</v>
      </c>
      <c r="K5" s="44">
        <f t="shared" ref="K5:K37" si="2">I5-J5</f>
        <v>0</v>
      </c>
      <c r="L5" s="45"/>
      <c r="M5" s="40"/>
      <c r="N5" s="43">
        <f t="shared" ref="N5:N37" si="3">I5-J5-M5-R5</f>
        <v>0</v>
      </c>
      <c r="O5" s="43">
        <f t="shared" ref="O5:O37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2"/>
      <c r="D6" s="33"/>
      <c r="E6" s="34"/>
      <c r="F6" s="32"/>
      <c r="G6" s="32"/>
      <c r="H6" s="32"/>
      <c r="I6" s="37"/>
      <c r="J6" s="37"/>
      <c r="K6" s="35"/>
      <c r="L6" s="35"/>
      <c r="M6" s="35"/>
      <c r="N6" s="36"/>
      <c r="O6" s="32"/>
      <c r="P6" s="37"/>
      <c r="Q6" s="37"/>
      <c r="R6" s="38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>S11+T11</f>
        <v>0</v>
      </c>
      <c r="K11" s="44">
        <f t="shared" si="2"/>
        <v>0</v>
      </c>
      <c r="L11" s="45"/>
      <c r="M11" s="40"/>
      <c r="N11" s="43">
        <f>I11-J11-M11-R11</f>
        <v>0</v>
      </c>
      <c r="O11" s="43">
        <f>R11+S11+T11</f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58"/>
      <c r="B38" s="59"/>
      <c r="C38" s="60"/>
      <c r="D38" s="58"/>
      <c r="E38" s="58"/>
      <c r="F38" s="58"/>
      <c r="G38" s="58"/>
      <c r="H38" s="58"/>
      <c r="I38" s="61"/>
      <c r="J38" s="61"/>
      <c r="K38" s="61"/>
      <c r="L38" s="62"/>
      <c r="M38" s="58"/>
      <c r="N38" s="63"/>
      <c r="O38" s="63"/>
      <c r="P38" s="64"/>
      <c r="Q38" s="58"/>
      <c r="R38" s="58"/>
      <c r="S38" s="58"/>
      <c r="T38" s="68"/>
    </row>
    <row r="39" spans="1:22" ht="15">
      <c r="A39" s="40"/>
      <c r="B39" s="41"/>
      <c r="C39" s="42"/>
      <c r="D39" s="40"/>
      <c r="E39" s="40"/>
      <c r="F39" s="40"/>
      <c r="G39" s="40"/>
      <c r="H39" s="40"/>
      <c r="I39" s="44"/>
      <c r="J39" s="44"/>
      <c r="K39" s="44"/>
      <c r="L39" s="45"/>
      <c r="M39" s="40"/>
      <c r="N39" s="43"/>
      <c r="O39" s="43"/>
      <c r="P39" s="46"/>
      <c r="Q39" s="40"/>
      <c r="R39" s="40"/>
      <c r="S39" s="40"/>
      <c r="T39" s="5"/>
    </row>
    <row r="40" spans="1:22" ht="15">
      <c r="A40" s="58"/>
      <c r="B40" s="59"/>
      <c r="C40" s="60"/>
      <c r="D40" s="58"/>
      <c r="E40" s="58"/>
      <c r="F40" s="58"/>
      <c r="G40" s="58"/>
      <c r="H40" s="58"/>
      <c r="I40" s="61"/>
      <c r="J40" s="61"/>
      <c r="K40" s="61"/>
      <c r="L40" s="62"/>
      <c r="M40" s="58"/>
      <c r="N40" s="63"/>
      <c r="O40" s="63"/>
      <c r="P40" s="64"/>
      <c r="Q40" s="58"/>
      <c r="R40" s="58"/>
      <c r="S40" s="58"/>
      <c r="T40" s="68"/>
    </row>
    <row r="41" spans="1:22" ht="15">
      <c r="A41" s="40"/>
      <c r="B41" s="41"/>
      <c r="C41" s="42"/>
      <c r="D41" s="40"/>
      <c r="E41" s="40"/>
      <c r="F41" s="40"/>
      <c r="G41" s="40"/>
      <c r="H41" s="40"/>
      <c r="I41" s="44"/>
      <c r="J41" s="44"/>
      <c r="K41" s="44"/>
      <c r="L41" s="45"/>
      <c r="M41" s="40"/>
      <c r="N41" s="43"/>
      <c r="O41" s="43"/>
      <c r="P41" s="46"/>
      <c r="Q41" s="40"/>
      <c r="R41" s="40"/>
      <c r="S41" s="40"/>
      <c r="T41" s="5"/>
    </row>
    <row r="42" spans="1:22" ht="15">
      <c r="A42" s="58"/>
      <c r="B42" s="59"/>
      <c r="C42" s="60"/>
      <c r="D42" s="58"/>
      <c r="E42" s="58"/>
      <c r="F42" s="58"/>
      <c r="G42" s="58"/>
      <c r="H42" s="58"/>
      <c r="I42" s="61"/>
      <c r="J42" s="61"/>
      <c r="K42" s="61"/>
      <c r="L42" s="62"/>
      <c r="M42" s="58"/>
      <c r="N42" s="63"/>
      <c r="O42" s="63"/>
      <c r="P42" s="64"/>
      <c r="Q42" s="58"/>
      <c r="R42" s="58"/>
      <c r="S42" s="58"/>
      <c r="T42" s="68"/>
    </row>
    <row r="43" spans="1:22" ht="15">
      <c r="A43" s="40"/>
      <c r="B43" s="41"/>
      <c r="C43" s="42"/>
      <c r="D43" s="40"/>
      <c r="E43" s="40"/>
      <c r="F43" s="40"/>
      <c r="G43" s="40"/>
      <c r="H43" s="40"/>
      <c r="I43" s="44">
        <f t="shared" ref="I43:I54" si="5">F43-G43</f>
        <v>0</v>
      </c>
      <c r="J43" s="44">
        <f t="shared" ref="J43:J54" si="6">S43+T43</f>
        <v>0</v>
      </c>
      <c r="K43" s="44">
        <f t="shared" ref="K43:K54" si="7">I43-J43</f>
        <v>0</v>
      </c>
      <c r="L43" s="45"/>
      <c r="M43" s="40"/>
      <c r="N43" s="43">
        <f t="shared" ref="N43:N54" si="8">I43-J43-M43-R43</f>
        <v>0</v>
      </c>
      <c r="O43" s="43">
        <f t="shared" ref="O43:O54" si="9">R43+S43+T43</f>
        <v>0</v>
      </c>
      <c r="P43" s="46"/>
      <c r="Q43" s="40"/>
      <c r="R43" s="40"/>
      <c r="S43" s="40"/>
      <c r="T43" s="5"/>
    </row>
    <row r="44" spans="1:22" ht="15">
      <c r="A44" s="58"/>
      <c r="B44" s="59"/>
      <c r="C44" s="60"/>
      <c r="D44" s="58"/>
      <c r="E44" s="58"/>
      <c r="F44" s="58"/>
      <c r="G44" s="58"/>
      <c r="H44" s="58"/>
      <c r="I44" s="61">
        <f t="shared" si="5"/>
        <v>0</v>
      </c>
      <c r="J44" s="61">
        <f t="shared" si="6"/>
        <v>0</v>
      </c>
      <c r="K44" s="61">
        <f t="shared" si="7"/>
        <v>0</v>
      </c>
      <c r="L44" s="62"/>
      <c r="M44" s="58"/>
      <c r="N44" s="63">
        <f t="shared" si="8"/>
        <v>0</v>
      </c>
      <c r="O44" s="63">
        <f t="shared" si="9"/>
        <v>0</v>
      </c>
      <c r="P44" s="64"/>
      <c r="Q44" s="58"/>
      <c r="R44" s="58"/>
      <c r="S44" s="58"/>
      <c r="T44" s="68"/>
    </row>
    <row r="45" spans="1:22" ht="15">
      <c r="A45" s="40"/>
      <c r="B45" s="41"/>
      <c r="C45" s="42"/>
      <c r="D45" s="40"/>
      <c r="E45" s="40"/>
      <c r="F45" s="40"/>
      <c r="G45" s="40"/>
      <c r="H45" s="40"/>
      <c r="I45" s="44">
        <f t="shared" si="5"/>
        <v>0</v>
      </c>
      <c r="J45" s="44">
        <f t="shared" si="6"/>
        <v>0</v>
      </c>
      <c r="K45" s="44">
        <f t="shared" si="7"/>
        <v>0</v>
      </c>
      <c r="L45" s="45"/>
      <c r="M45" s="40"/>
      <c r="N45" s="43">
        <f t="shared" si="8"/>
        <v>0</v>
      </c>
      <c r="O45" s="43">
        <f t="shared" si="9"/>
        <v>0</v>
      </c>
      <c r="P45" s="46"/>
      <c r="Q45" s="40"/>
      <c r="R45" s="40"/>
      <c r="S45" s="40"/>
      <c r="T45" s="5"/>
    </row>
    <row r="46" spans="1:22" ht="15">
      <c r="A46" s="58"/>
      <c r="B46" s="59"/>
      <c r="C46" s="60"/>
      <c r="D46" s="58"/>
      <c r="E46" s="58"/>
      <c r="F46" s="58"/>
      <c r="G46" s="58"/>
      <c r="H46" s="58"/>
      <c r="I46" s="61">
        <f t="shared" si="5"/>
        <v>0</v>
      </c>
      <c r="J46" s="61">
        <f t="shared" si="6"/>
        <v>0</v>
      </c>
      <c r="K46" s="61">
        <f t="shared" si="7"/>
        <v>0</v>
      </c>
      <c r="L46" s="62"/>
      <c r="M46" s="58"/>
      <c r="N46" s="63">
        <f t="shared" si="8"/>
        <v>0</v>
      </c>
      <c r="O46" s="63">
        <f t="shared" si="9"/>
        <v>0</v>
      </c>
      <c r="P46" s="64"/>
      <c r="Q46" s="58"/>
      <c r="R46" s="58"/>
      <c r="S46" s="58"/>
      <c r="T46" s="68"/>
    </row>
    <row r="47" spans="1:22" ht="15">
      <c r="A47" s="40"/>
      <c r="B47" s="41"/>
      <c r="C47" s="42"/>
      <c r="D47" s="40"/>
      <c r="E47" s="40"/>
      <c r="F47" s="40"/>
      <c r="G47" s="40"/>
      <c r="H47" s="40"/>
      <c r="I47" s="44">
        <f t="shared" si="5"/>
        <v>0</v>
      </c>
      <c r="J47" s="44">
        <f t="shared" si="6"/>
        <v>0</v>
      </c>
      <c r="K47" s="44">
        <f t="shared" si="7"/>
        <v>0</v>
      </c>
      <c r="L47" s="45"/>
      <c r="M47" s="40"/>
      <c r="N47" s="43">
        <f t="shared" si="8"/>
        <v>0</v>
      </c>
      <c r="O47" s="43">
        <f t="shared" si="9"/>
        <v>0</v>
      </c>
      <c r="P47" s="46"/>
      <c r="Q47" s="40"/>
      <c r="R47" s="40"/>
      <c r="S47" s="40"/>
      <c r="T47" s="5"/>
    </row>
    <row r="48" spans="1:22" ht="15">
      <c r="A48" s="58"/>
      <c r="B48" s="59"/>
      <c r="C48" s="60"/>
      <c r="D48" s="58"/>
      <c r="E48" s="58"/>
      <c r="F48" s="58"/>
      <c r="G48" s="58"/>
      <c r="H48" s="58"/>
      <c r="I48" s="61">
        <f t="shared" si="5"/>
        <v>0</v>
      </c>
      <c r="J48" s="61">
        <f t="shared" si="6"/>
        <v>0</v>
      </c>
      <c r="K48" s="61">
        <f t="shared" si="7"/>
        <v>0</v>
      </c>
      <c r="L48" s="62"/>
      <c r="M48" s="58"/>
      <c r="N48" s="63">
        <f t="shared" si="8"/>
        <v>0</v>
      </c>
      <c r="O48" s="63">
        <f t="shared" si="9"/>
        <v>0</v>
      </c>
      <c r="P48" s="64"/>
      <c r="Q48" s="58"/>
      <c r="R48" s="58"/>
      <c r="S48" s="58"/>
      <c r="T48" s="68"/>
    </row>
    <row r="49" spans="1:20" ht="15">
      <c r="A49" s="40"/>
      <c r="B49" s="41"/>
      <c r="C49" s="42"/>
      <c r="D49" s="40"/>
      <c r="E49" s="40"/>
      <c r="F49" s="40"/>
      <c r="G49" s="40"/>
      <c r="H49" s="40"/>
      <c r="I49" s="44">
        <f t="shared" si="5"/>
        <v>0</v>
      </c>
      <c r="J49" s="44">
        <f t="shared" si="6"/>
        <v>0</v>
      </c>
      <c r="K49" s="44">
        <f t="shared" si="7"/>
        <v>0</v>
      </c>
      <c r="L49" s="45"/>
      <c r="M49" s="40"/>
      <c r="N49" s="43">
        <f t="shared" si="8"/>
        <v>0</v>
      </c>
      <c r="O49" s="43">
        <f t="shared" si="9"/>
        <v>0</v>
      </c>
      <c r="P49" s="46"/>
      <c r="Q49" s="40"/>
      <c r="R49" s="40"/>
      <c r="S49" s="40"/>
      <c r="T49" s="5"/>
    </row>
    <row r="50" spans="1:20" ht="15">
      <c r="A50" s="58"/>
      <c r="B50" s="59"/>
      <c r="C50" s="60"/>
      <c r="D50" s="58"/>
      <c r="E50" s="58"/>
      <c r="F50" s="58"/>
      <c r="G50" s="58"/>
      <c r="H50" s="58"/>
      <c r="I50" s="61">
        <f t="shared" si="5"/>
        <v>0</v>
      </c>
      <c r="J50" s="61">
        <f t="shared" si="6"/>
        <v>0</v>
      </c>
      <c r="K50" s="61">
        <f t="shared" si="7"/>
        <v>0</v>
      </c>
      <c r="L50" s="62"/>
      <c r="M50" s="58"/>
      <c r="N50" s="63">
        <f t="shared" si="8"/>
        <v>0</v>
      </c>
      <c r="O50" s="63">
        <f t="shared" si="9"/>
        <v>0</v>
      </c>
      <c r="P50" s="64"/>
      <c r="Q50" s="58"/>
      <c r="R50" s="58"/>
      <c r="S50" s="58"/>
      <c r="T50" s="68"/>
    </row>
    <row r="51" spans="1:20" ht="15">
      <c r="A51" s="40"/>
      <c r="B51" s="41"/>
      <c r="C51" s="42"/>
      <c r="D51" s="40"/>
      <c r="E51" s="40"/>
      <c r="F51" s="40"/>
      <c r="G51" s="40"/>
      <c r="H51" s="40"/>
      <c r="I51" s="44">
        <f t="shared" si="5"/>
        <v>0</v>
      </c>
      <c r="J51" s="44">
        <f t="shared" si="6"/>
        <v>0</v>
      </c>
      <c r="K51" s="44">
        <f t="shared" si="7"/>
        <v>0</v>
      </c>
      <c r="L51" s="45"/>
      <c r="M51" s="40"/>
      <c r="N51" s="43">
        <f t="shared" si="8"/>
        <v>0</v>
      </c>
      <c r="O51" s="43">
        <f t="shared" si="9"/>
        <v>0</v>
      </c>
      <c r="P51" s="46"/>
      <c r="Q51" s="40"/>
      <c r="R51" s="40"/>
      <c r="S51" s="40"/>
      <c r="T51" s="5"/>
    </row>
    <row r="52" spans="1:20" ht="15">
      <c r="A52" s="58"/>
      <c r="B52" s="59"/>
      <c r="C52" s="60"/>
      <c r="D52" s="58"/>
      <c r="E52" s="58"/>
      <c r="F52" s="58"/>
      <c r="G52" s="58"/>
      <c r="H52" s="58"/>
      <c r="I52" s="61">
        <f t="shared" si="5"/>
        <v>0</v>
      </c>
      <c r="J52" s="61">
        <f t="shared" si="6"/>
        <v>0</v>
      </c>
      <c r="K52" s="61">
        <f t="shared" si="7"/>
        <v>0</v>
      </c>
      <c r="L52" s="62"/>
      <c r="M52" s="58"/>
      <c r="N52" s="63">
        <f t="shared" si="8"/>
        <v>0</v>
      </c>
      <c r="O52" s="63">
        <f t="shared" si="9"/>
        <v>0</v>
      </c>
      <c r="P52" s="64"/>
      <c r="Q52" s="58"/>
      <c r="R52" s="58"/>
      <c r="S52" s="58"/>
      <c r="T52" s="68"/>
    </row>
    <row r="53" spans="1:20" ht="15">
      <c r="A53" s="40"/>
      <c r="B53" s="41"/>
      <c r="C53" s="42"/>
      <c r="D53" s="40"/>
      <c r="E53" s="40"/>
      <c r="F53" s="40"/>
      <c r="G53" s="40"/>
      <c r="H53" s="40"/>
      <c r="I53" s="44">
        <f t="shared" si="5"/>
        <v>0</v>
      </c>
      <c r="J53" s="44">
        <f t="shared" si="6"/>
        <v>0</v>
      </c>
      <c r="K53" s="44">
        <f t="shared" si="7"/>
        <v>0</v>
      </c>
      <c r="L53" s="45"/>
      <c r="M53" s="40"/>
      <c r="N53" s="43">
        <f t="shared" si="8"/>
        <v>0</v>
      </c>
      <c r="O53" s="43">
        <f t="shared" si="9"/>
        <v>0</v>
      </c>
      <c r="P53" s="46"/>
      <c r="Q53" s="40"/>
      <c r="R53" s="40"/>
      <c r="S53" s="40"/>
      <c r="T53" s="5"/>
    </row>
    <row r="54" spans="1:20" ht="15">
      <c r="A54" s="69"/>
      <c r="B54" s="70"/>
      <c r="C54" s="71"/>
      <c r="D54" s="69"/>
      <c r="E54" s="69"/>
      <c r="F54" s="69"/>
      <c r="G54" s="69"/>
      <c r="H54" s="69"/>
      <c r="I54" s="72">
        <f t="shared" si="5"/>
        <v>0</v>
      </c>
      <c r="J54" s="72">
        <f t="shared" si="6"/>
        <v>0</v>
      </c>
      <c r="K54" s="72">
        <f t="shared" si="7"/>
        <v>0</v>
      </c>
      <c r="L54" s="73"/>
      <c r="M54" s="69"/>
      <c r="N54" s="74">
        <f t="shared" si="8"/>
        <v>0</v>
      </c>
      <c r="O54" s="74">
        <f t="shared" si="9"/>
        <v>0</v>
      </c>
      <c r="P54" s="75"/>
      <c r="Q54" s="69"/>
      <c r="R54" s="69"/>
      <c r="S54" s="69"/>
      <c r="T54" s="76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2189" priority="29" operator="containsText" text="SIN FACTURA ">
      <formula>NOT(ISERROR(SEARCH("SIN FACTURA ",A2)))</formula>
    </cfRule>
  </conditionalFormatting>
  <conditionalFormatting sqref="A38:T54 J5:T5 A4:T4 I5:I37 A5:H5">
    <cfRule type="containsText" dxfId="2188" priority="28" operator="containsText" text="SIN FACTURA">
      <formula>NOT(ISERROR(SEARCH("SIN FACTURA",A4)))</formula>
    </cfRule>
  </conditionalFormatting>
  <conditionalFormatting sqref="J37:T37 J35:T35 J33:T33 J31:T31 J29:T29 J27:T27 J25:T25 J23:T23 J21:T21 J19:T19 J17:T17 J7:T15 A7:H15 A17:H17 A19:H19 A21:H21 A23:H23 A25:H25 A27:H27 A29:H29 A31:H31 A33:H33 A35:H35 A37:H37">
    <cfRule type="containsText" dxfId="2187" priority="25" operator="containsText" text="SIN FACTURA">
      <formula>NOT(ISERROR(SEARCH("SIN FACTURA",A7)))</formula>
    </cfRule>
  </conditionalFormatting>
  <conditionalFormatting sqref="C6:H6 J6:V6">
    <cfRule type="containsText" dxfId="2186" priority="24" operator="containsText" text="SIN FACTURA">
      <formula>NOT(ISERROR(SEARCH("SIN FACTURA",C6)))</formula>
    </cfRule>
  </conditionalFormatting>
  <conditionalFormatting sqref="C16:H16 J16:V16">
    <cfRule type="containsText" dxfId="2185" priority="23" operator="containsText" text="SIN FACTURA">
      <formula>NOT(ISERROR(SEARCH("SIN FACTURA",C16)))</formula>
    </cfRule>
  </conditionalFormatting>
  <conditionalFormatting sqref="C18:H18 J18:V18">
    <cfRule type="containsText" dxfId="2184" priority="22" operator="containsText" text="SIN FACTURA">
      <formula>NOT(ISERROR(SEARCH("SIN FACTURA",C18)))</formula>
    </cfRule>
  </conditionalFormatting>
  <conditionalFormatting sqref="C20:H20 J20:V20">
    <cfRule type="containsText" dxfId="2183" priority="21" operator="containsText" text="SIN FACTURA">
      <formula>NOT(ISERROR(SEARCH("SIN FACTURA",C20)))</formula>
    </cfRule>
  </conditionalFormatting>
  <conditionalFormatting sqref="C22:H22 J22:V22">
    <cfRule type="containsText" dxfId="2182" priority="20" operator="containsText" text="SIN FACTURA">
      <formula>NOT(ISERROR(SEARCH("SIN FACTURA",C22)))</formula>
    </cfRule>
  </conditionalFormatting>
  <conditionalFormatting sqref="C24:H24 J24:V24">
    <cfRule type="containsText" dxfId="2181" priority="19" operator="containsText" text="SIN FACTURA">
      <formula>NOT(ISERROR(SEARCH("SIN FACTURA",C24)))</formula>
    </cfRule>
  </conditionalFormatting>
  <conditionalFormatting sqref="C26:H26 J26:V26">
    <cfRule type="containsText" dxfId="2180" priority="18" operator="containsText" text="SIN FACTURA">
      <formula>NOT(ISERROR(SEARCH("SIN FACTURA",C26)))</formula>
    </cfRule>
  </conditionalFormatting>
  <conditionalFormatting sqref="C28:H28 J28:V28">
    <cfRule type="containsText" dxfId="2179" priority="17" operator="containsText" text="SIN FACTURA">
      <formula>NOT(ISERROR(SEARCH("SIN FACTURA",C28)))</formula>
    </cfRule>
  </conditionalFormatting>
  <conditionalFormatting sqref="C30:H30 J30:V30">
    <cfRule type="containsText" dxfId="2178" priority="16" operator="containsText" text="SIN FACTURA">
      <formula>NOT(ISERROR(SEARCH("SIN FACTURA",C30)))</formula>
    </cfRule>
  </conditionalFormatting>
  <conditionalFormatting sqref="C32:H32 J32:V32">
    <cfRule type="containsText" dxfId="2177" priority="15" operator="containsText" text="SIN FACTURA">
      <formula>NOT(ISERROR(SEARCH("SIN FACTURA",C32)))</formula>
    </cfRule>
  </conditionalFormatting>
  <conditionalFormatting sqref="C34:H34 J34:V34">
    <cfRule type="containsText" dxfId="2176" priority="14" operator="containsText" text="SIN FACTURA">
      <formula>NOT(ISERROR(SEARCH("SIN FACTURA",C34)))</formula>
    </cfRule>
  </conditionalFormatting>
  <conditionalFormatting sqref="C36:H36 J36:V36">
    <cfRule type="containsText" dxfId="2175" priority="13" operator="containsText" text="SIN FACTURA">
      <formula>NOT(ISERROR(SEARCH("SIN FACTURA",C36)))</formula>
    </cfRule>
  </conditionalFormatting>
  <conditionalFormatting sqref="A6:B6">
    <cfRule type="containsText" dxfId="2174" priority="12" operator="containsText" text="SIN FACTURA">
      <formula>NOT(ISERROR(SEARCH("SIN FACTURA",A6)))</formula>
    </cfRule>
  </conditionalFormatting>
  <conditionalFormatting sqref="A16:B16">
    <cfRule type="containsText" dxfId="2173" priority="11" operator="containsText" text="SIN FACTURA">
      <formula>NOT(ISERROR(SEARCH("SIN FACTURA",A16)))</formula>
    </cfRule>
  </conditionalFormatting>
  <conditionalFormatting sqref="A18:B18">
    <cfRule type="containsText" dxfId="2172" priority="10" operator="containsText" text="SIN FACTURA">
      <formula>NOT(ISERROR(SEARCH("SIN FACTURA",A18)))</formula>
    </cfRule>
  </conditionalFormatting>
  <conditionalFormatting sqref="A20:B20">
    <cfRule type="containsText" dxfId="2171" priority="9" operator="containsText" text="SIN FACTURA">
      <formula>NOT(ISERROR(SEARCH("SIN FACTURA",A20)))</formula>
    </cfRule>
  </conditionalFormatting>
  <conditionalFormatting sqref="A22:B22">
    <cfRule type="containsText" dxfId="2170" priority="8" operator="containsText" text="SIN FACTURA">
      <formula>NOT(ISERROR(SEARCH("SIN FACTURA",A22)))</formula>
    </cfRule>
  </conditionalFormatting>
  <conditionalFormatting sqref="A24:B24">
    <cfRule type="containsText" dxfId="2169" priority="7" operator="containsText" text="SIN FACTURA">
      <formula>NOT(ISERROR(SEARCH("SIN FACTURA",A24)))</formula>
    </cfRule>
  </conditionalFormatting>
  <conditionalFormatting sqref="A36:B36">
    <cfRule type="containsText" dxfId="2168" priority="1" operator="containsText" text="SIN FACTURA">
      <formula>NOT(ISERROR(SEARCH("SIN FACTURA",A36)))</formula>
    </cfRule>
  </conditionalFormatting>
  <conditionalFormatting sqref="A26:B26">
    <cfRule type="containsText" dxfId="2167" priority="6" operator="containsText" text="SIN FACTURA">
      <formula>NOT(ISERROR(SEARCH("SIN FACTURA",A26)))</formula>
    </cfRule>
  </conditionalFormatting>
  <conditionalFormatting sqref="A28:B28">
    <cfRule type="containsText" dxfId="2166" priority="5" operator="containsText" text="SIN FACTURA">
      <formula>NOT(ISERROR(SEARCH("SIN FACTURA",A28)))</formula>
    </cfRule>
  </conditionalFormatting>
  <conditionalFormatting sqref="A30:B30">
    <cfRule type="containsText" dxfId="2165" priority="4" operator="containsText" text="SIN FACTURA">
      <formula>NOT(ISERROR(SEARCH("SIN FACTURA",A30)))</formula>
    </cfRule>
  </conditionalFormatting>
  <conditionalFormatting sqref="A32:B32">
    <cfRule type="containsText" dxfId="2164" priority="3" operator="containsText" text="SIN FACTURA">
      <formula>NOT(ISERROR(SEARCH("SIN FACTURA",A32)))</formula>
    </cfRule>
  </conditionalFormatting>
  <conditionalFormatting sqref="A34:B34">
    <cfRule type="containsText" dxfId="2163" priority="2" operator="containsText" text="SIN FACTURA">
      <formula>NOT(ISERROR(SEARCH("SIN FACTURA",A34)))</formula>
    </cfRule>
  </conditionalFormatting>
  <pageMargins left="0.75" right="0.75" top="1" bottom="1" header="0.5" footer="0.5"/>
  <pageSetup paperSize="9" orientation="portrait" horizontalDpi="4294967292" verticalDpi="4294967292"/>
</worksheet>
</file>

<file path=xl/worksheets/sheet82.xml><?xml version="1.0" encoding="utf-8"?>
<worksheet xmlns="http://schemas.openxmlformats.org/spreadsheetml/2006/main" xmlns:r="http://schemas.openxmlformats.org/officeDocument/2006/relationships">
  <sheetPr codeName="Hoja37"/>
  <dimension ref="A1:Y26"/>
  <sheetViews>
    <sheetView zoomScale="125" zoomScaleNormal="125" zoomScalePageLayoutView="125" workbookViewId="0">
      <pane ySplit="3" topLeftCell="A4" activePane="bottomLeft" state="frozen"/>
      <selection pane="bottomLeft" activeCell="C23" sqref="C23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25</v>
      </c>
      <c r="B1" s="18" t="s">
        <v>27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21" si="0">F5-G5-H5</f>
        <v>0</v>
      </c>
      <c r="J5" s="44">
        <f t="shared" ref="J5:J21" si="1">S5+T5</f>
        <v>0</v>
      </c>
      <c r="K5" s="44">
        <f t="shared" ref="K5:K21" si="2">I5-J5</f>
        <v>0</v>
      </c>
      <c r="L5" s="45"/>
      <c r="M5" s="40"/>
      <c r="N5" s="43">
        <f t="shared" ref="N5:N21" si="3">I5-J5-M5-R5</f>
        <v>0</v>
      </c>
      <c r="O5" s="43">
        <f t="shared" ref="O5:O21" si="4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2"/>
      <c r="D6" s="33"/>
      <c r="E6" s="34"/>
      <c r="F6" s="32"/>
      <c r="G6" s="37"/>
      <c r="H6" s="32"/>
      <c r="I6" s="37"/>
      <c r="J6" s="37"/>
      <c r="K6" s="35"/>
      <c r="L6" s="35"/>
      <c r="M6" s="35"/>
      <c r="N6" s="36"/>
      <c r="O6" s="32"/>
      <c r="P6" s="37"/>
      <c r="Q6" s="37"/>
      <c r="R6" s="38"/>
      <c r="S6" s="32"/>
      <c r="T6" s="39"/>
      <c r="U6" s="6"/>
      <c r="V6" s="6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  <c r="U8" s="6"/>
      <c r="V8" s="6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  <c r="U10" s="6"/>
      <c r="V10" s="6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58"/>
      <c r="B22" s="59"/>
      <c r="C22" s="60"/>
      <c r="D22" s="58"/>
      <c r="E22" s="58"/>
      <c r="F22" s="58"/>
      <c r="G22" s="58"/>
      <c r="H22" s="58"/>
      <c r="I22" s="61"/>
      <c r="J22" s="61"/>
      <c r="K22" s="61"/>
      <c r="L22" s="62"/>
      <c r="M22" s="58"/>
      <c r="N22" s="63"/>
      <c r="O22" s="63"/>
      <c r="P22" s="64"/>
      <c r="Q22" s="58"/>
      <c r="R22" s="58"/>
      <c r="S22" s="58"/>
      <c r="T22" s="68"/>
    </row>
    <row r="23" spans="1:22" ht="15">
      <c r="A23" s="40"/>
      <c r="B23" s="41"/>
      <c r="C23" s="42"/>
      <c r="D23" s="40"/>
      <c r="E23" s="40"/>
      <c r="F23" s="40"/>
      <c r="G23" s="40"/>
      <c r="H23" s="40"/>
      <c r="I23" s="44"/>
      <c r="J23" s="44"/>
      <c r="K23" s="44"/>
      <c r="L23" s="45"/>
      <c r="M23" s="40"/>
      <c r="N23" s="43"/>
      <c r="O23" s="43"/>
      <c r="P23" s="46"/>
      <c r="Q23" s="40"/>
      <c r="R23" s="40"/>
      <c r="S23" s="40"/>
      <c r="T23" s="5"/>
    </row>
    <row r="24" spans="1:22" ht="15">
      <c r="A24" s="58"/>
      <c r="B24" s="59"/>
      <c r="C24" s="60"/>
      <c r="D24" s="58"/>
      <c r="E24" s="58"/>
      <c r="F24" s="58"/>
      <c r="G24" s="58"/>
      <c r="H24" s="58"/>
      <c r="I24" s="61"/>
      <c r="J24" s="61"/>
      <c r="K24" s="61"/>
      <c r="L24" s="62"/>
      <c r="M24" s="58"/>
      <c r="N24" s="63"/>
      <c r="O24" s="63"/>
      <c r="P24" s="64"/>
      <c r="Q24" s="58"/>
      <c r="R24" s="58"/>
      <c r="S24" s="58"/>
      <c r="T24" s="68"/>
    </row>
    <row r="25" spans="1:22" ht="15">
      <c r="A25" s="40"/>
      <c r="B25" s="41"/>
      <c r="C25" s="42"/>
      <c r="D25" s="40"/>
      <c r="E25" s="40"/>
      <c r="F25" s="40"/>
      <c r="G25" s="40"/>
      <c r="H25" s="40"/>
      <c r="I25" s="44"/>
      <c r="J25" s="44"/>
      <c r="K25" s="44"/>
      <c r="L25" s="45"/>
      <c r="M25" s="40"/>
      <c r="N25" s="43"/>
      <c r="O25" s="43"/>
      <c r="P25" s="46"/>
      <c r="Q25" s="40"/>
      <c r="R25" s="40"/>
      <c r="S25" s="40"/>
      <c r="T25" s="5"/>
    </row>
    <row r="26" spans="1:22" ht="15">
      <c r="A26" s="58"/>
      <c r="B26" s="59"/>
      <c r="C26" s="60"/>
      <c r="D26" s="58"/>
      <c r="E26" s="58"/>
      <c r="F26" s="58"/>
      <c r="G26" s="58"/>
      <c r="H26" s="58"/>
      <c r="I26" s="61"/>
      <c r="J26" s="61"/>
      <c r="K26" s="61"/>
      <c r="L26" s="62"/>
      <c r="M26" s="58"/>
      <c r="N26" s="63"/>
      <c r="O26" s="63"/>
      <c r="P26" s="64"/>
      <c r="Q26" s="58"/>
      <c r="R26" s="58"/>
      <c r="S26" s="58"/>
      <c r="T26" s="68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2162" priority="27" operator="containsText" text="SIN FACTURA ">
      <formula>NOT(ISERROR(SEARCH("SIN FACTURA ",A2)))</formula>
    </cfRule>
  </conditionalFormatting>
  <conditionalFormatting sqref="A22:T26 A4:T4 J21:T21 J19:T19 J17:T17 J15:T15 J13:T13 J11:T11 J9:T9 J7:T7 J5:T5 J6:V6 J8:V8 J10:V10 J12:V12 J14:V14 J16:V16 J18:V18 J20:V20 A5:I21">
    <cfRule type="containsText" dxfId="2161" priority="26" operator="containsText" text="SIN FACTURA">
      <formula>NOT(ISERROR(SEARCH("SIN FACTURA",A4)))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83.xml><?xml version="1.0" encoding="utf-8"?>
<worksheet xmlns="http://schemas.openxmlformats.org/spreadsheetml/2006/main" xmlns:r="http://schemas.openxmlformats.org/officeDocument/2006/relationships">
  <sheetPr codeName="Hoja155"/>
  <dimension ref="A1:Y33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5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2.5" style="3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4">
        <v>159</v>
      </c>
      <c r="B1" s="15" t="s">
        <v>130</v>
      </c>
      <c r="C1" s="1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6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3" si="0">F5-G5-H5</f>
        <v>0</v>
      </c>
      <c r="J5" s="44">
        <f t="shared" ref="J5:J33" si="1">S5+T5</f>
        <v>0</v>
      </c>
      <c r="K5" s="44">
        <f t="shared" ref="K5:K33" si="2">I5-J5</f>
        <v>0</v>
      </c>
      <c r="L5" s="45"/>
      <c r="M5" s="40"/>
      <c r="N5" s="43">
        <f t="shared" ref="N5:N33" si="3">I5-J5-M5-R5</f>
        <v>0</v>
      </c>
      <c r="O5" s="43">
        <f t="shared" ref="O5:O33" si="4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 t="shared" si="2"/>
        <v>0</v>
      </c>
      <c r="L7" s="45"/>
      <c r="M7" s="40"/>
      <c r="N7" s="43">
        <f>I7-J7-M7-R7</f>
        <v>0</v>
      </c>
      <c r="O7" s="43">
        <f>R7+S7+T7</f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0" ht="15">
      <c r="A33" s="50"/>
      <c r="B33" s="51"/>
      <c r="C33" s="52"/>
      <c r="D33" s="50"/>
      <c r="E33" s="50"/>
      <c r="F33" s="50"/>
      <c r="G33" s="43">
        <f>F33*6%</f>
        <v>0</v>
      </c>
      <c r="H33" s="53"/>
      <c r="I33" s="44">
        <f t="shared" si="0"/>
        <v>0</v>
      </c>
      <c r="J33" s="54">
        <f t="shared" si="1"/>
        <v>0</v>
      </c>
      <c r="K33" s="54">
        <f t="shared" si="2"/>
        <v>0</v>
      </c>
      <c r="L33" s="55"/>
      <c r="M33" s="50"/>
      <c r="N33" s="53">
        <f t="shared" si="3"/>
        <v>0</v>
      </c>
      <c r="O33" s="53">
        <f t="shared" si="4"/>
        <v>0</v>
      </c>
      <c r="P33" s="56"/>
      <c r="Q33" s="50"/>
      <c r="R33" s="50"/>
      <c r="S33" s="50"/>
      <c r="T33" s="5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2160" priority="31" operator="containsText" text="SIN FACTURA ">
      <formula>NOT(ISERROR(SEARCH("SIN FACTURA ",A2)))</formula>
    </cfRule>
  </conditionalFormatting>
  <conditionalFormatting sqref="A24:B24 A4:T4 J5:T11 I5:I33 A5:H11">
    <cfRule type="containsText" dxfId="2159" priority="5" operator="containsText" text="SIN FACTURA">
      <formula>NOT(ISERROR(SEARCH("SIN FACTURA",A4)))</formula>
    </cfRule>
  </conditionalFormatting>
  <conditionalFormatting sqref="A32:B32">
    <cfRule type="containsText" dxfId="2158" priority="1" operator="containsText" text="SIN FACTURA">
      <formula>NOT(ISERROR(SEARCH("SIN FACTURA",A32)))</formula>
    </cfRule>
  </conditionalFormatting>
  <conditionalFormatting sqref="J33:T33 J31:T31 J29:T29 J27:T27 J25:T25 J23:T23 J21:T21 J19:T19 J17:T17 J15:T15 J13:T13 A13:H13 A15:H15 A17:H17 A19:H19 A21:H21 A23:H23 A25:H25 A27:H27 A29:H29 A31:H31 A33:H33">
    <cfRule type="containsText" dxfId="2157" priority="25" operator="containsText" text="SIN FACTURA">
      <formula>NOT(ISERROR(SEARCH("SIN FACTURA",A13)))</formula>
    </cfRule>
  </conditionalFormatting>
  <conditionalFormatting sqref="C12:H12 J12:V12">
    <cfRule type="containsText" dxfId="2156" priority="23" operator="containsText" text="SIN FACTURA">
      <formula>NOT(ISERROR(SEARCH("SIN FACTURA",C12)))</formula>
    </cfRule>
  </conditionalFormatting>
  <conditionalFormatting sqref="C14:H14 J14:V14">
    <cfRule type="containsText" dxfId="2155" priority="22" operator="containsText" text="SIN FACTURA">
      <formula>NOT(ISERROR(SEARCH("SIN FACTURA",C14)))</formula>
    </cfRule>
  </conditionalFormatting>
  <conditionalFormatting sqref="C16:H16 J16:V16">
    <cfRule type="containsText" dxfId="2154" priority="21" operator="containsText" text="SIN FACTURA">
      <formula>NOT(ISERROR(SEARCH("SIN FACTURA",C16)))</formula>
    </cfRule>
  </conditionalFormatting>
  <conditionalFormatting sqref="C18:H18 J18:V18">
    <cfRule type="containsText" dxfId="2153" priority="20" operator="containsText" text="SIN FACTURA">
      <formula>NOT(ISERROR(SEARCH("SIN FACTURA",C18)))</formula>
    </cfRule>
  </conditionalFormatting>
  <conditionalFormatting sqref="C20:H20 J20:V20">
    <cfRule type="containsText" dxfId="2152" priority="19" operator="containsText" text="SIN FACTURA">
      <formula>NOT(ISERROR(SEARCH("SIN FACTURA",C20)))</formula>
    </cfRule>
  </conditionalFormatting>
  <conditionalFormatting sqref="C22:H22 J22:V22">
    <cfRule type="containsText" dxfId="2151" priority="18" operator="containsText" text="SIN FACTURA">
      <formula>NOT(ISERROR(SEARCH("SIN FACTURA",C22)))</formula>
    </cfRule>
  </conditionalFormatting>
  <conditionalFormatting sqref="C24:H24 J24:V24">
    <cfRule type="containsText" dxfId="2150" priority="17" operator="containsText" text="SIN FACTURA">
      <formula>NOT(ISERROR(SEARCH("SIN FACTURA",C24)))</formula>
    </cfRule>
  </conditionalFormatting>
  <conditionalFormatting sqref="C26:H26 J26:V26">
    <cfRule type="containsText" dxfId="2149" priority="16" operator="containsText" text="SIN FACTURA">
      <formula>NOT(ISERROR(SEARCH("SIN FACTURA",C26)))</formula>
    </cfRule>
  </conditionalFormatting>
  <conditionalFormatting sqref="C28:H28 J28:V28">
    <cfRule type="containsText" dxfId="2148" priority="15" operator="containsText" text="SIN FACTURA">
      <formula>NOT(ISERROR(SEARCH("SIN FACTURA",C28)))</formula>
    </cfRule>
  </conditionalFormatting>
  <conditionalFormatting sqref="C30:H30 J30:V30">
    <cfRule type="containsText" dxfId="2147" priority="14" operator="containsText" text="SIN FACTURA">
      <formula>NOT(ISERROR(SEARCH("SIN FACTURA",C30)))</formula>
    </cfRule>
  </conditionalFormatting>
  <conditionalFormatting sqref="C32:H32 J32:V32">
    <cfRule type="containsText" dxfId="2146" priority="13" operator="containsText" text="SIN FACTURA">
      <formula>NOT(ISERROR(SEARCH("SIN FACTURA",C32)))</formula>
    </cfRule>
  </conditionalFormatting>
  <conditionalFormatting sqref="A12:B12">
    <cfRule type="containsText" dxfId="2145" priority="11" operator="containsText" text="SIN FACTURA">
      <formula>NOT(ISERROR(SEARCH("SIN FACTURA",A12)))</formula>
    </cfRule>
  </conditionalFormatting>
  <conditionalFormatting sqref="A14:B14">
    <cfRule type="containsText" dxfId="2144" priority="10" operator="containsText" text="SIN FACTURA">
      <formula>NOT(ISERROR(SEARCH("SIN FACTURA",A14)))</formula>
    </cfRule>
  </conditionalFormatting>
  <conditionalFormatting sqref="A16:B16">
    <cfRule type="containsText" dxfId="2143" priority="9" operator="containsText" text="SIN FACTURA">
      <formula>NOT(ISERROR(SEARCH("SIN FACTURA",A16)))</formula>
    </cfRule>
  </conditionalFormatting>
  <conditionalFormatting sqref="A18:B18">
    <cfRule type="containsText" dxfId="2142" priority="8" operator="containsText" text="SIN FACTURA">
      <formula>NOT(ISERROR(SEARCH("SIN FACTURA",A18)))</formula>
    </cfRule>
  </conditionalFormatting>
  <conditionalFormatting sqref="A20:B20">
    <cfRule type="containsText" dxfId="2141" priority="7" operator="containsText" text="SIN FACTURA">
      <formula>NOT(ISERROR(SEARCH("SIN FACTURA",A20)))</formula>
    </cfRule>
  </conditionalFormatting>
  <conditionalFormatting sqref="A22:B22">
    <cfRule type="containsText" dxfId="2140" priority="6" operator="containsText" text="SIN FACTURA">
      <formula>NOT(ISERROR(SEARCH("SIN FACTURA",A22)))</formula>
    </cfRule>
  </conditionalFormatting>
  <conditionalFormatting sqref="A26:B26">
    <cfRule type="containsText" dxfId="2139" priority="4" operator="containsText" text="SIN FACTURA">
      <formula>NOT(ISERROR(SEARCH("SIN FACTURA",A26)))</formula>
    </cfRule>
  </conditionalFormatting>
  <conditionalFormatting sqref="A28:B28">
    <cfRule type="containsText" dxfId="2138" priority="3" operator="containsText" text="SIN FACTURA">
      <formula>NOT(ISERROR(SEARCH("SIN FACTURA",A28)))</formula>
    </cfRule>
  </conditionalFormatting>
  <conditionalFormatting sqref="A30:B30">
    <cfRule type="containsText" dxfId="2137" priority="2" operator="containsText" text="SIN FACTURA">
      <formula>NOT(ISERROR(SEARCH("SIN FACTURA",A30)))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84.xml><?xml version="1.0" encoding="utf-8"?>
<worksheet xmlns="http://schemas.openxmlformats.org/spreadsheetml/2006/main" xmlns:r="http://schemas.openxmlformats.org/officeDocument/2006/relationships">
  <sheetPr codeName="Hoja41"/>
  <dimension ref="A1:Y43"/>
  <sheetViews>
    <sheetView topLeftCell="B1" zoomScale="125" zoomScaleNormal="125" zoomScalePageLayoutView="125" workbookViewId="0">
      <pane ySplit="4" topLeftCell="A11" activePane="bottomLeft" state="frozen"/>
      <selection activeCell="C52" sqref="C52"/>
      <selection pane="bottomLeft" activeCell="B11" sqref="A11:XFD12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102</v>
      </c>
      <c r="B1" s="18" t="s">
        <v>40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 t="s">
        <v>121</v>
      </c>
      <c r="B5" s="45">
        <v>43181</v>
      </c>
      <c r="C5" s="42" t="s">
        <v>122</v>
      </c>
      <c r="D5" s="43">
        <v>423.5</v>
      </c>
      <c r="E5" s="43">
        <v>73.5</v>
      </c>
      <c r="F5" s="43">
        <v>350</v>
      </c>
      <c r="G5" s="43">
        <f>F5*6%</f>
        <v>21</v>
      </c>
      <c r="H5" s="43"/>
      <c r="I5" s="44">
        <f>F5-G5-H5</f>
        <v>329</v>
      </c>
      <c r="J5" s="44">
        <f t="shared" ref="J5:J43" si="0">S5+T5</f>
        <v>93.1</v>
      </c>
      <c r="K5" s="44">
        <f t="shared" ref="K5:K43" si="1">I5-J5</f>
        <v>235.9</v>
      </c>
      <c r="L5" s="45">
        <v>43188</v>
      </c>
      <c r="M5" s="40"/>
      <c r="N5" s="43">
        <f t="shared" ref="N5:N43" si="2">I5-J5-M5-R5</f>
        <v>-9.9999999999909051E-3</v>
      </c>
      <c r="O5" s="43">
        <f t="shared" ref="O5:O43" si="3">R5+S5+T5</f>
        <v>329.01</v>
      </c>
      <c r="P5" s="46" t="s">
        <v>125</v>
      </c>
      <c r="Q5" s="40" t="s">
        <v>116</v>
      </c>
      <c r="R5" s="40">
        <v>235.91</v>
      </c>
      <c r="S5" s="40">
        <v>88.53</v>
      </c>
      <c r="T5" s="5">
        <v>4.57</v>
      </c>
    </row>
    <row r="6" spans="1:25" ht="15">
      <c r="A6" s="32"/>
      <c r="B6" s="33"/>
      <c r="C6" s="34"/>
      <c r="D6" s="37"/>
      <c r="E6" s="37"/>
      <c r="F6" s="37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 t="s">
        <v>146</v>
      </c>
      <c r="B7" s="45">
        <v>43286</v>
      </c>
      <c r="C7" s="42" t="s">
        <v>147</v>
      </c>
      <c r="D7" s="43">
        <v>363</v>
      </c>
      <c r="E7" s="43">
        <v>63</v>
      </c>
      <c r="F7" s="43">
        <v>300</v>
      </c>
      <c r="G7" s="43">
        <f>F7*6%</f>
        <v>18</v>
      </c>
      <c r="H7" s="43"/>
      <c r="I7" s="44">
        <f t="shared" ref="I7:I43" si="4">F7-G7-H7</f>
        <v>282</v>
      </c>
      <c r="J7" s="44">
        <f t="shared" si="0"/>
        <v>78.63</v>
      </c>
      <c r="K7" s="44">
        <f t="shared" si="1"/>
        <v>203.37</v>
      </c>
      <c r="L7" s="45"/>
      <c r="M7" s="40"/>
      <c r="N7" s="43">
        <f t="shared" si="2"/>
        <v>-9.9999999999909051E-3</v>
      </c>
      <c r="O7" s="43">
        <f t="shared" si="3"/>
        <v>282.01</v>
      </c>
      <c r="P7" s="46" t="s">
        <v>148</v>
      </c>
      <c r="Q7" s="40" t="s">
        <v>116</v>
      </c>
      <c r="R7" s="47">
        <v>203.38</v>
      </c>
      <c r="S7" s="47">
        <v>74.77</v>
      </c>
      <c r="T7" s="48">
        <v>3.86</v>
      </c>
    </row>
    <row r="8" spans="1:25" ht="15">
      <c r="A8" s="106" t="s">
        <v>144</v>
      </c>
      <c r="B8" s="107"/>
      <c r="C8" s="108"/>
      <c r="D8" s="109"/>
      <c r="E8" s="109"/>
      <c r="F8" s="109"/>
      <c r="G8" s="109"/>
      <c r="H8" s="109"/>
      <c r="I8" s="110"/>
      <c r="J8" s="110"/>
      <c r="K8" s="110">
        <v>50</v>
      </c>
      <c r="L8" s="45"/>
      <c r="M8" s="40"/>
      <c r="N8" s="43"/>
      <c r="O8" s="43"/>
      <c r="P8" s="46"/>
      <c r="Q8" s="40"/>
      <c r="R8" s="47"/>
      <c r="S8" s="47"/>
      <c r="T8" s="48"/>
    </row>
    <row r="9" spans="1:25" ht="15">
      <c r="A9" s="40"/>
      <c r="B9" s="41"/>
      <c r="C9" s="42"/>
      <c r="D9" s="43"/>
      <c r="E9" s="43"/>
      <c r="F9" s="43"/>
      <c r="G9" s="43"/>
      <c r="H9" s="43"/>
      <c r="I9" s="44"/>
      <c r="J9" s="44"/>
      <c r="K9" s="110">
        <f>K7-K8</f>
        <v>153.37</v>
      </c>
      <c r="L9" s="45">
        <v>43293</v>
      </c>
      <c r="M9" s="40"/>
      <c r="N9" s="43"/>
      <c r="O9" s="43"/>
      <c r="P9" s="46"/>
      <c r="Q9" s="40"/>
      <c r="R9" s="47"/>
      <c r="S9" s="47"/>
      <c r="T9" s="48"/>
    </row>
    <row r="10" spans="1:25" ht="15">
      <c r="A10" s="32"/>
      <c r="B10" s="33"/>
      <c r="C10" s="34"/>
      <c r="D10" s="37"/>
      <c r="E10" s="37"/>
      <c r="F10" s="37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3"/>
      <c r="E11" s="43"/>
      <c r="F11" s="43"/>
      <c r="G11" s="43">
        <f>F11*6%</f>
        <v>0</v>
      </c>
      <c r="H11" s="43"/>
      <c r="I11" s="44">
        <f t="shared" si="4"/>
        <v>0</v>
      </c>
      <c r="J11" s="44">
        <f>S11+T11</f>
        <v>0</v>
      </c>
      <c r="K11" s="44">
        <f>I11-J11</f>
        <v>0</v>
      </c>
      <c r="L11" s="45"/>
      <c r="M11" s="40"/>
      <c r="N11" s="43">
        <f t="shared" si="2"/>
        <v>0</v>
      </c>
      <c r="O11" s="43">
        <f t="shared" si="3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4"/>
        <v>0</v>
      </c>
      <c r="J13" s="44">
        <f t="shared" si="0"/>
        <v>0</v>
      </c>
      <c r="K13" s="44">
        <f t="shared" si="1"/>
        <v>0</v>
      </c>
      <c r="L13" s="45"/>
      <c r="M13" s="40"/>
      <c r="N13" s="43">
        <f t="shared" si="2"/>
        <v>0</v>
      </c>
      <c r="O13" s="43">
        <f t="shared" si="3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4"/>
        <v>0</v>
      </c>
      <c r="J15" s="44">
        <f t="shared" si="0"/>
        <v>0</v>
      </c>
      <c r="K15" s="44">
        <f t="shared" si="1"/>
        <v>0</v>
      </c>
      <c r="L15" s="45"/>
      <c r="M15" s="40"/>
      <c r="N15" s="43">
        <f t="shared" si="2"/>
        <v>0</v>
      </c>
      <c r="O15" s="43">
        <f t="shared" si="3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4"/>
        <v>0</v>
      </c>
      <c r="J17" s="44">
        <f>S17+T17</f>
        <v>0</v>
      </c>
      <c r="K17" s="44">
        <f t="shared" si="1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4"/>
        <v>0</v>
      </c>
      <c r="J19" s="44">
        <f t="shared" si="0"/>
        <v>0</v>
      </c>
      <c r="K19" s="44">
        <f t="shared" si="1"/>
        <v>0</v>
      </c>
      <c r="L19" s="45"/>
      <c r="M19" s="40"/>
      <c r="N19" s="43">
        <f t="shared" si="2"/>
        <v>0</v>
      </c>
      <c r="O19" s="43">
        <f t="shared" si="3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4"/>
        <v>0</v>
      </c>
      <c r="J21" s="44">
        <f t="shared" si="0"/>
        <v>0</v>
      </c>
      <c r="K21" s="44">
        <f t="shared" si="1"/>
        <v>0</v>
      </c>
      <c r="L21" s="45"/>
      <c r="M21" s="40"/>
      <c r="N21" s="43">
        <f t="shared" si="2"/>
        <v>0</v>
      </c>
      <c r="O21" s="43">
        <f t="shared" si="3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4"/>
        <v>0</v>
      </c>
      <c r="J23" s="44">
        <f t="shared" si="0"/>
        <v>0</v>
      </c>
      <c r="K23" s="44">
        <f t="shared" si="1"/>
        <v>0</v>
      </c>
      <c r="L23" s="45"/>
      <c r="M23" s="40"/>
      <c r="N23" s="43">
        <f t="shared" si="2"/>
        <v>0</v>
      </c>
      <c r="O23" s="43">
        <f t="shared" si="3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4"/>
        <v>0</v>
      </c>
      <c r="J25" s="44">
        <f t="shared" si="0"/>
        <v>0</v>
      </c>
      <c r="K25" s="44">
        <f t="shared" si="1"/>
        <v>0</v>
      </c>
      <c r="L25" s="45"/>
      <c r="M25" s="40"/>
      <c r="N25" s="43">
        <f t="shared" si="2"/>
        <v>0</v>
      </c>
      <c r="O25" s="43">
        <f t="shared" si="3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4"/>
        <v>0</v>
      </c>
      <c r="J27" s="44">
        <f t="shared" si="0"/>
        <v>0</v>
      </c>
      <c r="K27" s="44">
        <f t="shared" si="1"/>
        <v>0</v>
      </c>
      <c r="L27" s="45"/>
      <c r="M27" s="40"/>
      <c r="N27" s="43">
        <f t="shared" si="2"/>
        <v>0</v>
      </c>
      <c r="O27" s="43">
        <f t="shared" si="3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4"/>
        <v>0</v>
      </c>
      <c r="J29" s="44">
        <f t="shared" si="0"/>
        <v>0</v>
      </c>
      <c r="K29" s="44">
        <f t="shared" si="1"/>
        <v>0</v>
      </c>
      <c r="L29" s="45"/>
      <c r="M29" s="40"/>
      <c r="N29" s="43">
        <f t="shared" si="2"/>
        <v>0</v>
      </c>
      <c r="O29" s="43">
        <f t="shared" si="3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4"/>
        <v>0</v>
      </c>
      <c r="J31" s="44">
        <f t="shared" si="0"/>
        <v>0</v>
      </c>
      <c r="K31" s="44">
        <f t="shared" si="1"/>
        <v>0</v>
      </c>
      <c r="L31" s="45"/>
      <c r="M31" s="40"/>
      <c r="N31" s="43">
        <f t="shared" si="2"/>
        <v>0</v>
      </c>
      <c r="O31" s="43">
        <f t="shared" si="3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4"/>
        <v>0</v>
      </c>
      <c r="J33" s="44">
        <f t="shared" si="0"/>
        <v>0</v>
      </c>
      <c r="K33" s="44">
        <f t="shared" si="1"/>
        <v>0</v>
      </c>
      <c r="L33" s="45"/>
      <c r="M33" s="40"/>
      <c r="N33" s="43">
        <f t="shared" si="2"/>
        <v>0</v>
      </c>
      <c r="O33" s="43">
        <f t="shared" si="3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4"/>
        <v>0</v>
      </c>
      <c r="J35" s="44">
        <f t="shared" si="0"/>
        <v>0</v>
      </c>
      <c r="K35" s="44">
        <f t="shared" si="1"/>
        <v>0</v>
      </c>
      <c r="L35" s="45"/>
      <c r="M35" s="40"/>
      <c r="N35" s="43">
        <f t="shared" si="2"/>
        <v>0</v>
      </c>
      <c r="O35" s="43">
        <f t="shared" si="3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4"/>
        <v>0</v>
      </c>
      <c r="J37" s="44">
        <f t="shared" si="0"/>
        <v>0</v>
      </c>
      <c r="K37" s="44">
        <f t="shared" si="1"/>
        <v>0</v>
      </c>
      <c r="L37" s="45"/>
      <c r="M37" s="40"/>
      <c r="N37" s="43">
        <f t="shared" si="2"/>
        <v>0</v>
      </c>
      <c r="O37" s="43">
        <f t="shared" si="3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4"/>
        <v>0</v>
      </c>
      <c r="J39" s="44">
        <f t="shared" si="0"/>
        <v>0</v>
      </c>
      <c r="K39" s="44">
        <f t="shared" si="1"/>
        <v>0</v>
      </c>
      <c r="L39" s="45"/>
      <c r="M39" s="40"/>
      <c r="N39" s="43">
        <f t="shared" si="2"/>
        <v>0</v>
      </c>
      <c r="O39" s="43">
        <f t="shared" si="3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4"/>
        <v>0</v>
      </c>
      <c r="J41" s="44">
        <f t="shared" si="0"/>
        <v>0</v>
      </c>
      <c r="K41" s="44">
        <f t="shared" si="1"/>
        <v>0</v>
      </c>
      <c r="L41" s="45"/>
      <c r="M41" s="40"/>
      <c r="N41" s="43">
        <f t="shared" si="2"/>
        <v>0</v>
      </c>
      <c r="O41" s="43">
        <f t="shared" si="3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44">
        <f t="shared" si="4"/>
        <v>0</v>
      </c>
      <c r="J43" s="54">
        <f t="shared" si="0"/>
        <v>0</v>
      </c>
      <c r="K43" s="54">
        <f t="shared" si="1"/>
        <v>0</v>
      </c>
      <c r="L43" s="55"/>
      <c r="M43" s="50"/>
      <c r="N43" s="53">
        <f t="shared" si="2"/>
        <v>0</v>
      </c>
      <c r="O43" s="53">
        <f t="shared" si="3"/>
        <v>0</v>
      </c>
      <c r="P43" s="56"/>
      <c r="Q43" s="50"/>
      <c r="R43" s="50"/>
      <c r="S43" s="50"/>
      <c r="T43" s="5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2136" priority="30" operator="containsText" text="SIN FACTURA ">
      <formula>NOT(ISERROR(SEARCH("SIN FACTURA ",A2)))</formula>
    </cfRule>
  </conditionalFormatting>
  <conditionalFormatting sqref="A40:B40 J6:T11 I6:I43 A4:T5 A6:H11">
    <cfRule type="containsText" dxfId="2135" priority="4" operator="containsText" text="SIN FACTURA">
      <formula>NOT(ISERROR(SEARCH("SIN FACTURA",A4)))</formula>
    </cfRule>
  </conditionalFormatting>
  <conditionalFormatting sqref="A42:B42">
    <cfRule type="containsText" dxfId="2134" priority="3" operator="containsText" text="SIN FACTURA">
      <formula>NOT(ISERROR(SEARCH("SIN FACTURA",A42)))</formula>
    </cfRule>
  </conditionalFormatting>
  <conditionalFormatting sqref="J43:T43 J41:T41 J39:T39 J37:T37 J35:T35 J33:T33 J31:T31 J29:T29 J27:T27 J25:T25 J23:T23 J13:T21 A13:H21 A23:H23 A25:H25 A27:H27 A29:H29 A31:H31 A33:H33 A35:H35 A37:H37 A39:H39 A41:H41 A43:H43">
    <cfRule type="containsText" dxfId="2133" priority="27" operator="containsText" text="SIN FACTURA">
      <formula>NOT(ISERROR(SEARCH("SIN FACTURA",A13)))</formula>
    </cfRule>
  </conditionalFormatting>
  <conditionalFormatting sqref="C12:H12 J12:V12">
    <cfRule type="containsText" dxfId="2132" priority="26" operator="containsText" text="SIN FACTURA">
      <formula>NOT(ISERROR(SEARCH("SIN FACTURA",C12)))</formula>
    </cfRule>
  </conditionalFormatting>
  <conditionalFormatting sqref="C22:H22 J22:V22">
    <cfRule type="containsText" dxfId="2131" priority="25" operator="containsText" text="SIN FACTURA">
      <formula>NOT(ISERROR(SEARCH("SIN FACTURA",C22)))</formula>
    </cfRule>
  </conditionalFormatting>
  <conditionalFormatting sqref="C24:H24 J24:V24">
    <cfRule type="containsText" dxfId="2130" priority="24" operator="containsText" text="SIN FACTURA">
      <formula>NOT(ISERROR(SEARCH("SIN FACTURA",C24)))</formula>
    </cfRule>
  </conditionalFormatting>
  <conditionalFormatting sqref="C26:H26 J26:V26">
    <cfRule type="containsText" dxfId="2129" priority="23" operator="containsText" text="SIN FACTURA">
      <formula>NOT(ISERROR(SEARCH("SIN FACTURA",C26)))</formula>
    </cfRule>
  </conditionalFormatting>
  <conditionalFormatting sqref="C28:H28 J28:V28">
    <cfRule type="containsText" dxfId="2128" priority="22" operator="containsText" text="SIN FACTURA">
      <formula>NOT(ISERROR(SEARCH("SIN FACTURA",C28)))</formula>
    </cfRule>
  </conditionalFormatting>
  <conditionalFormatting sqref="C30:H30 J30:V30">
    <cfRule type="containsText" dxfId="2127" priority="21" operator="containsText" text="SIN FACTURA">
      <formula>NOT(ISERROR(SEARCH("SIN FACTURA",C30)))</formula>
    </cfRule>
  </conditionalFormatting>
  <conditionalFormatting sqref="C32:H32 J32:V32">
    <cfRule type="containsText" dxfId="2126" priority="20" operator="containsText" text="SIN FACTURA">
      <formula>NOT(ISERROR(SEARCH("SIN FACTURA",C32)))</formula>
    </cfRule>
  </conditionalFormatting>
  <conditionalFormatting sqref="C34:H34 J34:V34">
    <cfRule type="containsText" dxfId="2125" priority="19" operator="containsText" text="SIN FACTURA">
      <formula>NOT(ISERROR(SEARCH("SIN FACTURA",C34)))</formula>
    </cfRule>
  </conditionalFormatting>
  <conditionalFormatting sqref="C36:H36 J36:V36">
    <cfRule type="containsText" dxfId="2124" priority="18" operator="containsText" text="SIN FACTURA">
      <formula>NOT(ISERROR(SEARCH("SIN FACTURA",C36)))</formula>
    </cfRule>
  </conditionalFormatting>
  <conditionalFormatting sqref="C38:H38 J38:V38">
    <cfRule type="containsText" dxfId="2123" priority="17" operator="containsText" text="SIN FACTURA">
      <formula>NOT(ISERROR(SEARCH("SIN FACTURA",C38)))</formula>
    </cfRule>
  </conditionalFormatting>
  <conditionalFormatting sqref="C40:H40 J40:V40">
    <cfRule type="containsText" dxfId="2122" priority="16" operator="containsText" text="SIN FACTURA">
      <formula>NOT(ISERROR(SEARCH("SIN FACTURA",C40)))</formula>
    </cfRule>
  </conditionalFormatting>
  <conditionalFormatting sqref="C42:H42 J42:V42">
    <cfRule type="containsText" dxfId="2121" priority="15" operator="containsText" text="SIN FACTURA">
      <formula>NOT(ISERROR(SEARCH("SIN FACTURA",C42)))</formula>
    </cfRule>
  </conditionalFormatting>
  <conditionalFormatting sqref="A12:B12">
    <cfRule type="containsText" dxfId="2120" priority="14" operator="containsText" text="SIN FACTURA">
      <formula>NOT(ISERROR(SEARCH("SIN FACTURA",A12)))</formula>
    </cfRule>
  </conditionalFormatting>
  <conditionalFormatting sqref="A22:B22">
    <cfRule type="containsText" dxfId="2119" priority="13" operator="containsText" text="SIN FACTURA">
      <formula>NOT(ISERROR(SEARCH("SIN FACTURA",A22)))</formula>
    </cfRule>
  </conditionalFormatting>
  <conditionalFormatting sqref="A24:B24">
    <cfRule type="containsText" dxfId="2118" priority="12" operator="containsText" text="SIN FACTURA">
      <formula>NOT(ISERROR(SEARCH("SIN FACTURA",A24)))</formula>
    </cfRule>
  </conditionalFormatting>
  <conditionalFormatting sqref="A26:B26">
    <cfRule type="containsText" dxfId="2117" priority="11" operator="containsText" text="SIN FACTURA">
      <formula>NOT(ISERROR(SEARCH("SIN FACTURA",A26)))</formula>
    </cfRule>
  </conditionalFormatting>
  <conditionalFormatting sqref="A28:B28">
    <cfRule type="containsText" dxfId="2116" priority="10" operator="containsText" text="SIN FACTURA">
      <formula>NOT(ISERROR(SEARCH("SIN FACTURA",A28)))</formula>
    </cfRule>
  </conditionalFormatting>
  <conditionalFormatting sqref="A30:B30">
    <cfRule type="containsText" dxfId="2115" priority="9" operator="containsText" text="SIN FACTURA">
      <formula>NOT(ISERROR(SEARCH("SIN FACTURA",A30)))</formula>
    </cfRule>
  </conditionalFormatting>
  <conditionalFormatting sqref="A32:B32">
    <cfRule type="containsText" dxfId="2114" priority="8" operator="containsText" text="SIN FACTURA">
      <formula>NOT(ISERROR(SEARCH("SIN FACTURA",A32)))</formula>
    </cfRule>
  </conditionalFormatting>
  <conditionalFormatting sqref="A34:B34">
    <cfRule type="containsText" dxfId="2113" priority="7" operator="containsText" text="SIN FACTURA">
      <formula>NOT(ISERROR(SEARCH("SIN FACTURA",A34)))</formula>
    </cfRule>
  </conditionalFormatting>
  <conditionalFormatting sqref="A36:B36">
    <cfRule type="containsText" dxfId="2112" priority="6" operator="containsText" text="SIN FACTURA">
      <formula>NOT(ISERROR(SEARCH("SIN FACTURA",A36)))</formula>
    </cfRule>
  </conditionalFormatting>
  <conditionalFormatting sqref="A38:B38">
    <cfRule type="containsText" dxfId="2111" priority="5" operator="containsText" text="SIN FACTURA">
      <formula>NOT(ISERROR(SEARCH("SIN FACTURA",A38)))</formula>
    </cfRule>
  </conditionalFormatting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>
  <sheetPr codeName="Hoja157"/>
  <dimension ref="A1:Y35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14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71</v>
      </c>
      <c r="B1" s="18" t="s">
        <v>59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5" si="0">F5-G5-H5</f>
        <v>0</v>
      </c>
      <c r="J5" s="44">
        <f t="shared" ref="J5:J35" si="1">S5+T5</f>
        <v>0</v>
      </c>
      <c r="K5" s="44">
        <f t="shared" ref="K5:K35" si="2">I5-J5</f>
        <v>0</v>
      </c>
      <c r="L5" s="45"/>
      <c r="M5" s="40"/>
      <c r="N5" s="43">
        <f t="shared" ref="N5:N35" si="3">I5-J5-M5-R5</f>
        <v>0</v>
      </c>
      <c r="O5" s="43">
        <f t="shared" ref="O5:O35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 t="shared" si="2"/>
        <v>0</v>
      </c>
      <c r="L9" s="45"/>
      <c r="M9" s="40"/>
      <c r="N9" s="43">
        <f>I9-J9-M9-R9</f>
        <v>0</v>
      </c>
      <c r="O9" s="43">
        <f>R9+S9+T9</f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50"/>
      <c r="B35" s="51"/>
      <c r="C35" s="52"/>
      <c r="D35" s="50"/>
      <c r="E35" s="50"/>
      <c r="F35" s="50"/>
      <c r="G35" s="43">
        <f>F35*6%</f>
        <v>0</v>
      </c>
      <c r="H35" s="53"/>
      <c r="I35" s="44">
        <f t="shared" si="0"/>
        <v>0</v>
      </c>
      <c r="J35" s="54">
        <f t="shared" si="1"/>
        <v>0</v>
      </c>
      <c r="K35" s="54">
        <f t="shared" si="2"/>
        <v>0</v>
      </c>
      <c r="L35" s="55"/>
      <c r="M35" s="50"/>
      <c r="N35" s="53">
        <f t="shared" si="3"/>
        <v>0</v>
      </c>
      <c r="O35" s="53">
        <f t="shared" si="4"/>
        <v>0</v>
      </c>
      <c r="P35" s="56"/>
      <c r="Q35" s="50"/>
      <c r="R35" s="50"/>
      <c r="S35" s="50"/>
      <c r="T35" s="5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2110" priority="27" operator="containsText" text="SIN FACTURA ">
      <formula>NOT(ISERROR(SEARCH("SIN FACTURA ",A2)))</formula>
    </cfRule>
  </conditionalFormatting>
  <conditionalFormatting sqref="A34:B34 A4:T4 I5:I35">
    <cfRule type="containsText" dxfId="2109" priority="1" operator="containsText" text="SIN FACTURA">
      <formula>NOT(ISERROR(SEARCH("SIN FACTURA",A4)))</formula>
    </cfRule>
  </conditionalFormatting>
  <conditionalFormatting sqref="J35:T35 J33:T33 J31:T31 J29:T29 J27:T27 J25:T25 J23:T23 J21:T21 J19:T19 J17:T17 J15:T15 J5:T13 A5:H13 A15:H15 A17:H17 A19:H19 A21:H21 A23:H23 A25:H25 A27:H27 A29:H29 A31:H31 A33:H33 A35:H35">
    <cfRule type="containsText" dxfId="2108" priority="25" operator="containsText" text="SIN FACTURA">
      <formula>NOT(ISERROR(SEARCH("SIN FACTURA",A5)))</formula>
    </cfRule>
  </conditionalFormatting>
  <conditionalFormatting sqref="C14:H14 J14:V14">
    <cfRule type="containsText" dxfId="2107" priority="23" operator="containsText" text="SIN FACTURA">
      <formula>NOT(ISERROR(SEARCH("SIN FACTURA",C14)))</formula>
    </cfRule>
  </conditionalFormatting>
  <conditionalFormatting sqref="C16:H16 J16:V16">
    <cfRule type="containsText" dxfId="2106" priority="22" operator="containsText" text="SIN FACTURA">
      <formula>NOT(ISERROR(SEARCH("SIN FACTURA",C16)))</formula>
    </cfRule>
  </conditionalFormatting>
  <conditionalFormatting sqref="C18:H18 J18:V18">
    <cfRule type="containsText" dxfId="2105" priority="21" operator="containsText" text="SIN FACTURA">
      <formula>NOT(ISERROR(SEARCH("SIN FACTURA",C18)))</formula>
    </cfRule>
  </conditionalFormatting>
  <conditionalFormatting sqref="C20:H20 J20:V20">
    <cfRule type="containsText" dxfId="2104" priority="20" operator="containsText" text="SIN FACTURA">
      <formula>NOT(ISERROR(SEARCH("SIN FACTURA",C20)))</formula>
    </cfRule>
  </conditionalFormatting>
  <conditionalFormatting sqref="C22:H22 J22:V22">
    <cfRule type="containsText" dxfId="2103" priority="19" operator="containsText" text="SIN FACTURA">
      <formula>NOT(ISERROR(SEARCH("SIN FACTURA",C22)))</formula>
    </cfRule>
  </conditionalFormatting>
  <conditionalFormatting sqref="C24:H24 J24:V24">
    <cfRule type="containsText" dxfId="2102" priority="18" operator="containsText" text="SIN FACTURA">
      <formula>NOT(ISERROR(SEARCH("SIN FACTURA",C24)))</formula>
    </cfRule>
  </conditionalFormatting>
  <conditionalFormatting sqref="C26:H26 J26:V26">
    <cfRule type="containsText" dxfId="2101" priority="17" operator="containsText" text="SIN FACTURA">
      <formula>NOT(ISERROR(SEARCH("SIN FACTURA",C26)))</formula>
    </cfRule>
  </conditionalFormatting>
  <conditionalFormatting sqref="C28:H28 J28:V28">
    <cfRule type="containsText" dxfId="2100" priority="16" operator="containsText" text="SIN FACTURA">
      <formula>NOT(ISERROR(SEARCH("SIN FACTURA",C28)))</formula>
    </cfRule>
  </conditionalFormatting>
  <conditionalFormatting sqref="C30:H30 J30:V30">
    <cfRule type="containsText" dxfId="2099" priority="15" operator="containsText" text="SIN FACTURA">
      <formula>NOT(ISERROR(SEARCH("SIN FACTURA",C30)))</formula>
    </cfRule>
  </conditionalFormatting>
  <conditionalFormatting sqref="C32:H32 J32:V32">
    <cfRule type="containsText" dxfId="2098" priority="14" operator="containsText" text="SIN FACTURA">
      <formula>NOT(ISERROR(SEARCH("SIN FACTURA",C32)))</formula>
    </cfRule>
  </conditionalFormatting>
  <conditionalFormatting sqref="C34:H34 J34:V34">
    <cfRule type="containsText" dxfId="2097" priority="13" operator="containsText" text="SIN FACTURA">
      <formula>NOT(ISERROR(SEARCH("SIN FACTURA",C34)))</formula>
    </cfRule>
  </conditionalFormatting>
  <conditionalFormatting sqref="A14:B14">
    <cfRule type="containsText" dxfId="2096" priority="11" operator="containsText" text="SIN FACTURA">
      <formula>NOT(ISERROR(SEARCH("SIN FACTURA",A14)))</formula>
    </cfRule>
  </conditionalFormatting>
  <conditionalFormatting sqref="A16:B16">
    <cfRule type="containsText" dxfId="2095" priority="10" operator="containsText" text="SIN FACTURA">
      <formula>NOT(ISERROR(SEARCH("SIN FACTURA",A16)))</formula>
    </cfRule>
  </conditionalFormatting>
  <conditionalFormatting sqref="A18:B18">
    <cfRule type="containsText" dxfId="2094" priority="9" operator="containsText" text="SIN FACTURA">
      <formula>NOT(ISERROR(SEARCH("SIN FACTURA",A18)))</formula>
    </cfRule>
  </conditionalFormatting>
  <conditionalFormatting sqref="A20:B20">
    <cfRule type="containsText" dxfId="2093" priority="8" operator="containsText" text="SIN FACTURA">
      <formula>NOT(ISERROR(SEARCH("SIN FACTURA",A20)))</formula>
    </cfRule>
  </conditionalFormatting>
  <conditionalFormatting sqref="A22:B22">
    <cfRule type="containsText" dxfId="2092" priority="7" operator="containsText" text="SIN FACTURA">
      <formula>NOT(ISERROR(SEARCH("SIN FACTURA",A22)))</formula>
    </cfRule>
  </conditionalFormatting>
  <conditionalFormatting sqref="A24:B24">
    <cfRule type="containsText" dxfId="2091" priority="6" operator="containsText" text="SIN FACTURA">
      <formula>NOT(ISERROR(SEARCH("SIN FACTURA",A24)))</formula>
    </cfRule>
  </conditionalFormatting>
  <conditionalFormatting sqref="A26:B26">
    <cfRule type="containsText" dxfId="2090" priority="5" operator="containsText" text="SIN FACTURA">
      <formula>NOT(ISERROR(SEARCH("SIN FACTURA",A26)))</formula>
    </cfRule>
  </conditionalFormatting>
  <conditionalFormatting sqref="A28:B28">
    <cfRule type="containsText" dxfId="2089" priority="4" operator="containsText" text="SIN FACTURA">
      <formula>NOT(ISERROR(SEARCH("SIN FACTURA",A28)))</formula>
    </cfRule>
  </conditionalFormatting>
  <conditionalFormatting sqref="A30:B30">
    <cfRule type="containsText" dxfId="2088" priority="3" operator="containsText" text="SIN FACTURA">
      <formula>NOT(ISERROR(SEARCH("SIN FACTURA",A30)))</formula>
    </cfRule>
  </conditionalFormatting>
  <conditionalFormatting sqref="A32:B32">
    <cfRule type="containsText" dxfId="2087" priority="2" operator="containsText" text="SIN FACTURA">
      <formula>NOT(ISERROR(SEARCH("SIN FACTURA",A32)))</formula>
    </cfRule>
  </conditionalFormatting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>
  <dimension ref="A1:Y41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8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/>
      <c r="B1" s="18" t="s">
        <v>292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1" si="0">F5-G5-H5</f>
        <v>0</v>
      </c>
      <c r="J5" s="44">
        <f t="shared" ref="J5:J41" si="1">S5+T5</f>
        <v>0</v>
      </c>
      <c r="K5" s="44">
        <f t="shared" ref="K5:K41" si="2">I5-J5</f>
        <v>0</v>
      </c>
      <c r="L5" s="45"/>
      <c r="M5" s="40"/>
      <c r="N5" s="43">
        <f t="shared" ref="N5:N41" si="3">I5-J5-M5-R5</f>
        <v>0</v>
      </c>
      <c r="O5" s="43">
        <f t="shared" ref="O5:O41" si="4">R5+S5+T5</f>
        <v>0</v>
      </c>
      <c r="P5" s="46"/>
      <c r="Q5" s="40"/>
      <c r="R5" s="43"/>
      <c r="S5" s="43"/>
      <c r="T5" s="49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>I7-J7</f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>S15+T15</f>
        <v>0</v>
      </c>
      <c r="K15" s="44">
        <f t="shared" si="2"/>
        <v>0</v>
      </c>
      <c r="L15" s="45"/>
      <c r="M15" s="40"/>
      <c r="N15" s="43">
        <f>I15-J15-M15-R15</f>
        <v>0</v>
      </c>
      <c r="O15" s="43">
        <f>R15+S15+T15</f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50"/>
      <c r="B41" s="51"/>
      <c r="C41" s="52"/>
      <c r="D41" s="50"/>
      <c r="E41" s="50"/>
      <c r="F41" s="50"/>
      <c r="G41" s="43">
        <f>F41*6%</f>
        <v>0</v>
      </c>
      <c r="H41" s="53"/>
      <c r="I41" s="78">
        <f t="shared" si="0"/>
        <v>0</v>
      </c>
      <c r="J41" s="54">
        <f t="shared" si="1"/>
        <v>0</v>
      </c>
      <c r="K41" s="54">
        <f t="shared" si="2"/>
        <v>0</v>
      </c>
      <c r="L41" s="55"/>
      <c r="M41" s="50"/>
      <c r="N41" s="53">
        <f t="shared" si="3"/>
        <v>0</v>
      </c>
      <c r="O41" s="53">
        <f t="shared" si="4"/>
        <v>0</v>
      </c>
      <c r="P41" s="56"/>
      <c r="Q41" s="50"/>
      <c r="R41" s="50"/>
      <c r="S41" s="50"/>
      <c r="T41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086" priority="26" operator="containsText" text="SIN FACTURA ">
      <formula>NOT(ISERROR(SEARCH("SIN FACTURA ",A2)))</formula>
    </cfRule>
  </conditionalFormatting>
  <conditionalFormatting sqref="J41:T41 J39:T39 J37:T37 J35:T35 J33:T33 J31:T31 J29:T29 J27:T27 J25:T25 J23:T23 J21:T21 J11:T19 A11:H19 A21:H21 A23:H23 A25:H25 A27:H27 A29:H29 A31:H31 A33:H33 A35:H35 A37:H37 A39:H39 A41:H41 A4:T4 J5:T9 I5:I41 A5:H9">
    <cfRule type="containsText" dxfId="2085" priority="25" operator="containsText" text="SIN FACTURA">
      <formula>NOT(ISERROR(SEARCH("SIN FACTURA",A4)))</formula>
    </cfRule>
  </conditionalFormatting>
  <conditionalFormatting sqref="C10:H10 J10:V10">
    <cfRule type="containsText" dxfId="2084" priority="24" operator="containsText" text="SIN FACTURA">
      <formula>NOT(ISERROR(SEARCH("SIN FACTURA",C10)))</formula>
    </cfRule>
  </conditionalFormatting>
  <conditionalFormatting sqref="C20:H20 J20:V20">
    <cfRule type="containsText" dxfId="2083" priority="23" operator="containsText" text="SIN FACTURA">
      <formula>NOT(ISERROR(SEARCH("SIN FACTURA",C20)))</formula>
    </cfRule>
  </conditionalFormatting>
  <conditionalFormatting sqref="C22:H22 J22:V22">
    <cfRule type="containsText" dxfId="2082" priority="22" operator="containsText" text="SIN FACTURA">
      <formula>NOT(ISERROR(SEARCH("SIN FACTURA",C22)))</formula>
    </cfRule>
  </conditionalFormatting>
  <conditionalFormatting sqref="C24:H24 J24:V24">
    <cfRule type="containsText" dxfId="2081" priority="21" operator="containsText" text="SIN FACTURA">
      <formula>NOT(ISERROR(SEARCH("SIN FACTURA",C24)))</formula>
    </cfRule>
  </conditionalFormatting>
  <conditionalFormatting sqref="C26:H26 J26:V26">
    <cfRule type="containsText" dxfId="2080" priority="20" operator="containsText" text="SIN FACTURA">
      <formula>NOT(ISERROR(SEARCH("SIN FACTURA",C26)))</formula>
    </cfRule>
  </conditionalFormatting>
  <conditionalFormatting sqref="C28:H28 J28:V28">
    <cfRule type="containsText" dxfId="2079" priority="19" operator="containsText" text="SIN FACTURA">
      <formula>NOT(ISERROR(SEARCH("SIN FACTURA",C28)))</formula>
    </cfRule>
  </conditionalFormatting>
  <conditionalFormatting sqref="C30:H30 J30:V30">
    <cfRule type="containsText" dxfId="2078" priority="18" operator="containsText" text="SIN FACTURA">
      <formula>NOT(ISERROR(SEARCH("SIN FACTURA",C30)))</formula>
    </cfRule>
  </conditionalFormatting>
  <conditionalFormatting sqref="C32:H32 J32:V32">
    <cfRule type="containsText" dxfId="2077" priority="17" operator="containsText" text="SIN FACTURA">
      <formula>NOT(ISERROR(SEARCH("SIN FACTURA",C32)))</formula>
    </cfRule>
  </conditionalFormatting>
  <conditionalFormatting sqref="C34:H34 J34:V34">
    <cfRule type="containsText" dxfId="2076" priority="16" operator="containsText" text="SIN FACTURA">
      <formula>NOT(ISERROR(SEARCH("SIN FACTURA",C34)))</formula>
    </cfRule>
  </conditionalFormatting>
  <conditionalFormatting sqref="C36:H36 J36:V36">
    <cfRule type="containsText" dxfId="2075" priority="15" operator="containsText" text="SIN FACTURA">
      <formula>NOT(ISERROR(SEARCH("SIN FACTURA",C36)))</formula>
    </cfRule>
  </conditionalFormatting>
  <conditionalFormatting sqref="C38:H38 J38:V38">
    <cfRule type="containsText" dxfId="2074" priority="14" operator="containsText" text="SIN FACTURA">
      <formula>NOT(ISERROR(SEARCH("SIN FACTURA",C38)))</formula>
    </cfRule>
  </conditionalFormatting>
  <conditionalFormatting sqref="C40:H40 J40:V40">
    <cfRule type="containsText" dxfId="2073" priority="13" operator="containsText" text="SIN FACTURA">
      <formula>NOT(ISERROR(SEARCH("SIN FACTURA",C40)))</formula>
    </cfRule>
  </conditionalFormatting>
  <conditionalFormatting sqref="A10:B10">
    <cfRule type="containsText" dxfId="2072" priority="12" operator="containsText" text="SIN FACTURA">
      <formula>NOT(ISERROR(SEARCH("SIN FACTURA",A10)))</formula>
    </cfRule>
  </conditionalFormatting>
  <conditionalFormatting sqref="A20:B20">
    <cfRule type="containsText" dxfId="2071" priority="11" operator="containsText" text="SIN FACTURA">
      <formula>NOT(ISERROR(SEARCH("SIN FACTURA",A20)))</formula>
    </cfRule>
  </conditionalFormatting>
  <conditionalFormatting sqref="A22:B22">
    <cfRule type="containsText" dxfId="2070" priority="10" operator="containsText" text="SIN FACTURA">
      <formula>NOT(ISERROR(SEARCH("SIN FACTURA",A22)))</formula>
    </cfRule>
  </conditionalFormatting>
  <conditionalFormatting sqref="A24:B24">
    <cfRule type="containsText" dxfId="2069" priority="9" operator="containsText" text="SIN FACTURA">
      <formula>NOT(ISERROR(SEARCH("SIN FACTURA",A24)))</formula>
    </cfRule>
  </conditionalFormatting>
  <conditionalFormatting sqref="A26:B26">
    <cfRule type="containsText" dxfId="2068" priority="8" operator="containsText" text="SIN FACTURA">
      <formula>NOT(ISERROR(SEARCH("SIN FACTURA",A26)))</formula>
    </cfRule>
  </conditionalFormatting>
  <conditionalFormatting sqref="A28:B28">
    <cfRule type="containsText" dxfId="2067" priority="7" operator="containsText" text="SIN FACTURA">
      <formula>NOT(ISERROR(SEARCH("SIN FACTURA",A28)))</formula>
    </cfRule>
  </conditionalFormatting>
  <conditionalFormatting sqref="A40:B40">
    <cfRule type="containsText" dxfId="2066" priority="1" operator="containsText" text="SIN FACTURA">
      <formula>NOT(ISERROR(SEARCH("SIN FACTURA",A40)))</formula>
    </cfRule>
  </conditionalFormatting>
  <conditionalFormatting sqref="A30:B30">
    <cfRule type="containsText" dxfId="2065" priority="6" operator="containsText" text="SIN FACTURA">
      <formula>NOT(ISERROR(SEARCH("SIN FACTURA",A30)))</formula>
    </cfRule>
  </conditionalFormatting>
  <conditionalFormatting sqref="A32:B32">
    <cfRule type="containsText" dxfId="2064" priority="5" operator="containsText" text="SIN FACTURA">
      <formula>NOT(ISERROR(SEARCH("SIN FACTURA",A32)))</formula>
    </cfRule>
  </conditionalFormatting>
  <conditionalFormatting sqref="A34:B34">
    <cfRule type="containsText" dxfId="2063" priority="4" operator="containsText" text="SIN FACTURA">
      <formula>NOT(ISERROR(SEARCH("SIN FACTURA",A34)))</formula>
    </cfRule>
  </conditionalFormatting>
  <conditionalFormatting sqref="A36:B36">
    <cfRule type="containsText" dxfId="2062" priority="3" operator="containsText" text="SIN FACTURA">
      <formula>NOT(ISERROR(SEARCH("SIN FACTURA",A36)))</formula>
    </cfRule>
  </conditionalFormatting>
  <conditionalFormatting sqref="A38:B38">
    <cfRule type="containsText" dxfId="2061" priority="2" operator="containsText" text="SIN FACTURA">
      <formula>NOT(ISERROR(SEARCH("SIN FACTURA",A38)))</formula>
    </cfRule>
  </conditionalFormatting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>
  <sheetPr codeName="Hoja98"/>
  <dimension ref="A1:Y31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20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211</v>
      </c>
      <c r="B1" s="18"/>
      <c r="C1" s="20">
        <v>489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1" si="0">F5-G5-H5</f>
        <v>0</v>
      </c>
      <c r="J5" s="44">
        <f>S5+T5</f>
        <v>0</v>
      </c>
      <c r="K5" s="44">
        <f t="shared" ref="K5:K31" si="1">I5-J5</f>
        <v>0</v>
      </c>
      <c r="L5" s="45"/>
      <c r="M5" s="40"/>
      <c r="N5" s="43">
        <f>I5-J5-M5-R5</f>
        <v>0</v>
      </c>
      <c r="O5" s="43">
        <f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ref="J7:J31" si="2">S7+T7</f>
        <v>0</v>
      </c>
      <c r="K7" s="44">
        <f t="shared" si="1"/>
        <v>0</v>
      </c>
      <c r="L7" s="45"/>
      <c r="M7" s="40"/>
      <c r="N7" s="43">
        <f t="shared" ref="N7:N31" si="3">I7-J7-M7-R7</f>
        <v>0</v>
      </c>
      <c r="O7" s="43">
        <f t="shared" ref="O7:O31" si="4">R7+S7+T7</f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2"/>
        <v>0</v>
      </c>
      <c r="K9" s="44">
        <f t="shared" si="1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2"/>
        <v>0</v>
      </c>
      <c r="K11" s="44">
        <f t="shared" si="1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2"/>
        <v>0</v>
      </c>
      <c r="K13" s="44">
        <f t="shared" si="1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2"/>
        <v>0</v>
      </c>
      <c r="K15" s="44">
        <f t="shared" si="1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2"/>
        <v>0</v>
      </c>
      <c r="K17" s="44">
        <f t="shared" si="1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2"/>
        <v>0</v>
      </c>
      <c r="K19" s="44">
        <f t="shared" si="1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2"/>
        <v>0</v>
      </c>
      <c r="K21" s="44">
        <f t="shared" si="1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2"/>
        <v>0</v>
      </c>
      <c r="K23" s="44">
        <f t="shared" si="1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2"/>
        <v>0</v>
      </c>
      <c r="K25" s="44">
        <f t="shared" si="1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2"/>
        <v>0</v>
      </c>
      <c r="K27" s="44">
        <f t="shared" si="1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2"/>
        <v>0</v>
      </c>
      <c r="K29" s="44">
        <f t="shared" si="1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50"/>
      <c r="B31" s="51"/>
      <c r="C31" s="52"/>
      <c r="D31" s="50"/>
      <c r="E31" s="50"/>
      <c r="F31" s="50"/>
      <c r="G31" s="43">
        <f>F31*6%</f>
        <v>0</v>
      </c>
      <c r="H31" s="53"/>
      <c r="I31" s="78">
        <f t="shared" si="0"/>
        <v>0</v>
      </c>
      <c r="J31" s="54">
        <f t="shared" si="2"/>
        <v>0</v>
      </c>
      <c r="K31" s="54">
        <f t="shared" si="1"/>
        <v>0</v>
      </c>
      <c r="L31" s="55"/>
      <c r="M31" s="50"/>
      <c r="N31" s="53">
        <f t="shared" si="3"/>
        <v>0</v>
      </c>
      <c r="O31" s="53">
        <f t="shared" si="4"/>
        <v>0</v>
      </c>
      <c r="P31" s="56"/>
      <c r="Q31" s="50"/>
      <c r="R31" s="50"/>
      <c r="S31" s="50"/>
      <c r="T31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060" priority="26" operator="containsText" text="SIN FACTURA ">
      <formula>NOT(ISERROR(SEARCH("SIN FACTURA ",A2)))</formula>
    </cfRule>
  </conditionalFormatting>
  <conditionalFormatting sqref="J31:T31 J29:T29 J27:T27 J25:T25 J23:T23 J21:T21 J19:T19 J17:T17 J15:T15 J13:T13 J11:T11 A11:H11 A13:H13 A15:H15 A17:H17 A19:H19 A21:H21 A23:H23 A25:H25 A27:H27 A29:H29 A31:H31 A4:T4 J5:T9 I5:I31 A5:H9">
    <cfRule type="containsText" dxfId="2059" priority="25" operator="containsText" text="SIN FACTURA">
      <formula>NOT(ISERROR(SEARCH("SIN FACTURA",A4)))</formula>
    </cfRule>
  </conditionalFormatting>
  <conditionalFormatting sqref="C10:H10 J10:V10">
    <cfRule type="containsText" dxfId="2058" priority="23" operator="containsText" text="SIN FACTURA">
      <formula>NOT(ISERROR(SEARCH("SIN FACTURA",C10)))</formula>
    </cfRule>
  </conditionalFormatting>
  <conditionalFormatting sqref="C12:H12 J12:V12">
    <cfRule type="containsText" dxfId="2057" priority="22" operator="containsText" text="SIN FACTURA">
      <formula>NOT(ISERROR(SEARCH("SIN FACTURA",C12)))</formula>
    </cfRule>
  </conditionalFormatting>
  <conditionalFormatting sqref="C14:H14 J14:V14">
    <cfRule type="containsText" dxfId="2056" priority="21" operator="containsText" text="SIN FACTURA">
      <formula>NOT(ISERROR(SEARCH("SIN FACTURA",C14)))</formula>
    </cfRule>
  </conditionalFormatting>
  <conditionalFormatting sqref="C16:H16 J16:V16">
    <cfRule type="containsText" dxfId="2055" priority="20" operator="containsText" text="SIN FACTURA">
      <formula>NOT(ISERROR(SEARCH("SIN FACTURA",C16)))</formula>
    </cfRule>
  </conditionalFormatting>
  <conditionalFormatting sqref="C18:H18 J18:V18">
    <cfRule type="containsText" dxfId="2054" priority="19" operator="containsText" text="SIN FACTURA">
      <formula>NOT(ISERROR(SEARCH("SIN FACTURA",C18)))</formula>
    </cfRule>
  </conditionalFormatting>
  <conditionalFormatting sqref="C20:H20 J20:V20">
    <cfRule type="containsText" dxfId="2053" priority="18" operator="containsText" text="SIN FACTURA">
      <formula>NOT(ISERROR(SEARCH("SIN FACTURA",C20)))</formula>
    </cfRule>
  </conditionalFormatting>
  <conditionalFormatting sqref="C22:H22 J22:V22">
    <cfRule type="containsText" dxfId="2052" priority="17" operator="containsText" text="SIN FACTURA">
      <formula>NOT(ISERROR(SEARCH("SIN FACTURA",C22)))</formula>
    </cfRule>
  </conditionalFormatting>
  <conditionalFormatting sqref="C24:H24 J24:V24">
    <cfRule type="containsText" dxfId="2051" priority="16" operator="containsText" text="SIN FACTURA">
      <formula>NOT(ISERROR(SEARCH("SIN FACTURA",C24)))</formula>
    </cfRule>
  </conditionalFormatting>
  <conditionalFormatting sqref="C26:H26 J26:V26">
    <cfRule type="containsText" dxfId="2050" priority="15" operator="containsText" text="SIN FACTURA">
      <formula>NOT(ISERROR(SEARCH("SIN FACTURA",C26)))</formula>
    </cfRule>
  </conditionalFormatting>
  <conditionalFormatting sqref="C28:H28 J28:V28">
    <cfRule type="containsText" dxfId="2049" priority="14" operator="containsText" text="SIN FACTURA">
      <formula>NOT(ISERROR(SEARCH("SIN FACTURA",C28)))</formula>
    </cfRule>
  </conditionalFormatting>
  <conditionalFormatting sqref="C30:H30 J30:V30">
    <cfRule type="containsText" dxfId="2048" priority="13" operator="containsText" text="SIN FACTURA">
      <formula>NOT(ISERROR(SEARCH("SIN FACTURA",C30)))</formula>
    </cfRule>
  </conditionalFormatting>
  <conditionalFormatting sqref="A10:B10">
    <cfRule type="containsText" dxfId="2047" priority="11" operator="containsText" text="SIN FACTURA">
      <formula>NOT(ISERROR(SEARCH("SIN FACTURA",A10)))</formula>
    </cfRule>
  </conditionalFormatting>
  <conditionalFormatting sqref="A12:B12">
    <cfRule type="containsText" dxfId="2046" priority="10" operator="containsText" text="SIN FACTURA">
      <formula>NOT(ISERROR(SEARCH("SIN FACTURA",A12)))</formula>
    </cfRule>
  </conditionalFormatting>
  <conditionalFormatting sqref="A14:B14">
    <cfRule type="containsText" dxfId="2045" priority="9" operator="containsText" text="SIN FACTURA">
      <formula>NOT(ISERROR(SEARCH("SIN FACTURA",A14)))</formula>
    </cfRule>
  </conditionalFormatting>
  <conditionalFormatting sqref="A16:B16">
    <cfRule type="containsText" dxfId="2044" priority="8" operator="containsText" text="SIN FACTURA">
      <formula>NOT(ISERROR(SEARCH("SIN FACTURA",A16)))</formula>
    </cfRule>
  </conditionalFormatting>
  <conditionalFormatting sqref="A18:B18">
    <cfRule type="containsText" dxfId="2043" priority="7" operator="containsText" text="SIN FACTURA">
      <formula>NOT(ISERROR(SEARCH("SIN FACTURA",A18)))</formula>
    </cfRule>
  </conditionalFormatting>
  <conditionalFormatting sqref="A30:B30">
    <cfRule type="containsText" dxfId="2042" priority="1" operator="containsText" text="SIN FACTURA">
      <formula>NOT(ISERROR(SEARCH("SIN FACTURA",A30)))</formula>
    </cfRule>
  </conditionalFormatting>
  <conditionalFormatting sqref="A20:B20">
    <cfRule type="containsText" dxfId="2041" priority="6" operator="containsText" text="SIN FACTURA">
      <formula>NOT(ISERROR(SEARCH("SIN FACTURA",A20)))</formula>
    </cfRule>
  </conditionalFormatting>
  <conditionalFormatting sqref="A22:B22">
    <cfRule type="containsText" dxfId="2040" priority="5" operator="containsText" text="SIN FACTURA">
      <formula>NOT(ISERROR(SEARCH("SIN FACTURA",A22)))</formula>
    </cfRule>
  </conditionalFormatting>
  <conditionalFormatting sqref="A24:B24">
    <cfRule type="containsText" dxfId="2039" priority="4" operator="containsText" text="SIN FACTURA">
      <formula>NOT(ISERROR(SEARCH("SIN FACTURA",A24)))</formula>
    </cfRule>
  </conditionalFormatting>
  <conditionalFormatting sqref="A26:B26">
    <cfRule type="containsText" dxfId="2038" priority="3" operator="containsText" text="SIN FACTURA">
      <formula>NOT(ISERROR(SEARCH("SIN FACTURA",A26)))</formula>
    </cfRule>
  </conditionalFormatting>
  <conditionalFormatting sqref="A28:B28">
    <cfRule type="containsText" dxfId="2037" priority="2" operator="containsText" text="SIN FACTURA">
      <formula>NOT(ISERROR(SEARCH("SIN FACTURA",A28)))</formula>
    </cfRule>
  </conditionalFormatting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>
  <sheetPr codeName="Hoja100"/>
  <dimension ref="A1:Y25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5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167</v>
      </c>
      <c r="B1" s="18"/>
      <c r="C1" s="20"/>
      <c r="D1" s="5">
        <v>473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25" si="0">F5-G5-H5</f>
        <v>0</v>
      </c>
      <c r="J5" s="44">
        <f t="shared" ref="J5:J25" si="1">S5+T5</f>
        <v>0</v>
      </c>
      <c r="K5" s="44">
        <f t="shared" ref="K5:K25" si="2">I5-J5</f>
        <v>0</v>
      </c>
      <c r="L5" s="45"/>
      <c r="M5" s="40"/>
      <c r="N5" s="43">
        <f t="shared" ref="N5:N25" si="3">I5-J5-M5-R5</f>
        <v>0</v>
      </c>
      <c r="O5" s="43">
        <f t="shared" ref="O5:O25" si="4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2"/>
      <c r="D6" s="33"/>
      <c r="E6" s="34"/>
      <c r="F6" s="32"/>
      <c r="G6" s="37"/>
      <c r="H6" s="32"/>
      <c r="I6" s="37">
        <f t="shared" si="0"/>
        <v>0</v>
      </c>
      <c r="J6" s="37"/>
      <c r="K6" s="35"/>
      <c r="L6" s="35"/>
      <c r="M6" s="35"/>
      <c r="N6" s="36"/>
      <c r="O6" s="32"/>
      <c r="P6" s="37"/>
      <c r="Q6" s="37"/>
      <c r="R6" s="38"/>
      <c r="S6" s="32"/>
      <c r="T6" s="39"/>
      <c r="U6" s="6"/>
      <c r="V6" s="6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  <c r="U8" s="6"/>
      <c r="V8" s="6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  <c r="U10" s="6"/>
      <c r="V10" s="6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50"/>
      <c r="B25" s="51"/>
      <c r="C25" s="52"/>
      <c r="D25" s="50"/>
      <c r="E25" s="50"/>
      <c r="F25" s="50"/>
      <c r="G25" s="43">
        <f>F25*6%</f>
        <v>0</v>
      </c>
      <c r="H25" s="53"/>
      <c r="I25" s="78">
        <f t="shared" si="0"/>
        <v>0</v>
      </c>
      <c r="J25" s="54">
        <f t="shared" si="1"/>
        <v>0</v>
      </c>
      <c r="K25" s="54">
        <f t="shared" si="2"/>
        <v>0</v>
      </c>
      <c r="L25" s="55"/>
      <c r="M25" s="50"/>
      <c r="N25" s="53">
        <f t="shared" si="3"/>
        <v>0</v>
      </c>
      <c r="O25" s="53">
        <f t="shared" si="4"/>
        <v>0</v>
      </c>
      <c r="P25" s="56"/>
      <c r="Q25" s="50"/>
      <c r="R25" s="50"/>
      <c r="S25" s="50"/>
      <c r="T25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036" priority="26" operator="containsText" text="SIN FACTURA ">
      <formula>NOT(ISERROR(SEARCH("SIN FACTURA ",A2)))</formula>
    </cfRule>
  </conditionalFormatting>
  <conditionalFormatting sqref="J25:T25 J23:T23 J21:T21 J19:T19 J17:T17 J15:T15 J13:T13 J11:T11 J9:T9 J7:T7 J5:T5 A5:H5 A7:H7 A9:H9 A11:H11 A13:H13 A15:H15 A17:H17 A19:H19 A21:H21 A23:H23 A25:H25 A4:T4 I5:I25">
    <cfRule type="containsText" dxfId="2035" priority="25" operator="containsText" text="SIN FACTURA">
      <formula>NOT(ISERROR(SEARCH("SIN FACTURA",A4)))</formula>
    </cfRule>
  </conditionalFormatting>
  <conditionalFormatting sqref="C6:H6 J6:V6">
    <cfRule type="containsText" dxfId="2034" priority="22" operator="containsText" text="SIN FACTURA">
      <formula>NOT(ISERROR(SEARCH("SIN FACTURA",C6)))</formula>
    </cfRule>
  </conditionalFormatting>
  <conditionalFormatting sqref="C8:H8 J8:V8">
    <cfRule type="containsText" dxfId="2033" priority="21" operator="containsText" text="SIN FACTURA">
      <formula>NOT(ISERROR(SEARCH("SIN FACTURA",C8)))</formula>
    </cfRule>
  </conditionalFormatting>
  <conditionalFormatting sqref="C10:H10 J10:V10">
    <cfRule type="containsText" dxfId="2032" priority="20" operator="containsText" text="SIN FACTURA">
      <formula>NOT(ISERROR(SEARCH("SIN FACTURA",C10)))</formula>
    </cfRule>
  </conditionalFormatting>
  <conditionalFormatting sqref="C12:H12 J12:V12">
    <cfRule type="containsText" dxfId="2031" priority="19" operator="containsText" text="SIN FACTURA">
      <formula>NOT(ISERROR(SEARCH("SIN FACTURA",C12)))</formula>
    </cfRule>
  </conditionalFormatting>
  <conditionalFormatting sqref="C14:H14 J14:V14">
    <cfRule type="containsText" dxfId="2030" priority="18" operator="containsText" text="SIN FACTURA">
      <formula>NOT(ISERROR(SEARCH("SIN FACTURA",C14)))</formula>
    </cfRule>
  </conditionalFormatting>
  <conditionalFormatting sqref="C16:H16 J16:V16">
    <cfRule type="containsText" dxfId="2029" priority="17" operator="containsText" text="SIN FACTURA">
      <formula>NOT(ISERROR(SEARCH("SIN FACTURA",C16)))</formula>
    </cfRule>
  </conditionalFormatting>
  <conditionalFormatting sqref="C18:H18 J18:V18">
    <cfRule type="containsText" dxfId="2028" priority="16" operator="containsText" text="SIN FACTURA">
      <formula>NOT(ISERROR(SEARCH("SIN FACTURA",C18)))</formula>
    </cfRule>
  </conditionalFormatting>
  <conditionalFormatting sqref="C20:H20 J20:V20">
    <cfRule type="containsText" dxfId="2027" priority="15" operator="containsText" text="SIN FACTURA">
      <formula>NOT(ISERROR(SEARCH("SIN FACTURA",C20)))</formula>
    </cfRule>
  </conditionalFormatting>
  <conditionalFormatting sqref="C22:H22 J22:V22">
    <cfRule type="containsText" dxfId="2026" priority="14" operator="containsText" text="SIN FACTURA">
      <formula>NOT(ISERROR(SEARCH("SIN FACTURA",C22)))</formula>
    </cfRule>
  </conditionalFormatting>
  <conditionalFormatting sqref="C24:H24 J24:V24">
    <cfRule type="containsText" dxfId="2025" priority="13" operator="containsText" text="SIN FACTURA">
      <formula>NOT(ISERROR(SEARCH("SIN FACTURA",C24)))</formula>
    </cfRule>
  </conditionalFormatting>
  <conditionalFormatting sqref="A6:B6">
    <cfRule type="containsText" dxfId="2024" priority="10" operator="containsText" text="SIN FACTURA">
      <formula>NOT(ISERROR(SEARCH("SIN FACTURA",A6)))</formula>
    </cfRule>
  </conditionalFormatting>
  <conditionalFormatting sqref="A8:B8">
    <cfRule type="containsText" dxfId="2023" priority="9" operator="containsText" text="SIN FACTURA">
      <formula>NOT(ISERROR(SEARCH("SIN FACTURA",A8)))</formula>
    </cfRule>
  </conditionalFormatting>
  <conditionalFormatting sqref="A10:B10">
    <cfRule type="containsText" dxfId="2022" priority="8" operator="containsText" text="SIN FACTURA">
      <formula>NOT(ISERROR(SEARCH("SIN FACTURA",A10)))</formula>
    </cfRule>
  </conditionalFormatting>
  <conditionalFormatting sqref="A12:B12">
    <cfRule type="containsText" dxfId="2021" priority="7" operator="containsText" text="SIN FACTURA">
      <formula>NOT(ISERROR(SEARCH("SIN FACTURA",A12)))</formula>
    </cfRule>
  </conditionalFormatting>
  <conditionalFormatting sqref="A24:B24">
    <cfRule type="containsText" dxfId="2020" priority="1" operator="containsText" text="SIN FACTURA">
      <formula>NOT(ISERROR(SEARCH("SIN FACTURA",A24)))</formula>
    </cfRule>
  </conditionalFormatting>
  <conditionalFormatting sqref="A14:B14">
    <cfRule type="containsText" dxfId="2019" priority="6" operator="containsText" text="SIN FACTURA">
      <formula>NOT(ISERROR(SEARCH("SIN FACTURA",A14)))</formula>
    </cfRule>
  </conditionalFormatting>
  <conditionalFormatting sqref="A16:B16">
    <cfRule type="containsText" dxfId="2018" priority="5" operator="containsText" text="SIN FACTURA">
      <formula>NOT(ISERROR(SEARCH("SIN FACTURA",A16)))</formula>
    </cfRule>
  </conditionalFormatting>
  <conditionalFormatting sqref="A18:B18">
    <cfRule type="containsText" dxfId="2017" priority="4" operator="containsText" text="SIN FACTURA">
      <formula>NOT(ISERROR(SEARCH("SIN FACTURA",A18)))</formula>
    </cfRule>
  </conditionalFormatting>
  <conditionalFormatting sqref="A20:B20">
    <cfRule type="containsText" dxfId="2016" priority="3" operator="containsText" text="SIN FACTURA">
      <formula>NOT(ISERROR(SEARCH("SIN FACTURA",A20)))</formula>
    </cfRule>
  </conditionalFormatting>
  <conditionalFormatting sqref="A22:B22">
    <cfRule type="containsText" dxfId="2015" priority="2" operator="containsText" text="SIN FACTURA">
      <formula>NOT(ISERROR(SEARCH("SIN FACTURA",A22)))</formula>
    </cfRule>
  </conditionalFormatting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>
  <dimension ref="A1:Y43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8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296">
        <v>499</v>
      </c>
      <c r="B1" s="4" t="s">
        <v>262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244"/>
      <c r="E4" s="244"/>
      <c r="F4" s="244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78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014" priority="26" operator="containsText" text="SIN FACTURA ">
      <formula>NOT(ISERROR(SEARCH("SIN FACTURA ",A2)))</formula>
    </cfRule>
  </conditionalFormatting>
  <conditionalFormatting sqref="J43:T43 J41:T41 J39:T39 J37:T37 J35:T35 J33:T33 J31:T31 J29:T29 J27:T27 J25:T25 J23:T23 J13:T21 J12:V12 J22:V22 J24:V24 J26:V26 J28:V28 J30:V30 J32:V32 J34:V34 J36:V36 J38:V38 J40:V40 J42:V42 J5:T11 A4:T4 A5:I43">
    <cfRule type="containsText" dxfId="2013" priority="25" operator="containsText" text="SIN FACTURA">
      <formula>NOT(ISERROR(SEARCH("SIN FACTURA",A4)))</formula>
    </cfRule>
  </conditionalFormatting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>
  <sheetPr codeName="Hoja103"/>
  <dimension ref="A1:Y41"/>
  <sheetViews>
    <sheetView zoomScale="125" zoomScaleNormal="125" zoomScalePageLayoutView="125" workbookViewId="0">
      <pane ySplit="4" topLeftCell="A27" activePane="bottomLeft" state="frozen"/>
      <selection activeCell="D26" sqref="D26"/>
      <selection pane="bottomLeft" activeCell="A27" sqref="A27:XFD28"/>
    </sheetView>
  </sheetViews>
  <sheetFormatPr baseColWidth="10" defaultColWidth="10.875" defaultRowHeight="15.75"/>
  <cols>
    <col min="1" max="1" width="19.125" style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5" width="10.875" style="1"/>
    <col min="16" max="16" width="10.875" style="258"/>
    <col min="17" max="17" width="15.125" style="2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415</v>
      </c>
      <c r="B1" s="18" t="s">
        <v>140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254"/>
      <c r="Q1" s="22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47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251"/>
      <c r="Q4" s="118"/>
      <c r="R4" s="32"/>
      <c r="S4" s="32"/>
      <c r="T4" s="39"/>
    </row>
    <row r="5" spans="1:25" ht="15">
      <c r="A5" s="40" t="s">
        <v>179</v>
      </c>
      <c r="B5" s="41">
        <v>43501</v>
      </c>
      <c r="C5" s="42" t="s">
        <v>180</v>
      </c>
      <c r="D5" s="40">
        <v>308.32</v>
      </c>
      <c r="E5" s="40" t="s">
        <v>112</v>
      </c>
      <c r="F5" s="40">
        <v>308.32</v>
      </c>
      <c r="G5" s="43">
        <f>F5*6%</f>
        <v>18.499199999999998</v>
      </c>
      <c r="H5" s="43"/>
      <c r="I5" s="44">
        <f>F5-G5-H5</f>
        <v>289.82080000000002</v>
      </c>
      <c r="J5" s="44">
        <f t="shared" ref="J5:J41" si="0">S5+T5</f>
        <v>59.88</v>
      </c>
      <c r="K5" s="44">
        <f t="shared" ref="K5:K41" si="1">I5-J5</f>
        <v>229.94080000000002</v>
      </c>
      <c r="L5" s="45">
        <v>43510</v>
      </c>
      <c r="M5" s="40"/>
      <c r="N5" s="43">
        <f t="shared" ref="N5:N41" si="2">I5-J5-M5-R5</f>
        <v>1.0800000000017462E-2</v>
      </c>
      <c r="O5" s="43">
        <f t="shared" ref="O5:O41" si="3">R5+S5+T5</f>
        <v>289.81</v>
      </c>
      <c r="P5" s="255" t="s">
        <v>190</v>
      </c>
      <c r="Q5" s="67" t="s">
        <v>189</v>
      </c>
      <c r="R5" s="40">
        <v>229.93</v>
      </c>
      <c r="S5" s="40">
        <v>56.96</v>
      </c>
      <c r="T5" s="5">
        <v>2.92</v>
      </c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251"/>
      <c r="Q6" s="118"/>
      <c r="R6" s="32"/>
      <c r="S6" s="32"/>
      <c r="T6" s="39"/>
    </row>
    <row r="7" spans="1:25" ht="15">
      <c r="A7" s="40" t="s">
        <v>183</v>
      </c>
      <c r="B7" s="41">
        <v>43501</v>
      </c>
      <c r="C7" s="42" t="s">
        <v>184</v>
      </c>
      <c r="D7" s="40">
        <v>660</v>
      </c>
      <c r="E7" s="40" t="s">
        <v>112</v>
      </c>
      <c r="F7" s="40">
        <v>660</v>
      </c>
      <c r="G7" s="43">
        <f>F7*6%</f>
        <v>39.6</v>
      </c>
      <c r="H7" s="43"/>
      <c r="I7" s="44">
        <f>F7-G7-H7</f>
        <v>620.4</v>
      </c>
      <c r="J7" s="44">
        <f t="shared" si="0"/>
        <v>132.36000000000001</v>
      </c>
      <c r="K7" s="44">
        <f t="shared" si="1"/>
        <v>488.03999999999996</v>
      </c>
      <c r="L7" s="45">
        <v>43510</v>
      </c>
      <c r="M7" s="40"/>
      <c r="N7" s="43">
        <f t="shared" si="2"/>
        <v>0</v>
      </c>
      <c r="O7" s="43">
        <f t="shared" si="3"/>
        <v>620.4</v>
      </c>
      <c r="P7" s="255" t="s">
        <v>191</v>
      </c>
      <c r="Q7" s="67" t="s">
        <v>117</v>
      </c>
      <c r="R7" s="47">
        <v>488.03999999999996</v>
      </c>
      <c r="S7" s="47">
        <v>125.9</v>
      </c>
      <c r="T7" s="48">
        <v>6.46</v>
      </c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251"/>
      <c r="Q8" s="118"/>
      <c r="R8" s="32"/>
      <c r="S8" s="32"/>
      <c r="T8" s="39"/>
    </row>
    <row r="9" spans="1:25" ht="15">
      <c r="A9" s="40" t="s">
        <v>197</v>
      </c>
      <c r="B9" s="41">
        <v>43523</v>
      </c>
      <c r="C9" s="42" t="s">
        <v>198</v>
      </c>
      <c r="D9" s="40">
        <v>243.64</v>
      </c>
      <c r="E9" s="40" t="s">
        <v>112</v>
      </c>
      <c r="F9" s="40">
        <v>243.64</v>
      </c>
      <c r="G9" s="43">
        <f>F9*6%</f>
        <v>14.618399999999999</v>
      </c>
      <c r="H9" s="43"/>
      <c r="I9" s="44">
        <f>F9-G9-H9</f>
        <v>229.02159999999998</v>
      </c>
      <c r="J9" s="44">
        <f t="shared" si="0"/>
        <v>70.819999999999993</v>
      </c>
      <c r="K9" s="44">
        <f t="shared" si="1"/>
        <v>158.20159999999998</v>
      </c>
      <c r="L9" s="45">
        <v>43531</v>
      </c>
      <c r="M9" s="40"/>
      <c r="N9" s="43">
        <f t="shared" si="2"/>
        <v>1.5999999999962711E-3</v>
      </c>
      <c r="O9" s="43">
        <f t="shared" si="3"/>
        <v>229.02</v>
      </c>
      <c r="P9" s="255" t="s">
        <v>201</v>
      </c>
      <c r="Q9" s="67" t="s">
        <v>117</v>
      </c>
      <c r="R9" s="43">
        <v>158.19999999999999</v>
      </c>
      <c r="S9" s="43">
        <v>67.36</v>
      </c>
      <c r="T9" s="49">
        <v>3.46</v>
      </c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251"/>
      <c r="Q10" s="118"/>
      <c r="R10" s="32"/>
      <c r="S10" s="32"/>
      <c r="T10" s="39"/>
    </row>
    <row r="11" spans="1:25">
      <c r="A11" s="40" t="s">
        <v>234</v>
      </c>
      <c r="B11" s="41">
        <v>43682</v>
      </c>
      <c r="C11" s="42" t="s">
        <v>235</v>
      </c>
      <c r="D11" s="40">
        <v>181.5</v>
      </c>
      <c r="E11" s="40">
        <v>31.5</v>
      </c>
      <c r="F11" s="40">
        <v>150</v>
      </c>
      <c r="G11" s="43">
        <f>F11*6%</f>
        <v>9</v>
      </c>
      <c r="H11" s="43"/>
      <c r="I11" s="44">
        <f>F11-G11-H11</f>
        <v>141</v>
      </c>
      <c r="J11" s="44">
        <f>S11+T11</f>
        <v>35.35</v>
      </c>
      <c r="K11" s="44">
        <f>I11-J11</f>
        <v>105.65</v>
      </c>
      <c r="L11" s="45">
        <v>43685</v>
      </c>
      <c r="M11" s="40"/>
      <c r="N11" s="43">
        <f t="shared" si="2"/>
        <v>-9.9999999999909051E-3</v>
      </c>
      <c r="O11" s="43">
        <f t="shared" si="3"/>
        <v>141.01</v>
      </c>
      <c r="P11" s="246" t="s">
        <v>265</v>
      </c>
      <c r="Q11" s="252" t="s">
        <v>116</v>
      </c>
      <c r="R11" s="47">
        <v>105.66</v>
      </c>
      <c r="S11" s="47">
        <v>33.630000000000003</v>
      </c>
      <c r="T11" s="48">
        <v>1.72</v>
      </c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251"/>
      <c r="Q12" s="118"/>
      <c r="R12" s="32"/>
      <c r="S12" s="32"/>
      <c r="T12" s="39"/>
    </row>
    <row r="13" spans="1:25" ht="15">
      <c r="A13" s="40" t="s">
        <v>239</v>
      </c>
      <c r="B13" s="222">
        <v>43655</v>
      </c>
      <c r="C13" s="42" t="s">
        <v>240</v>
      </c>
      <c r="D13" s="40">
        <v>181.5</v>
      </c>
      <c r="E13" s="40">
        <v>31.5</v>
      </c>
      <c r="F13" s="40">
        <v>150</v>
      </c>
      <c r="G13" s="43">
        <f>F13*6%</f>
        <v>9</v>
      </c>
      <c r="H13" s="43"/>
      <c r="I13" s="44">
        <f>F13-G13-H13</f>
        <v>141</v>
      </c>
      <c r="J13" s="44">
        <f t="shared" si="0"/>
        <v>35.349999999999994</v>
      </c>
      <c r="K13" s="44">
        <f t="shared" si="1"/>
        <v>105.65</v>
      </c>
      <c r="L13" s="45">
        <v>43657</v>
      </c>
      <c r="M13" s="40"/>
      <c r="N13" s="43">
        <f t="shared" si="2"/>
        <v>0</v>
      </c>
      <c r="O13" s="43">
        <f t="shared" si="3"/>
        <v>141</v>
      </c>
      <c r="P13" s="255" t="s">
        <v>250</v>
      </c>
      <c r="Q13" s="67" t="s">
        <v>116</v>
      </c>
      <c r="R13" s="47">
        <v>105.65</v>
      </c>
      <c r="S13" s="47">
        <v>33.629999999999995</v>
      </c>
      <c r="T13" s="48">
        <v>1.72</v>
      </c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256"/>
      <c r="Q14" s="248"/>
      <c r="R14" s="38"/>
      <c r="S14" s="32"/>
      <c r="T14" s="39"/>
    </row>
    <row r="15" spans="1:25" ht="15">
      <c r="A15" s="40" t="s">
        <v>248</v>
      </c>
      <c r="B15" s="41">
        <v>43661</v>
      </c>
      <c r="C15" s="42" t="s">
        <v>249</v>
      </c>
      <c r="D15" s="40">
        <v>181.5</v>
      </c>
      <c r="E15" s="40">
        <v>31.5</v>
      </c>
      <c r="F15" s="40">
        <v>150</v>
      </c>
      <c r="G15" s="43">
        <f>F15*6%</f>
        <v>9</v>
      </c>
      <c r="H15" s="43"/>
      <c r="I15" s="44">
        <f>F15-G15-H15</f>
        <v>141</v>
      </c>
      <c r="J15" s="44">
        <f t="shared" si="0"/>
        <v>35.349999999999994</v>
      </c>
      <c r="K15" s="44">
        <f t="shared" si="1"/>
        <v>105.65</v>
      </c>
      <c r="L15" s="45">
        <v>43664</v>
      </c>
      <c r="M15" s="40"/>
      <c r="N15" s="43">
        <f t="shared" si="2"/>
        <v>0</v>
      </c>
      <c r="O15" s="43">
        <f t="shared" si="3"/>
        <v>141</v>
      </c>
      <c r="P15" s="255" t="s">
        <v>148</v>
      </c>
      <c r="Q15" s="67" t="s">
        <v>116</v>
      </c>
      <c r="R15" s="47">
        <v>105.65</v>
      </c>
      <c r="S15" s="47">
        <v>33.629999999999995</v>
      </c>
      <c r="T15" s="48">
        <v>1.72</v>
      </c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251"/>
      <c r="Q16" s="118"/>
      <c r="R16" s="32"/>
      <c r="S16" s="32"/>
      <c r="T16" s="39"/>
    </row>
    <row r="17" spans="1:22" ht="15">
      <c r="A17" s="40" t="s">
        <v>253</v>
      </c>
      <c r="B17" s="41">
        <v>43678</v>
      </c>
      <c r="C17" s="42" t="s">
        <v>254</v>
      </c>
      <c r="D17" s="40">
        <v>181.5</v>
      </c>
      <c r="E17" s="40">
        <v>31.5</v>
      </c>
      <c r="F17" s="40">
        <v>150</v>
      </c>
      <c r="G17" s="43">
        <f>F17*6%</f>
        <v>9</v>
      </c>
      <c r="H17" s="43"/>
      <c r="I17" s="44">
        <f>F17-G17-H17</f>
        <v>141</v>
      </c>
      <c r="J17" s="44">
        <f t="shared" si="0"/>
        <v>35.35</v>
      </c>
      <c r="K17" s="44">
        <f t="shared" si="1"/>
        <v>105.65</v>
      </c>
      <c r="L17" s="45">
        <v>43685</v>
      </c>
      <c r="M17" s="40"/>
      <c r="N17" s="43">
        <f t="shared" si="2"/>
        <v>0</v>
      </c>
      <c r="O17" s="43">
        <f t="shared" si="3"/>
        <v>141</v>
      </c>
      <c r="P17" s="246" t="s">
        <v>266</v>
      </c>
      <c r="Q17" s="249" t="s">
        <v>116</v>
      </c>
      <c r="R17" s="40">
        <v>105.65</v>
      </c>
      <c r="S17" s="40">
        <v>33.630000000000003</v>
      </c>
      <c r="T17" s="5">
        <v>1.72</v>
      </c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251"/>
      <c r="Q18" s="253"/>
      <c r="R18" s="32"/>
      <c r="S18" s="32"/>
      <c r="T18" s="39"/>
    </row>
    <row r="19" spans="1:22" ht="15">
      <c r="A19" s="40" t="s">
        <v>256</v>
      </c>
      <c r="B19" s="41">
        <v>43682</v>
      </c>
      <c r="C19" s="42" t="s">
        <v>257</v>
      </c>
      <c r="D19" s="40">
        <v>181.5</v>
      </c>
      <c r="E19" s="40">
        <v>31.5</v>
      </c>
      <c r="F19" s="40">
        <v>150</v>
      </c>
      <c r="G19" s="43">
        <f>F19*6%</f>
        <v>9</v>
      </c>
      <c r="H19" s="43"/>
      <c r="I19" s="44">
        <f>F19-G19-H19</f>
        <v>141</v>
      </c>
      <c r="J19" s="44">
        <f t="shared" si="0"/>
        <v>35.35</v>
      </c>
      <c r="K19" s="44">
        <f t="shared" si="1"/>
        <v>105.65</v>
      </c>
      <c r="L19" s="45">
        <v>43685</v>
      </c>
      <c r="M19" s="40"/>
      <c r="N19" s="43">
        <f t="shared" si="2"/>
        <v>0</v>
      </c>
      <c r="O19" s="43">
        <f t="shared" si="3"/>
        <v>141</v>
      </c>
      <c r="P19" s="246" t="s">
        <v>269</v>
      </c>
      <c r="Q19" s="249" t="s">
        <v>116</v>
      </c>
      <c r="R19" s="47">
        <v>105.65</v>
      </c>
      <c r="S19" s="47">
        <v>33.630000000000003</v>
      </c>
      <c r="T19" s="48">
        <v>1.72</v>
      </c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251"/>
      <c r="Q20" s="118"/>
      <c r="R20" s="32"/>
      <c r="S20" s="32"/>
      <c r="T20" s="39"/>
    </row>
    <row r="21" spans="1:22" ht="15">
      <c r="A21" s="40" t="s">
        <v>273</v>
      </c>
      <c r="B21" s="41">
        <v>43717</v>
      </c>
      <c r="C21" s="42" t="s">
        <v>274</v>
      </c>
      <c r="D21" s="40">
        <v>2669.55</v>
      </c>
      <c r="E21" s="40" t="s">
        <v>112</v>
      </c>
      <c r="F21" s="40">
        <v>2669.55</v>
      </c>
      <c r="G21" s="43">
        <f>F21*6%</f>
        <v>160.173</v>
      </c>
      <c r="H21" s="43"/>
      <c r="I21" s="44">
        <f>F21-G21-H21</f>
        <v>2509.3770000000004</v>
      </c>
      <c r="J21" s="44">
        <f t="shared" si="0"/>
        <v>491.05999999999995</v>
      </c>
      <c r="K21" s="44">
        <f t="shared" si="1"/>
        <v>2018.3170000000005</v>
      </c>
      <c r="L21" s="45">
        <v>43720</v>
      </c>
      <c r="M21" s="40"/>
      <c r="N21" s="43">
        <f t="shared" si="2"/>
        <v>1.7000000000507498E-2</v>
      </c>
      <c r="O21" s="43">
        <f t="shared" si="3"/>
        <v>2509.36</v>
      </c>
      <c r="P21" s="255" t="s">
        <v>278</v>
      </c>
      <c r="Q21" s="67" t="s">
        <v>117</v>
      </c>
      <c r="R21" s="40">
        <v>2018.3</v>
      </c>
      <c r="S21" s="40">
        <v>463.03999999999996</v>
      </c>
      <c r="T21" s="5">
        <v>28.02</v>
      </c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256"/>
      <c r="Q22" s="248"/>
      <c r="R22" s="38"/>
      <c r="S22" s="32"/>
      <c r="T22" s="39"/>
    </row>
    <row r="23" spans="1:22" ht="15">
      <c r="A23" s="40" t="s">
        <v>282</v>
      </c>
      <c r="B23" s="41">
        <v>43746</v>
      </c>
      <c r="C23" s="42" t="s">
        <v>283</v>
      </c>
      <c r="D23" s="40">
        <v>161.32</v>
      </c>
      <c r="E23" s="40" t="s">
        <v>112</v>
      </c>
      <c r="F23" s="40">
        <v>161.32</v>
      </c>
      <c r="G23" s="43">
        <f>F23*6%</f>
        <v>9.6791999999999998</v>
      </c>
      <c r="H23" s="43"/>
      <c r="I23" s="44">
        <f>F23-G23-H23</f>
        <v>151.64079999999998</v>
      </c>
      <c r="J23" s="44">
        <f t="shared" si="0"/>
        <v>46.88</v>
      </c>
      <c r="K23" s="44">
        <f t="shared" si="1"/>
        <v>104.76079999999999</v>
      </c>
      <c r="L23" s="45">
        <v>43749</v>
      </c>
      <c r="M23" s="40"/>
      <c r="N23" s="43">
        <f t="shared" si="2"/>
        <v>7.9999999998392468E-4</v>
      </c>
      <c r="O23" s="43">
        <f t="shared" si="3"/>
        <v>151.64000000000001</v>
      </c>
      <c r="P23" s="255" t="s">
        <v>286</v>
      </c>
      <c r="Q23" s="67" t="s">
        <v>225</v>
      </c>
      <c r="R23" s="40">
        <v>104.76</v>
      </c>
      <c r="S23" s="40">
        <v>44.59</v>
      </c>
      <c r="T23" s="5">
        <v>2.29</v>
      </c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256"/>
      <c r="Q24" s="248"/>
      <c r="R24" s="38"/>
      <c r="S24" s="32"/>
      <c r="T24" s="39"/>
      <c r="U24" s="6"/>
      <c r="V24" s="6"/>
    </row>
    <row r="25" spans="1:22" ht="15">
      <c r="A25" s="40" t="s">
        <v>290</v>
      </c>
      <c r="B25" s="41">
        <v>43769</v>
      </c>
      <c r="C25" s="42" t="s">
        <v>291</v>
      </c>
      <c r="D25" s="40">
        <v>1307.6500000000001</v>
      </c>
      <c r="E25" s="40" t="s">
        <v>112</v>
      </c>
      <c r="F25" s="40">
        <v>1307.6500000000001</v>
      </c>
      <c r="G25" s="43">
        <f>F25*6%</f>
        <v>78.459000000000003</v>
      </c>
      <c r="H25" s="43"/>
      <c r="I25" s="44">
        <f>F25-G25-H25</f>
        <v>1229.191</v>
      </c>
      <c r="J25" s="44">
        <f t="shared" si="0"/>
        <v>217.18</v>
      </c>
      <c r="K25" s="44">
        <f t="shared" si="1"/>
        <v>1012.011</v>
      </c>
      <c r="L25" s="45">
        <v>43776</v>
      </c>
      <c r="M25" s="40"/>
      <c r="N25" s="43">
        <f t="shared" si="2"/>
        <v>9.9999999997635314E-4</v>
      </c>
      <c r="O25" s="43">
        <f t="shared" si="3"/>
        <v>1229.19</v>
      </c>
      <c r="P25" s="255" t="s">
        <v>294</v>
      </c>
      <c r="Q25" s="67" t="s">
        <v>295</v>
      </c>
      <c r="R25" s="40">
        <v>1012.01</v>
      </c>
      <c r="S25" s="40">
        <v>201.74</v>
      </c>
      <c r="T25" s="5">
        <v>15.44</v>
      </c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256"/>
      <c r="Q26" s="248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>F27-G27-H27</f>
        <v>0</v>
      </c>
      <c r="J27" s="44">
        <f t="shared" si="0"/>
        <v>0</v>
      </c>
      <c r="K27" s="44">
        <f t="shared" si="1"/>
        <v>0</v>
      </c>
      <c r="L27" s="45"/>
      <c r="M27" s="40"/>
      <c r="N27" s="43">
        <f t="shared" si="2"/>
        <v>0</v>
      </c>
      <c r="O27" s="43">
        <f t="shared" si="3"/>
        <v>0</v>
      </c>
      <c r="P27" s="255"/>
      <c r="Q27" s="67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256"/>
      <c r="Q28" s="248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>F29-G29-H29</f>
        <v>0</v>
      </c>
      <c r="J29" s="44">
        <f t="shared" si="0"/>
        <v>0</v>
      </c>
      <c r="K29" s="44">
        <f t="shared" si="1"/>
        <v>0</v>
      </c>
      <c r="L29" s="45"/>
      <c r="M29" s="40"/>
      <c r="N29" s="43">
        <f t="shared" si="2"/>
        <v>0</v>
      </c>
      <c r="O29" s="43">
        <f t="shared" si="3"/>
        <v>0</v>
      </c>
      <c r="P29" s="255"/>
      <c r="Q29" s="67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256"/>
      <c r="Q30" s="248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>F31-G31-H31</f>
        <v>0</v>
      </c>
      <c r="J31" s="44">
        <f t="shared" si="0"/>
        <v>0</v>
      </c>
      <c r="K31" s="44">
        <f t="shared" si="1"/>
        <v>0</v>
      </c>
      <c r="L31" s="45"/>
      <c r="M31" s="40"/>
      <c r="N31" s="43">
        <f t="shared" si="2"/>
        <v>0</v>
      </c>
      <c r="O31" s="43">
        <f t="shared" si="3"/>
        <v>0</v>
      </c>
      <c r="P31" s="255"/>
      <c r="Q31" s="67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256"/>
      <c r="Q32" s="248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>F33-G33-H33</f>
        <v>0</v>
      </c>
      <c r="J33" s="44">
        <f t="shared" si="0"/>
        <v>0</v>
      </c>
      <c r="K33" s="44">
        <f t="shared" si="1"/>
        <v>0</v>
      </c>
      <c r="L33" s="45"/>
      <c r="M33" s="40"/>
      <c r="N33" s="43">
        <f t="shared" si="2"/>
        <v>0</v>
      </c>
      <c r="O33" s="43">
        <f t="shared" si="3"/>
        <v>0</v>
      </c>
      <c r="P33" s="255"/>
      <c r="Q33" s="67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256"/>
      <c r="Q34" s="248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>F35-G35-H35</f>
        <v>0</v>
      </c>
      <c r="J35" s="44">
        <f t="shared" si="0"/>
        <v>0</v>
      </c>
      <c r="K35" s="44">
        <f t="shared" si="1"/>
        <v>0</v>
      </c>
      <c r="L35" s="45"/>
      <c r="M35" s="40"/>
      <c r="N35" s="43">
        <f t="shared" si="2"/>
        <v>0</v>
      </c>
      <c r="O35" s="43">
        <f t="shared" si="3"/>
        <v>0</v>
      </c>
      <c r="P35" s="255"/>
      <c r="Q35" s="67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256"/>
      <c r="Q36" s="248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>F37-G37-H37</f>
        <v>0</v>
      </c>
      <c r="J37" s="44">
        <f t="shared" si="0"/>
        <v>0</v>
      </c>
      <c r="K37" s="44">
        <f t="shared" si="1"/>
        <v>0</v>
      </c>
      <c r="L37" s="45"/>
      <c r="M37" s="40"/>
      <c r="N37" s="43">
        <f t="shared" si="2"/>
        <v>0</v>
      </c>
      <c r="O37" s="43">
        <f t="shared" si="3"/>
        <v>0</v>
      </c>
      <c r="P37" s="255"/>
      <c r="Q37" s="67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256"/>
      <c r="Q38" s="248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>F39-G39-H39</f>
        <v>0</v>
      </c>
      <c r="J39" s="44">
        <f t="shared" si="0"/>
        <v>0</v>
      </c>
      <c r="K39" s="44">
        <f t="shared" si="1"/>
        <v>0</v>
      </c>
      <c r="L39" s="45"/>
      <c r="M39" s="40"/>
      <c r="N39" s="43">
        <f t="shared" si="2"/>
        <v>0</v>
      </c>
      <c r="O39" s="43">
        <f t="shared" si="3"/>
        <v>0</v>
      </c>
      <c r="P39" s="255"/>
      <c r="Q39" s="67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256"/>
      <c r="Q40" s="248"/>
      <c r="R40" s="38"/>
      <c r="S40" s="32"/>
      <c r="T40" s="39"/>
      <c r="U40" s="6"/>
      <c r="V40" s="6"/>
    </row>
    <row r="41" spans="1:22" ht="15">
      <c r="A41" s="50"/>
      <c r="B41" s="51"/>
      <c r="C41" s="52"/>
      <c r="D41" s="50"/>
      <c r="E41" s="50"/>
      <c r="F41" s="50"/>
      <c r="G41" s="43">
        <f>F41*6%</f>
        <v>0</v>
      </c>
      <c r="H41" s="53"/>
      <c r="I41" s="78">
        <f>F41-G41-H41</f>
        <v>0</v>
      </c>
      <c r="J41" s="54">
        <f t="shared" si="0"/>
        <v>0</v>
      </c>
      <c r="K41" s="54">
        <f t="shared" si="1"/>
        <v>0</v>
      </c>
      <c r="L41" s="55"/>
      <c r="M41" s="50"/>
      <c r="N41" s="53">
        <f t="shared" si="2"/>
        <v>0</v>
      </c>
      <c r="O41" s="53">
        <f t="shared" si="3"/>
        <v>0</v>
      </c>
      <c r="P41" s="257"/>
      <c r="Q41" s="250"/>
      <c r="R41" s="50"/>
      <c r="S41" s="50"/>
      <c r="T41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012" priority="29" operator="containsText" text="SIN FACTURA ">
      <formula>NOT(ISERROR(SEARCH("SIN FACTURA ",A2)))</formula>
    </cfRule>
  </conditionalFormatting>
  <conditionalFormatting sqref="J41:T41 J39:T39 J37:T37 J35:T35 J33:T33 J31:T31 J29:T29 J27:T27 A29:H29 A31:H31 A33:H33 A35:H35 A37:H37 A39:H39 A41:H41 J25:T25 J23:T23 A4:T5 J15:T21 J6:T13 I21:I41 J14:V14 A6:I20 J22:V22 J24:V24 J26:V26 A21:H27">
    <cfRule type="containsText" dxfId="2011" priority="28" operator="containsText" text="SIN FACTURA">
      <formula>NOT(ISERROR(SEARCH("SIN FACTURA",A4)))</formula>
    </cfRule>
  </conditionalFormatting>
  <conditionalFormatting sqref="C28:H28 J28:V28">
    <cfRule type="containsText" dxfId="2010" priority="22" operator="containsText" text="SIN FACTURA">
      <formula>NOT(ISERROR(SEARCH("SIN FACTURA",C28)))</formula>
    </cfRule>
  </conditionalFormatting>
  <conditionalFormatting sqref="C30:H30 J30:V30">
    <cfRule type="containsText" dxfId="2009" priority="21" operator="containsText" text="SIN FACTURA">
      <formula>NOT(ISERROR(SEARCH("SIN FACTURA",C30)))</formula>
    </cfRule>
  </conditionalFormatting>
  <conditionalFormatting sqref="C32:H32 J32:V32">
    <cfRule type="containsText" dxfId="2008" priority="20" operator="containsText" text="SIN FACTURA">
      <formula>NOT(ISERROR(SEARCH("SIN FACTURA",C32)))</formula>
    </cfRule>
  </conditionalFormatting>
  <conditionalFormatting sqref="C34:H34 J34:V34">
    <cfRule type="containsText" dxfId="2007" priority="19" operator="containsText" text="SIN FACTURA">
      <formula>NOT(ISERROR(SEARCH("SIN FACTURA",C34)))</formula>
    </cfRule>
  </conditionalFormatting>
  <conditionalFormatting sqref="C36:H36 J36:V36">
    <cfRule type="containsText" dxfId="2006" priority="18" operator="containsText" text="SIN FACTURA">
      <formula>NOT(ISERROR(SEARCH("SIN FACTURA",C36)))</formula>
    </cfRule>
  </conditionalFormatting>
  <conditionalFormatting sqref="C38:H38 J38:V38">
    <cfRule type="containsText" dxfId="2005" priority="17" operator="containsText" text="SIN FACTURA">
      <formula>NOT(ISERROR(SEARCH("SIN FACTURA",C38)))</formula>
    </cfRule>
  </conditionalFormatting>
  <conditionalFormatting sqref="C40:H40 J40:V40">
    <cfRule type="containsText" dxfId="2004" priority="16" operator="containsText" text="SIN FACTURA">
      <formula>NOT(ISERROR(SEARCH("SIN FACTURA",C40)))</formula>
    </cfRule>
  </conditionalFormatting>
  <conditionalFormatting sqref="A28:B28">
    <cfRule type="containsText" dxfId="2003" priority="10" operator="containsText" text="SIN FACTURA">
      <formula>NOT(ISERROR(SEARCH("SIN FACTURA",A28)))</formula>
    </cfRule>
  </conditionalFormatting>
  <conditionalFormatting sqref="A40:B40">
    <cfRule type="containsText" dxfId="2002" priority="4" operator="containsText" text="SIN FACTURA">
      <formula>NOT(ISERROR(SEARCH("SIN FACTURA",A40)))</formula>
    </cfRule>
  </conditionalFormatting>
  <conditionalFormatting sqref="A30:B30">
    <cfRule type="containsText" dxfId="2001" priority="9" operator="containsText" text="SIN FACTURA">
      <formula>NOT(ISERROR(SEARCH("SIN FACTURA",A30)))</formula>
    </cfRule>
  </conditionalFormatting>
  <conditionalFormatting sqref="A32:B32">
    <cfRule type="containsText" dxfId="2000" priority="8" operator="containsText" text="SIN FACTURA">
      <formula>NOT(ISERROR(SEARCH("SIN FACTURA",A32)))</formula>
    </cfRule>
  </conditionalFormatting>
  <conditionalFormatting sqref="A34:B34">
    <cfRule type="containsText" dxfId="1999" priority="7" operator="containsText" text="SIN FACTURA">
      <formula>NOT(ISERROR(SEARCH("SIN FACTURA",A34)))</formula>
    </cfRule>
  </conditionalFormatting>
  <conditionalFormatting sqref="A36:B36">
    <cfRule type="containsText" dxfId="1998" priority="6" operator="containsText" text="SIN FACTURA">
      <formula>NOT(ISERROR(SEARCH("SIN FACTURA",A36)))</formula>
    </cfRule>
  </conditionalFormatting>
  <conditionalFormatting sqref="A38:B38">
    <cfRule type="containsText" dxfId="1997" priority="5" operator="containsText" text="SIN FACTURA">
      <formula>NOT(ISERROR(SEARCH("SIN FACTURA",A38)))</formula>
    </cfRule>
  </conditionalFormatting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>
  <sheetPr codeName="Hoja159"/>
  <dimension ref="A1:Y33"/>
  <sheetViews>
    <sheetView zoomScale="125" zoomScaleNormal="125" zoomScalePageLayoutView="125" workbookViewId="0">
      <pane ySplit="1" topLeftCell="A2" activePane="bottomLeft" state="frozen"/>
      <selection activeCell="C52" sqref="C52"/>
      <selection pane="bottomLeft" activeCell="A5" sqref="A5:XFD22"/>
    </sheetView>
  </sheetViews>
  <sheetFormatPr baseColWidth="10" defaultColWidth="10.875" defaultRowHeight="15.75"/>
  <cols>
    <col min="1" max="1" width="19.125" style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263</v>
      </c>
      <c r="B1" s="18" t="s">
        <v>68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3" si="0">F5-G5-H5</f>
        <v>0</v>
      </c>
      <c r="J5" s="44">
        <f t="shared" ref="J5:J33" si="1">S5+T5</f>
        <v>0</v>
      </c>
      <c r="K5" s="44">
        <f t="shared" ref="K5:K33" si="2">I5-J5</f>
        <v>0</v>
      </c>
      <c r="L5" s="45"/>
      <c r="M5" s="40"/>
      <c r="N5" s="43">
        <f t="shared" ref="N5:N33" si="3">I5-J5-M5-R5</f>
        <v>0</v>
      </c>
      <c r="O5" s="43">
        <f t="shared" ref="O5:O33" si="4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 t="shared" si="2"/>
        <v>0</v>
      </c>
      <c r="L7" s="45"/>
      <c r="M7" s="40"/>
      <c r="N7" s="43">
        <f>I7-J7-M7-R7</f>
        <v>0</v>
      </c>
      <c r="O7" s="43">
        <f>R7+S7+T7</f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0" ht="15">
      <c r="A33" s="50"/>
      <c r="B33" s="51"/>
      <c r="C33" s="52"/>
      <c r="D33" s="50"/>
      <c r="E33" s="50"/>
      <c r="F33" s="50"/>
      <c r="G33" s="43">
        <f>F33*6%</f>
        <v>0</v>
      </c>
      <c r="H33" s="53"/>
      <c r="I33" s="78">
        <f t="shared" si="0"/>
        <v>0</v>
      </c>
      <c r="J33" s="54">
        <f t="shared" si="1"/>
        <v>0</v>
      </c>
      <c r="K33" s="54">
        <f t="shared" si="2"/>
        <v>0</v>
      </c>
      <c r="L33" s="55"/>
      <c r="M33" s="50"/>
      <c r="N33" s="53">
        <f t="shared" si="3"/>
        <v>0</v>
      </c>
      <c r="O33" s="53">
        <f t="shared" si="4"/>
        <v>0</v>
      </c>
      <c r="P33" s="56"/>
      <c r="Q33" s="50"/>
      <c r="R33" s="50"/>
      <c r="S33" s="50"/>
      <c r="T33" s="5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1996" priority="28" operator="containsText" text="SIN FACTURA ">
      <formula>NOT(ISERROR(SEARCH("SIN FACTURA ",A2)))</formula>
    </cfRule>
  </conditionalFormatting>
  <conditionalFormatting sqref="J33:T33 J31:T31 J29:T29 J27:T27 J25:T25 J23:T23 J21:T21 J19:T19 J17:T17 J15:T15 J13:T13 A13:H13 A15:H15 A17:H17 A19:H19 A21:H21 A23:H23 A25:H25 A27:H27 A29:H29 A31:H31 A33:H33 J5:T11 A4:T4 I5:I33 A5:H11">
    <cfRule type="containsText" dxfId="1995" priority="27" operator="containsText" text="SIN FACTURA">
      <formula>NOT(ISERROR(SEARCH("SIN FACTURA",A4)))</formula>
    </cfRule>
  </conditionalFormatting>
  <conditionalFormatting sqref="C12:H12 J12:V12">
    <cfRule type="containsText" dxfId="1994" priority="25" operator="containsText" text="SIN FACTURA">
      <formula>NOT(ISERROR(SEARCH("SIN FACTURA",C12)))</formula>
    </cfRule>
  </conditionalFormatting>
  <conditionalFormatting sqref="C14:H14 J14:V14">
    <cfRule type="containsText" dxfId="1993" priority="24" operator="containsText" text="SIN FACTURA">
      <formula>NOT(ISERROR(SEARCH("SIN FACTURA",C14)))</formula>
    </cfRule>
  </conditionalFormatting>
  <conditionalFormatting sqref="C16:H16 J16:V16">
    <cfRule type="containsText" dxfId="1992" priority="23" operator="containsText" text="SIN FACTURA">
      <formula>NOT(ISERROR(SEARCH("SIN FACTURA",C16)))</formula>
    </cfRule>
  </conditionalFormatting>
  <conditionalFormatting sqref="C18:H18 J18:V18">
    <cfRule type="containsText" dxfId="1991" priority="22" operator="containsText" text="SIN FACTURA">
      <formula>NOT(ISERROR(SEARCH("SIN FACTURA",C18)))</formula>
    </cfRule>
  </conditionalFormatting>
  <conditionalFormatting sqref="C20:H20 J20:V20">
    <cfRule type="containsText" dxfId="1990" priority="21" operator="containsText" text="SIN FACTURA">
      <formula>NOT(ISERROR(SEARCH("SIN FACTURA",C20)))</formula>
    </cfRule>
  </conditionalFormatting>
  <conditionalFormatting sqref="C22:H22 J22:V22">
    <cfRule type="containsText" dxfId="1989" priority="20" operator="containsText" text="SIN FACTURA">
      <formula>NOT(ISERROR(SEARCH("SIN FACTURA",C22)))</formula>
    </cfRule>
  </conditionalFormatting>
  <conditionalFormatting sqref="C24:H24 J24:V24">
    <cfRule type="containsText" dxfId="1988" priority="19" operator="containsText" text="SIN FACTURA">
      <formula>NOT(ISERROR(SEARCH("SIN FACTURA",C24)))</formula>
    </cfRule>
  </conditionalFormatting>
  <conditionalFormatting sqref="C26:H26 J26:V26">
    <cfRule type="containsText" dxfId="1987" priority="18" operator="containsText" text="SIN FACTURA">
      <formula>NOT(ISERROR(SEARCH("SIN FACTURA",C26)))</formula>
    </cfRule>
  </conditionalFormatting>
  <conditionalFormatting sqref="C28:H28 J28:V28">
    <cfRule type="containsText" dxfId="1986" priority="17" operator="containsText" text="SIN FACTURA">
      <formula>NOT(ISERROR(SEARCH("SIN FACTURA",C28)))</formula>
    </cfRule>
  </conditionalFormatting>
  <conditionalFormatting sqref="C30:H30 J30:V30">
    <cfRule type="containsText" dxfId="1985" priority="16" operator="containsText" text="SIN FACTURA">
      <formula>NOT(ISERROR(SEARCH("SIN FACTURA",C30)))</formula>
    </cfRule>
  </conditionalFormatting>
  <conditionalFormatting sqref="C32:H32 J32:V32">
    <cfRule type="containsText" dxfId="1984" priority="15" operator="containsText" text="SIN FACTURA">
      <formula>NOT(ISERROR(SEARCH("SIN FACTURA",C32)))</formula>
    </cfRule>
  </conditionalFormatting>
  <conditionalFormatting sqref="A12:B12">
    <cfRule type="containsText" dxfId="1983" priority="13" operator="containsText" text="SIN FACTURA">
      <formula>NOT(ISERROR(SEARCH("SIN FACTURA",A12)))</formula>
    </cfRule>
  </conditionalFormatting>
  <conditionalFormatting sqref="A14:B14">
    <cfRule type="containsText" dxfId="1982" priority="12" operator="containsText" text="SIN FACTURA">
      <formula>NOT(ISERROR(SEARCH("SIN FACTURA",A14)))</formula>
    </cfRule>
  </conditionalFormatting>
  <conditionalFormatting sqref="A16:B16">
    <cfRule type="containsText" dxfId="1981" priority="11" operator="containsText" text="SIN FACTURA">
      <formula>NOT(ISERROR(SEARCH("SIN FACTURA",A16)))</formula>
    </cfRule>
  </conditionalFormatting>
  <conditionalFormatting sqref="A18:B18">
    <cfRule type="containsText" dxfId="1980" priority="10" operator="containsText" text="SIN FACTURA">
      <formula>NOT(ISERROR(SEARCH("SIN FACTURA",A18)))</formula>
    </cfRule>
  </conditionalFormatting>
  <conditionalFormatting sqref="A20:B20">
    <cfRule type="containsText" dxfId="1979" priority="9" operator="containsText" text="SIN FACTURA">
      <formula>NOT(ISERROR(SEARCH("SIN FACTURA",A20)))</formula>
    </cfRule>
  </conditionalFormatting>
  <conditionalFormatting sqref="A32:B32">
    <cfRule type="containsText" dxfId="1978" priority="3" operator="containsText" text="SIN FACTURA">
      <formula>NOT(ISERROR(SEARCH("SIN FACTURA",A32)))</formula>
    </cfRule>
  </conditionalFormatting>
  <conditionalFormatting sqref="A22:B22">
    <cfRule type="containsText" dxfId="1977" priority="8" operator="containsText" text="SIN FACTURA">
      <formula>NOT(ISERROR(SEARCH("SIN FACTURA",A22)))</formula>
    </cfRule>
  </conditionalFormatting>
  <conditionalFormatting sqref="A24:B24">
    <cfRule type="containsText" dxfId="1976" priority="7" operator="containsText" text="SIN FACTURA">
      <formula>NOT(ISERROR(SEARCH("SIN FACTURA",A24)))</formula>
    </cfRule>
  </conditionalFormatting>
  <conditionalFormatting sqref="A26:B26">
    <cfRule type="containsText" dxfId="1975" priority="6" operator="containsText" text="SIN FACTURA">
      <formula>NOT(ISERROR(SEARCH("SIN FACTURA",A26)))</formula>
    </cfRule>
  </conditionalFormatting>
  <conditionalFormatting sqref="A28:B28">
    <cfRule type="containsText" dxfId="1974" priority="5" operator="containsText" text="SIN FACTURA">
      <formula>NOT(ISERROR(SEARCH("SIN FACTURA",A28)))</formula>
    </cfRule>
  </conditionalFormatting>
  <conditionalFormatting sqref="A30:B30">
    <cfRule type="containsText" dxfId="1973" priority="4" operator="containsText" text="SIN FACTURA">
      <formula>NOT(ISERROR(SEARCH("SIN FACTURA",A30)))</formula>
    </cfRule>
  </conditionalFormatting>
  <pageMargins left="0.75" right="0.75" top="1" bottom="1" header="0.5" footer="0.5"/>
  <pageSetup paperSize="9" orientation="portrait" horizontalDpi="0" verticalDpi="0" r:id="rId1"/>
</worksheet>
</file>

<file path=xl/worksheets/sheet92.xml><?xml version="1.0" encoding="utf-8"?>
<worksheet xmlns="http://schemas.openxmlformats.org/spreadsheetml/2006/main" xmlns:r="http://schemas.openxmlformats.org/officeDocument/2006/relationships">
  <sheetPr codeName="Hoja105"/>
  <dimension ref="A1:Y45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12" sqref="A12"/>
    </sheetView>
  </sheetViews>
  <sheetFormatPr baseColWidth="10" defaultColWidth="10.875" defaultRowHeight="15.75"/>
  <cols>
    <col min="1" max="1" width="21.625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153</v>
      </c>
      <c r="B1" s="18"/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>F5-G5-H5</f>
        <v>0</v>
      </c>
      <c r="J5" s="44">
        <f t="shared" ref="J5:J45" si="0">S5+T5</f>
        <v>0</v>
      </c>
      <c r="K5" s="44">
        <f t="shared" ref="K5:K45" si="1">I5-J5</f>
        <v>0</v>
      </c>
      <c r="L5" s="45"/>
      <c r="M5" s="40"/>
      <c r="N5" s="43">
        <f t="shared" ref="N5:N45" si="2">I5-J5-M5-R5</f>
        <v>0</v>
      </c>
      <c r="O5" s="43">
        <f t="shared" ref="O5:O45" si="3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ref="I7:I45" si="4">F7-G7-H7</f>
        <v>0</v>
      </c>
      <c r="J7" s="44">
        <f t="shared" si="0"/>
        <v>0</v>
      </c>
      <c r="K7" s="44">
        <f t="shared" si="1"/>
        <v>0</v>
      </c>
      <c r="L7" s="45"/>
      <c r="M7" s="40"/>
      <c r="N7" s="43">
        <f t="shared" si="2"/>
        <v>0</v>
      </c>
      <c r="O7" s="43">
        <f t="shared" si="3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4"/>
        <v>0</v>
      </c>
      <c r="J9" s="44">
        <f t="shared" si="0"/>
        <v>0</v>
      </c>
      <c r="K9" s="44">
        <f t="shared" si="1"/>
        <v>0</v>
      </c>
      <c r="L9" s="45"/>
      <c r="M9" s="40"/>
      <c r="N9" s="43">
        <f t="shared" si="2"/>
        <v>0</v>
      </c>
      <c r="O9" s="43">
        <f t="shared" si="3"/>
        <v>0</v>
      </c>
      <c r="P9" s="46"/>
      <c r="Q9" s="40"/>
      <c r="R9" s="43"/>
      <c r="S9" s="43"/>
      <c r="T9" s="49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4"/>
        <v>0</v>
      </c>
      <c r="J11" s="44">
        <f>S11+T11</f>
        <v>0</v>
      </c>
      <c r="K11" s="44">
        <f>I11-J11</f>
        <v>0</v>
      </c>
      <c r="L11" s="45"/>
      <c r="M11" s="40"/>
      <c r="N11" s="43">
        <f t="shared" si="2"/>
        <v>0</v>
      </c>
      <c r="O11" s="43">
        <f t="shared" si="3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4"/>
        <v>0</v>
      </c>
      <c r="J13" s="44">
        <f t="shared" si="0"/>
        <v>0</v>
      </c>
      <c r="K13" s="44">
        <f t="shared" si="1"/>
        <v>0</v>
      </c>
      <c r="L13" s="45"/>
      <c r="M13" s="40"/>
      <c r="N13" s="43">
        <f t="shared" si="2"/>
        <v>0</v>
      </c>
      <c r="O13" s="43">
        <f t="shared" si="3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4"/>
        <v>0</v>
      </c>
      <c r="J15" s="44">
        <f t="shared" si="0"/>
        <v>0</v>
      </c>
      <c r="K15" s="44">
        <f t="shared" si="1"/>
        <v>0</v>
      </c>
      <c r="L15" s="45"/>
      <c r="M15" s="40"/>
      <c r="N15" s="43">
        <f t="shared" si="2"/>
        <v>0</v>
      </c>
      <c r="O15" s="43">
        <f t="shared" si="3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4"/>
        <v>0</v>
      </c>
      <c r="J17" s="44">
        <f t="shared" si="0"/>
        <v>0</v>
      </c>
      <c r="K17" s="44">
        <f t="shared" si="1"/>
        <v>0</v>
      </c>
      <c r="L17" s="45"/>
      <c r="M17" s="40"/>
      <c r="N17" s="43">
        <f t="shared" si="2"/>
        <v>0</v>
      </c>
      <c r="O17" s="43">
        <f t="shared" si="3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4"/>
        <v>0</v>
      </c>
      <c r="J19" s="44">
        <f>S19+T19</f>
        <v>0</v>
      </c>
      <c r="K19" s="44">
        <f t="shared" si="1"/>
        <v>0</v>
      </c>
      <c r="L19" s="45"/>
      <c r="M19" s="40"/>
      <c r="N19" s="43">
        <f>I19-J19-M19-R19</f>
        <v>0</v>
      </c>
      <c r="O19" s="43">
        <f>R19+S19+T19</f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4"/>
        <v>0</v>
      </c>
      <c r="J21" s="44">
        <f t="shared" si="0"/>
        <v>0</v>
      </c>
      <c r="K21" s="44">
        <f t="shared" si="1"/>
        <v>0</v>
      </c>
      <c r="L21" s="45"/>
      <c r="M21" s="40"/>
      <c r="N21" s="43">
        <f t="shared" si="2"/>
        <v>0</v>
      </c>
      <c r="O21" s="43">
        <f t="shared" si="3"/>
        <v>0</v>
      </c>
      <c r="P21" s="46"/>
      <c r="Q21" s="40"/>
      <c r="R21" s="47"/>
      <c r="S21" s="47"/>
      <c r="T21" s="48"/>
    </row>
    <row r="22" spans="1:22" ht="15">
      <c r="A22" s="32"/>
      <c r="B22" s="33"/>
      <c r="C22" s="34"/>
      <c r="D22" s="32"/>
      <c r="E22" s="32"/>
      <c r="F22" s="32"/>
      <c r="G22" s="37"/>
      <c r="H22" s="37"/>
      <c r="I22" s="37"/>
      <c r="J22" s="35"/>
      <c r="K22" s="35"/>
      <c r="L22" s="36"/>
      <c r="M22" s="32"/>
      <c r="N22" s="37"/>
      <c r="O22" s="37"/>
      <c r="P22" s="38"/>
      <c r="Q22" s="32"/>
      <c r="R22" s="32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4"/>
        <v>0</v>
      </c>
      <c r="J23" s="44">
        <f t="shared" si="0"/>
        <v>0</v>
      </c>
      <c r="K23" s="44">
        <f t="shared" si="1"/>
        <v>0</v>
      </c>
      <c r="L23" s="45"/>
      <c r="M23" s="40"/>
      <c r="N23" s="43">
        <f t="shared" si="2"/>
        <v>0</v>
      </c>
      <c r="O23" s="43">
        <f t="shared" si="3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4"/>
        <v>0</v>
      </c>
      <c r="J25" s="44">
        <f t="shared" si="0"/>
        <v>0</v>
      </c>
      <c r="K25" s="44">
        <f t="shared" si="1"/>
        <v>0</v>
      </c>
      <c r="L25" s="45"/>
      <c r="M25" s="40"/>
      <c r="N25" s="43">
        <f t="shared" si="2"/>
        <v>0</v>
      </c>
      <c r="O25" s="43">
        <f t="shared" si="3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4"/>
        <v>0</v>
      </c>
      <c r="J27" s="44">
        <f t="shared" si="0"/>
        <v>0</v>
      </c>
      <c r="K27" s="44">
        <f t="shared" si="1"/>
        <v>0</v>
      </c>
      <c r="L27" s="45"/>
      <c r="M27" s="40"/>
      <c r="N27" s="43">
        <f t="shared" si="2"/>
        <v>0</v>
      </c>
      <c r="O27" s="43">
        <f t="shared" si="3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4"/>
        <v>0</v>
      </c>
      <c r="J29" s="44">
        <f t="shared" si="0"/>
        <v>0</v>
      </c>
      <c r="K29" s="44">
        <f t="shared" si="1"/>
        <v>0</v>
      </c>
      <c r="L29" s="45"/>
      <c r="M29" s="40"/>
      <c r="N29" s="43">
        <f t="shared" si="2"/>
        <v>0</v>
      </c>
      <c r="O29" s="43">
        <f t="shared" si="3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4"/>
        <v>0</v>
      </c>
      <c r="J31" s="44">
        <f t="shared" si="0"/>
        <v>0</v>
      </c>
      <c r="K31" s="44">
        <f t="shared" si="1"/>
        <v>0</v>
      </c>
      <c r="L31" s="45"/>
      <c r="M31" s="40"/>
      <c r="N31" s="43">
        <f t="shared" si="2"/>
        <v>0</v>
      </c>
      <c r="O31" s="43">
        <f t="shared" si="3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4"/>
        <v>0</v>
      </c>
      <c r="J33" s="44">
        <f t="shared" si="0"/>
        <v>0</v>
      </c>
      <c r="K33" s="44">
        <f t="shared" si="1"/>
        <v>0</v>
      </c>
      <c r="L33" s="45"/>
      <c r="M33" s="40"/>
      <c r="N33" s="43">
        <f t="shared" si="2"/>
        <v>0</v>
      </c>
      <c r="O33" s="43">
        <f t="shared" si="3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4"/>
        <v>0</v>
      </c>
      <c r="J35" s="44">
        <f t="shared" si="0"/>
        <v>0</v>
      </c>
      <c r="K35" s="44">
        <f t="shared" si="1"/>
        <v>0</v>
      </c>
      <c r="L35" s="45"/>
      <c r="M35" s="40"/>
      <c r="N35" s="43">
        <f t="shared" si="2"/>
        <v>0</v>
      </c>
      <c r="O35" s="43">
        <f t="shared" si="3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4"/>
        <v>0</v>
      </c>
      <c r="J37" s="44">
        <f t="shared" si="0"/>
        <v>0</v>
      </c>
      <c r="K37" s="44">
        <f t="shared" si="1"/>
        <v>0</v>
      </c>
      <c r="L37" s="45"/>
      <c r="M37" s="40"/>
      <c r="N37" s="43">
        <f t="shared" si="2"/>
        <v>0</v>
      </c>
      <c r="O37" s="43">
        <f t="shared" si="3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4"/>
        <v>0</v>
      </c>
      <c r="J39" s="44">
        <f t="shared" si="0"/>
        <v>0</v>
      </c>
      <c r="K39" s="44">
        <f t="shared" si="1"/>
        <v>0</v>
      </c>
      <c r="L39" s="45"/>
      <c r="M39" s="40"/>
      <c r="N39" s="43">
        <f t="shared" si="2"/>
        <v>0</v>
      </c>
      <c r="O39" s="43">
        <f t="shared" si="3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4"/>
        <v>0</v>
      </c>
      <c r="J41" s="44">
        <f t="shared" si="0"/>
        <v>0</v>
      </c>
      <c r="K41" s="44">
        <f t="shared" si="1"/>
        <v>0</v>
      </c>
      <c r="L41" s="45"/>
      <c r="M41" s="40"/>
      <c r="N41" s="43">
        <f t="shared" si="2"/>
        <v>0</v>
      </c>
      <c r="O41" s="43">
        <f t="shared" si="3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40"/>
      <c r="B43" s="41"/>
      <c r="C43" s="42"/>
      <c r="D43" s="40"/>
      <c r="E43" s="40"/>
      <c r="F43" s="40"/>
      <c r="G43" s="43">
        <f>F43*6%</f>
        <v>0</v>
      </c>
      <c r="H43" s="43"/>
      <c r="I43" s="44">
        <f t="shared" si="4"/>
        <v>0</v>
      </c>
      <c r="J43" s="44">
        <f t="shared" si="0"/>
        <v>0</v>
      </c>
      <c r="K43" s="44">
        <f t="shared" si="1"/>
        <v>0</v>
      </c>
      <c r="L43" s="45"/>
      <c r="M43" s="40"/>
      <c r="N43" s="43">
        <f t="shared" si="2"/>
        <v>0</v>
      </c>
      <c r="O43" s="43">
        <f t="shared" si="3"/>
        <v>0</v>
      </c>
      <c r="P43" s="46"/>
      <c r="Q43" s="40"/>
      <c r="R43" s="40"/>
      <c r="S43" s="40"/>
      <c r="T43" s="5"/>
    </row>
    <row r="44" spans="1:22" ht="15">
      <c r="A44" s="32"/>
      <c r="B44" s="33"/>
      <c r="C44" s="32"/>
      <c r="D44" s="33"/>
      <c r="E44" s="34"/>
      <c r="F44" s="32"/>
      <c r="G44" s="32"/>
      <c r="H44" s="32"/>
      <c r="I44" s="37"/>
      <c r="J44" s="37"/>
      <c r="K44" s="35"/>
      <c r="L44" s="35"/>
      <c r="M44" s="35"/>
      <c r="N44" s="36"/>
      <c r="O44" s="32"/>
      <c r="P44" s="37"/>
      <c r="Q44" s="37"/>
      <c r="R44" s="38"/>
      <c r="S44" s="32"/>
      <c r="T44" s="39"/>
      <c r="U44" s="6"/>
      <c r="V44" s="6"/>
    </row>
    <row r="45" spans="1:22" ht="15">
      <c r="A45" s="50"/>
      <c r="B45" s="51"/>
      <c r="C45" s="52"/>
      <c r="D45" s="50"/>
      <c r="E45" s="50"/>
      <c r="F45" s="50"/>
      <c r="G45" s="43">
        <f>F45*6%</f>
        <v>0</v>
      </c>
      <c r="H45" s="53"/>
      <c r="I45" s="78">
        <f t="shared" si="4"/>
        <v>0</v>
      </c>
      <c r="J45" s="54">
        <f t="shared" si="0"/>
        <v>0</v>
      </c>
      <c r="K45" s="54">
        <f t="shared" si="1"/>
        <v>0</v>
      </c>
      <c r="L45" s="55"/>
      <c r="M45" s="50"/>
      <c r="N45" s="53">
        <f t="shared" si="2"/>
        <v>0</v>
      </c>
      <c r="O45" s="53">
        <f t="shared" si="3"/>
        <v>0</v>
      </c>
      <c r="P45" s="56"/>
      <c r="Q45" s="50"/>
      <c r="R45" s="50"/>
      <c r="S45" s="50"/>
      <c r="T45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972" priority="26" operator="containsText" text="SIN FACTURA ">
      <formula>NOT(ISERROR(SEARCH("SIN FACTURA ",A2)))</formula>
    </cfRule>
  </conditionalFormatting>
  <conditionalFormatting sqref="A4:T5 J45:T45 J43:T43 J41:T41 J39:T39 J37:T37 J35:T35 J33:T33 J31:T31 J29:T29 J27:T27 J25:T25 J15:T23 J6:T13 I6:I45 A6:H13 A15:H23 A25:H25 A27:H27 A29:H29 A31:H31 A33:H33 A35:H35 A37:H37 A39:H39 A41:H41 A43:H43 A45:H45">
    <cfRule type="containsText" dxfId="1971" priority="25" operator="containsText" text="SIN FACTURA">
      <formula>NOT(ISERROR(SEARCH("SIN FACTURA",A4)))</formula>
    </cfRule>
  </conditionalFormatting>
  <conditionalFormatting sqref="C14:H14 J14:V14">
    <cfRule type="containsText" dxfId="1970" priority="24" operator="containsText" text="SIN FACTURA">
      <formula>NOT(ISERROR(SEARCH("SIN FACTURA",C14)))</formula>
    </cfRule>
  </conditionalFormatting>
  <conditionalFormatting sqref="C24:H24 J24:V24">
    <cfRule type="containsText" dxfId="1969" priority="23" operator="containsText" text="SIN FACTURA">
      <formula>NOT(ISERROR(SEARCH("SIN FACTURA",C24)))</formula>
    </cfRule>
  </conditionalFormatting>
  <conditionalFormatting sqref="C26:H26 J26:V26">
    <cfRule type="containsText" dxfId="1968" priority="22" operator="containsText" text="SIN FACTURA">
      <formula>NOT(ISERROR(SEARCH("SIN FACTURA",C26)))</formula>
    </cfRule>
  </conditionalFormatting>
  <conditionalFormatting sqref="C28:H28 J28:V28">
    <cfRule type="containsText" dxfId="1967" priority="21" operator="containsText" text="SIN FACTURA">
      <formula>NOT(ISERROR(SEARCH("SIN FACTURA",C28)))</formula>
    </cfRule>
  </conditionalFormatting>
  <conditionalFormatting sqref="C30:H30 J30:V30">
    <cfRule type="containsText" dxfId="1966" priority="20" operator="containsText" text="SIN FACTURA">
      <formula>NOT(ISERROR(SEARCH("SIN FACTURA",C30)))</formula>
    </cfRule>
  </conditionalFormatting>
  <conditionalFormatting sqref="C32:H32 J32:V32">
    <cfRule type="containsText" dxfId="1965" priority="19" operator="containsText" text="SIN FACTURA">
      <formula>NOT(ISERROR(SEARCH("SIN FACTURA",C32)))</formula>
    </cfRule>
  </conditionalFormatting>
  <conditionalFormatting sqref="C34:H34 J34:V34">
    <cfRule type="containsText" dxfId="1964" priority="18" operator="containsText" text="SIN FACTURA">
      <formula>NOT(ISERROR(SEARCH("SIN FACTURA",C34)))</formula>
    </cfRule>
  </conditionalFormatting>
  <conditionalFormatting sqref="C36:H36 J36:V36">
    <cfRule type="containsText" dxfId="1963" priority="17" operator="containsText" text="SIN FACTURA">
      <formula>NOT(ISERROR(SEARCH("SIN FACTURA",C36)))</formula>
    </cfRule>
  </conditionalFormatting>
  <conditionalFormatting sqref="C38:H38 J38:V38">
    <cfRule type="containsText" dxfId="1962" priority="16" operator="containsText" text="SIN FACTURA">
      <formula>NOT(ISERROR(SEARCH("SIN FACTURA",C38)))</formula>
    </cfRule>
  </conditionalFormatting>
  <conditionalFormatting sqref="C40:H40 J40:V40">
    <cfRule type="containsText" dxfId="1961" priority="15" operator="containsText" text="SIN FACTURA">
      <formula>NOT(ISERROR(SEARCH("SIN FACTURA",C40)))</formula>
    </cfRule>
  </conditionalFormatting>
  <conditionalFormatting sqref="C42:H42 J42:V42">
    <cfRule type="containsText" dxfId="1960" priority="14" operator="containsText" text="SIN FACTURA">
      <formula>NOT(ISERROR(SEARCH("SIN FACTURA",C42)))</formula>
    </cfRule>
  </conditionalFormatting>
  <conditionalFormatting sqref="C44:H44 J44:V44">
    <cfRule type="containsText" dxfId="1959" priority="13" operator="containsText" text="SIN FACTURA">
      <formula>NOT(ISERROR(SEARCH("SIN FACTURA",C44)))</formula>
    </cfRule>
  </conditionalFormatting>
  <conditionalFormatting sqref="A14:B14">
    <cfRule type="containsText" dxfId="1958" priority="12" operator="containsText" text="SIN FACTURA">
      <formula>NOT(ISERROR(SEARCH("SIN FACTURA",A14)))</formula>
    </cfRule>
  </conditionalFormatting>
  <conditionalFormatting sqref="A24:B24">
    <cfRule type="containsText" dxfId="1957" priority="11" operator="containsText" text="SIN FACTURA">
      <formula>NOT(ISERROR(SEARCH("SIN FACTURA",A24)))</formula>
    </cfRule>
  </conditionalFormatting>
  <conditionalFormatting sqref="A26:B26">
    <cfRule type="containsText" dxfId="1956" priority="10" operator="containsText" text="SIN FACTURA">
      <formula>NOT(ISERROR(SEARCH("SIN FACTURA",A26)))</formula>
    </cfRule>
  </conditionalFormatting>
  <conditionalFormatting sqref="A28:B28">
    <cfRule type="containsText" dxfId="1955" priority="9" operator="containsText" text="SIN FACTURA">
      <formula>NOT(ISERROR(SEARCH("SIN FACTURA",A28)))</formula>
    </cfRule>
  </conditionalFormatting>
  <conditionalFormatting sqref="A30:B30">
    <cfRule type="containsText" dxfId="1954" priority="8" operator="containsText" text="SIN FACTURA">
      <formula>NOT(ISERROR(SEARCH("SIN FACTURA",A30)))</formula>
    </cfRule>
  </conditionalFormatting>
  <conditionalFormatting sqref="A32:B32">
    <cfRule type="containsText" dxfId="1953" priority="7" operator="containsText" text="SIN FACTURA">
      <formula>NOT(ISERROR(SEARCH("SIN FACTURA",A32)))</formula>
    </cfRule>
  </conditionalFormatting>
  <conditionalFormatting sqref="A44:B44">
    <cfRule type="containsText" dxfId="1952" priority="1" operator="containsText" text="SIN FACTURA">
      <formula>NOT(ISERROR(SEARCH("SIN FACTURA",A44)))</formula>
    </cfRule>
  </conditionalFormatting>
  <conditionalFormatting sqref="A34:B34">
    <cfRule type="containsText" dxfId="1951" priority="6" operator="containsText" text="SIN FACTURA">
      <formula>NOT(ISERROR(SEARCH("SIN FACTURA",A34)))</formula>
    </cfRule>
  </conditionalFormatting>
  <conditionalFormatting sqref="A36:B36">
    <cfRule type="containsText" dxfId="1950" priority="5" operator="containsText" text="SIN FACTURA">
      <formula>NOT(ISERROR(SEARCH("SIN FACTURA",A36)))</formula>
    </cfRule>
  </conditionalFormatting>
  <conditionalFormatting sqref="A38:B38">
    <cfRule type="containsText" dxfId="1949" priority="4" operator="containsText" text="SIN FACTURA">
      <formula>NOT(ISERROR(SEARCH("SIN FACTURA",A38)))</formula>
    </cfRule>
  </conditionalFormatting>
  <conditionalFormatting sqref="A40:B40">
    <cfRule type="containsText" dxfId="1948" priority="3" operator="containsText" text="SIN FACTURA">
      <formula>NOT(ISERROR(SEARCH("SIN FACTURA",A40)))</formula>
    </cfRule>
  </conditionalFormatting>
  <conditionalFormatting sqref="A42:B42">
    <cfRule type="containsText" dxfId="1947" priority="2" operator="containsText" text="SIN FACTURA">
      <formula>NOT(ISERROR(SEARCH("SIN FACTURA",A42)))</formula>
    </cfRule>
  </conditionalFormatting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>
  <sheetPr codeName="Hoja160"/>
  <dimension ref="A1:Y30"/>
  <sheetViews>
    <sheetView zoomScale="125" zoomScaleNormal="125" zoomScalePageLayoutView="125" workbookViewId="0">
      <pane ySplit="1" topLeftCell="A2" activePane="bottomLeft" state="frozen"/>
      <selection activeCell="C52" sqref="C52"/>
      <selection pane="bottomLeft" activeCell="A5" sqref="A5:XFD19"/>
    </sheetView>
  </sheetViews>
  <sheetFormatPr baseColWidth="10" defaultColWidth="10.875" defaultRowHeight="15.75"/>
  <cols>
    <col min="1" max="1" width="21.625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324</v>
      </c>
      <c r="B1" s="18" t="s">
        <v>79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32"/>
      <c r="B5" s="33"/>
      <c r="C5" s="34"/>
      <c r="D5" s="32"/>
      <c r="E5" s="32"/>
      <c r="F5" s="32"/>
      <c r="G5" s="37"/>
      <c r="H5" s="37"/>
      <c r="I5" s="37"/>
      <c r="J5" s="35"/>
      <c r="K5" s="35"/>
      <c r="L5" s="36"/>
      <c r="M5" s="32"/>
      <c r="N5" s="37"/>
      <c r="O5" s="37"/>
      <c r="P5" s="38"/>
      <c r="Q5" s="32"/>
      <c r="R5" s="32"/>
      <c r="S5" s="32"/>
      <c r="T5" s="39"/>
    </row>
    <row r="6" spans="1:25" s="283" customFormat="1" ht="15">
      <c r="A6" s="274" t="s">
        <v>285</v>
      </c>
      <c r="B6" s="275"/>
      <c r="C6" s="276"/>
      <c r="D6" s="274"/>
      <c r="E6" s="274"/>
      <c r="F6" s="274"/>
      <c r="G6" s="277"/>
      <c r="H6" s="277"/>
      <c r="I6" s="278"/>
      <c r="J6" s="278"/>
      <c r="K6" s="278"/>
      <c r="L6" s="279"/>
      <c r="M6" s="274"/>
      <c r="N6" s="277"/>
      <c r="O6" s="277"/>
      <c r="P6" s="280"/>
      <c r="Q6" s="274"/>
      <c r="R6" s="281"/>
      <c r="S6" s="281"/>
      <c r="T6" s="282"/>
    </row>
    <row r="7" spans="1:25" ht="15">
      <c r="A7" s="32"/>
      <c r="B7" s="33"/>
      <c r="C7" s="34"/>
      <c r="D7" s="32"/>
      <c r="E7" s="32"/>
      <c r="F7" s="32"/>
      <c r="G7" s="37"/>
      <c r="H7" s="37"/>
      <c r="I7" s="37"/>
      <c r="J7" s="35"/>
      <c r="K7" s="35"/>
      <c r="L7" s="36"/>
      <c r="M7" s="32"/>
      <c r="N7" s="37"/>
      <c r="O7" s="37"/>
      <c r="P7" s="38"/>
      <c r="Q7" s="32"/>
      <c r="R7" s="32"/>
      <c r="S7" s="32"/>
      <c r="T7" s="39"/>
    </row>
    <row r="8" spans="1:25" ht="15">
      <c r="A8" s="40"/>
      <c r="B8" s="41"/>
      <c r="C8" s="42"/>
      <c r="D8" s="40"/>
      <c r="E8" s="40"/>
      <c r="F8" s="40"/>
      <c r="G8" s="43">
        <f>F8*6%</f>
        <v>0</v>
      </c>
      <c r="H8" s="43"/>
      <c r="I8" s="44">
        <f t="shared" ref="I8:I30" si="0">F8-G8-H8</f>
        <v>0</v>
      </c>
      <c r="J8" s="44">
        <f t="shared" ref="J8:J30" si="1">S8+T8</f>
        <v>0</v>
      </c>
      <c r="K8" s="44">
        <f t="shared" ref="K8:K30" si="2">I8-J8</f>
        <v>0</v>
      </c>
      <c r="L8" s="45"/>
      <c r="M8" s="40"/>
      <c r="N8" s="43">
        <f t="shared" ref="N8:N30" si="3">I8-J8-M8-R8</f>
        <v>0</v>
      </c>
      <c r="O8" s="43">
        <f t="shared" ref="O8:O30" si="4">R8+S8+T8</f>
        <v>0</v>
      </c>
      <c r="P8" s="46"/>
      <c r="Q8" s="40"/>
      <c r="R8" s="40"/>
      <c r="S8" s="40"/>
      <c r="T8" s="5"/>
    </row>
    <row r="9" spans="1:25" ht="15">
      <c r="A9" s="32"/>
      <c r="B9" s="33"/>
      <c r="C9" s="32"/>
      <c r="D9" s="33"/>
      <c r="E9" s="34"/>
      <c r="F9" s="32"/>
      <c r="G9" s="37"/>
      <c r="H9" s="32"/>
      <c r="I9" s="37"/>
      <c r="J9" s="37"/>
      <c r="K9" s="35"/>
      <c r="L9" s="35"/>
      <c r="M9" s="35"/>
      <c r="N9" s="36"/>
      <c r="O9" s="32"/>
      <c r="P9" s="37"/>
      <c r="Q9" s="37"/>
      <c r="R9" s="38"/>
      <c r="S9" s="32"/>
      <c r="T9" s="39"/>
    </row>
    <row r="10" spans="1:25" ht="15">
      <c r="A10" s="40"/>
      <c r="B10" s="41"/>
      <c r="C10" s="42"/>
      <c r="D10" s="40"/>
      <c r="E10" s="40"/>
      <c r="F10" s="40"/>
      <c r="G10" s="43">
        <f>F10*6%</f>
        <v>0</v>
      </c>
      <c r="H10" s="43"/>
      <c r="I10" s="44">
        <f t="shared" si="0"/>
        <v>0</v>
      </c>
      <c r="J10" s="44">
        <f t="shared" si="1"/>
        <v>0</v>
      </c>
      <c r="K10" s="44">
        <f t="shared" si="2"/>
        <v>0</v>
      </c>
      <c r="L10" s="45"/>
      <c r="M10" s="40"/>
      <c r="N10" s="43">
        <f t="shared" si="3"/>
        <v>0</v>
      </c>
      <c r="O10" s="43">
        <f t="shared" si="4"/>
        <v>0</v>
      </c>
      <c r="P10" s="46"/>
      <c r="Q10" s="40"/>
      <c r="R10" s="40"/>
      <c r="S10" s="40"/>
      <c r="T10" s="5"/>
    </row>
    <row r="11" spans="1:25" ht="15">
      <c r="A11" s="32"/>
      <c r="B11" s="33"/>
      <c r="C11" s="32"/>
      <c r="D11" s="33"/>
      <c r="E11" s="34"/>
      <c r="F11" s="32"/>
      <c r="G11" s="32"/>
      <c r="H11" s="32"/>
      <c r="I11" s="37"/>
      <c r="J11" s="37"/>
      <c r="K11" s="35"/>
      <c r="L11" s="35"/>
      <c r="M11" s="35"/>
      <c r="N11" s="36"/>
      <c r="O11" s="32"/>
      <c r="P11" s="37"/>
      <c r="Q11" s="37"/>
      <c r="R11" s="38"/>
      <c r="S11" s="32"/>
      <c r="T11" s="39"/>
      <c r="U11" s="6"/>
      <c r="V11" s="6"/>
    </row>
    <row r="12" spans="1:25" ht="15">
      <c r="A12" s="40"/>
      <c r="B12" s="41"/>
      <c r="C12" s="42"/>
      <c r="D12" s="40"/>
      <c r="E12" s="40"/>
      <c r="F12" s="40"/>
      <c r="G12" s="43">
        <f>F12*6%</f>
        <v>0</v>
      </c>
      <c r="H12" s="43"/>
      <c r="I12" s="44">
        <f t="shared" si="0"/>
        <v>0</v>
      </c>
      <c r="J12" s="44">
        <f t="shared" si="1"/>
        <v>0</v>
      </c>
      <c r="K12" s="44">
        <f t="shared" si="2"/>
        <v>0</v>
      </c>
      <c r="L12" s="45"/>
      <c r="M12" s="40"/>
      <c r="N12" s="43">
        <f t="shared" si="3"/>
        <v>0</v>
      </c>
      <c r="O12" s="43">
        <f t="shared" si="4"/>
        <v>0</v>
      </c>
      <c r="P12" s="46"/>
      <c r="Q12" s="40"/>
      <c r="R12" s="40"/>
      <c r="S12" s="40"/>
      <c r="T12" s="5"/>
    </row>
    <row r="13" spans="1:25" ht="15">
      <c r="A13" s="32"/>
      <c r="B13" s="33"/>
      <c r="C13" s="32"/>
      <c r="D13" s="33"/>
      <c r="E13" s="34"/>
      <c r="F13" s="32"/>
      <c r="G13" s="32"/>
      <c r="H13" s="32"/>
      <c r="I13" s="37"/>
      <c r="J13" s="37"/>
      <c r="K13" s="35"/>
      <c r="L13" s="35"/>
      <c r="M13" s="35"/>
      <c r="N13" s="36"/>
      <c r="O13" s="32"/>
      <c r="P13" s="37"/>
      <c r="Q13" s="37"/>
      <c r="R13" s="38"/>
      <c r="S13" s="32"/>
      <c r="T13" s="39"/>
      <c r="U13" s="6"/>
      <c r="V13" s="6"/>
    </row>
    <row r="14" spans="1:25" ht="15">
      <c r="A14" s="40"/>
      <c r="B14" s="41"/>
      <c r="C14" s="42"/>
      <c r="D14" s="40"/>
      <c r="E14" s="40"/>
      <c r="F14" s="40"/>
      <c r="G14" s="43">
        <f>F14*6%</f>
        <v>0</v>
      </c>
      <c r="H14" s="43"/>
      <c r="I14" s="44">
        <f t="shared" si="0"/>
        <v>0</v>
      </c>
      <c r="J14" s="44">
        <f t="shared" si="1"/>
        <v>0</v>
      </c>
      <c r="K14" s="44">
        <f t="shared" si="2"/>
        <v>0</v>
      </c>
      <c r="L14" s="45"/>
      <c r="M14" s="40"/>
      <c r="N14" s="43">
        <f t="shared" si="3"/>
        <v>0</v>
      </c>
      <c r="O14" s="43">
        <f t="shared" si="4"/>
        <v>0</v>
      </c>
      <c r="P14" s="46"/>
      <c r="Q14" s="40"/>
      <c r="R14" s="40"/>
      <c r="S14" s="40"/>
      <c r="T14" s="5"/>
    </row>
    <row r="15" spans="1:25" ht="15">
      <c r="A15" s="32"/>
      <c r="B15" s="33"/>
      <c r="C15" s="32"/>
      <c r="D15" s="33"/>
      <c r="E15" s="34"/>
      <c r="F15" s="32"/>
      <c r="G15" s="32"/>
      <c r="H15" s="32"/>
      <c r="I15" s="37"/>
      <c r="J15" s="37"/>
      <c r="K15" s="35"/>
      <c r="L15" s="35"/>
      <c r="M15" s="35"/>
      <c r="N15" s="36"/>
      <c r="O15" s="32"/>
      <c r="P15" s="37"/>
      <c r="Q15" s="37"/>
      <c r="R15" s="38"/>
      <c r="S15" s="32"/>
      <c r="T15" s="39"/>
      <c r="U15" s="6"/>
      <c r="V15" s="6"/>
    </row>
    <row r="16" spans="1:25" ht="15">
      <c r="A16" s="40"/>
      <c r="B16" s="41"/>
      <c r="C16" s="42"/>
      <c r="D16" s="40"/>
      <c r="E16" s="40"/>
      <c r="F16" s="40"/>
      <c r="G16" s="43">
        <f>F16*6%</f>
        <v>0</v>
      </c>
      <c r="H16" s="43"/>
      <c r="I16" s="44">
        <f t="shared" si="0"/>
        <v>0</v>
      </c>
      <c r="J16" s="44">
        <f t="shared" si="1"/>
        <v>0</v>
      </c>
      <c r="K16" s="44">
        <f t="shared" si="2"/>
        <v>0</v>
      </c>
      <c r="L16" s="45"/>
      <c r="M16" s="40"/>
      <c r="N16" s="43">
        <f t="shared" si="3"/>
        <v>0</v>
      </c>
      <c r="O16" s="43">
        <f t="shared" si="4"/>
        <v>0</v>
      </c>
      <c r="P16" s="46"/>
      <c r="Q16" s="40"/>
      <c r="R16" s="40"/>
      <c r="S16" s="40"/>
      <c r="T16" s="5"/>
    </row>
    <row r="17" spans="1:22" ht="15">
      <c r="A17" s="32"/>
      <c r="B17" s="33"/>
      <c r="C17" s="32"/>
      <c r="D17" s="33"/>
      <c r="E17" s="34"/>
      <c r="F17" s="32"/>
      <c r="G17" s="32"/>
      <c r="H17" s="32"/>
      <c r="I17" s="37"/>
      <c r="J17" s="37"/>
      <c r="K17" s="35"/>
      <c r="L17" s="35"/>
      <c r="M17" s="35"/>
      <c r="N17" s="36"/>
      <c r="O17" s="32"/>
      <c r="P17" s="37"/>
      <c r="Q17" s="37"/>
      <c r="R17" s="38"/>
      <c r="S17" s="32"/>
      <c r="T17" s="39"/>
      <c r="U17" s="6"/>
      <c r="V17" s="6"/>
    </row>
    <row r="18" spans="1:22" ht="15">
      <c r="A18" s="40"/>
      <c r="B18" s="41"/>
      <c r="C18" s="42"/>
      <c r="D18" s="40"/>
      <c r="E18" s="40"/>
      <c r="F18" s="40"/>
      <c r="G18" s="43">
        <f>F18*6%</f>
        <v>0</v>
      </c>
      <c r="H18" s="43"/>
      <c r="I18" s="44">
        <f t="shared" si="0"/>
        <v>0</v>
      </c>
      <c r="J18" s="44">
        <f t="shared" si="1"/>
        <v>0</v>
      </c>
      <c r="K18" s="44">
        <f t="shared" si="2"/>
        <v>0</v>
      </c>
      <c r="L18" s="45"/>
      <c r="M18" s="40"/>
      <c r="N18" s="43">
        <f t="shared" si="3"/>
        <v>0</v>
      </c>
      <c r="O18" s="43">
        <f t="shared" si="4"/>
        <v>0</v>
      </c>
      <c r="P18" s="46"/>
      <c r="Q18" s="40"/>
      <c r="R18" s="40"/>
      <c r="S18" s="40"/>
      <c r="T18" s="5"/>
    </row>
    <row r="19" spans="1:22" ht="15">
      <c r="A19" s="32"/>
      <c r="B19" s="33"/>
      <c r="C19" s="32"/>
      <c r="D19" s="33"/>
      <c r="E19" s="34"/>
      <c r="F19" s="32"/>
      <c r="G19" s="32"/>
      <c r="H19" s="32"/>
      <c r="I19" s="37"/>
      <c r="J19" s="37"/>
      <c r="K19" s="35"/>
      <c r="L19" s="35"/>
      <c r="M19" s="35"/>
      <c r="N19" s="36"/>
      <c r="O19" s="32"/>
      <c r="P19" s="37"/>
      <c r="Q19" s="37"/>
      <c r="R19" s="38"/>
      <c r="S19" s="32"/>
      <c r="T19" s="39"/>
      <c r="U19" s="6"/>
      <c r="V19" s="6"/>
    </row>
    <row r="20" spans="1:22" ht="15">
      <c r="A20" s="40"/>
      <c r="B20" s="41"/>
      <c r="C20" s="42"/>
      <c r="D20" s="40"/>
      <c r="E20" s="40"/>
      <c r="F20" s="40"/>
      <c r="G20" s="43">
        <f>F20*6%</f>
        <v>0</v>
      </c>
      <c r="H20" s="43"/>
      <c r="I20" s="44">
        <f t="shared" si="0"/>
        <v>0</v>
      </c>
      <c r="J20" s="44">
        <f t="shared" si="1"/>
        <v>0</v>
      </c>
      <c r="K20" s="44">
        <f t="shared" si="2"/>
        <v>0</v>
      </c>
      <c r="L20" s="45"/>
      <c r="M20" s="40"/>
      <c r="N20" s="43">
        <f t="shared" si="3"/>
        <v>0</v>
      </c>
      <c r="O20" s="43">
        <f t="shared" si="4"/>
        <v>0</v>
      </c>
      <c r="P20" s="46"/>
      <c r="Q20" s="40"/>
      <c r="R20" s="40"/>
      <c r="S20" s="40"/>
      <c r="T20" s="5"/>
    </row>
    <row r="21" spans="1:22" ht="15">
      <c r="A21" s="32"/>
      <c r="B21" s="33"/>
      <c r="C21" s="32"/>
      <c r="D21" s="33"/>
      <c r="E21" s="34"/>
      <c r="F21" s="32"/>
      <c r="G21" s="32"/>
      <c r="H21" s="32"/>
      <c r="I21" s="37"/>
      <c r="J21" s="37"/>
      <c r="K21" s="35"/>
      <c r="L21" s="35"/>
      <c r="M21" s="35"/>
      <c r="N21" s="36"/>
      <c r="O21" s="32"/>
      <c r="P21" s="37"/>
      <c r="Q21" s="37"/>
      <c r="R21" s="38"/>
      <c r="S21" s="32"/>
      <c r="T21" s="39"/>
      <c r="U21" s="6"/>
      <c r="V21" s="6"/>
    </row>
    <row r="22" spans="1:22" ht="15">
      <c r="A22" s="40"/>
      <c r="B22" s="41"/>
      <c r="C22" s="42"/>
      <c r="D22" s="40"/>
      <c r="E22" s="40"/>
      <c r="F22" s="40"/>
      <c r="G22" s="43">
        <f>F22*6%</f>
        <v>0</v>
      </c>
      <c r="H22" s="43"/>
      <c r="I22" s="44">
        <f t="shared" si="0"/>
        <v>0</v>
      </c>
      <c r="J22" s="44">
        <f t="shared" si="1"/>
        <v>0</v>
      </c>
      <c r="K22" s="44">
        <f t="shared" si="2"/>
        <v>0</v>
      </c>
      <c r="L22" s="45"/>
      <c r="M22" s="40"/>
      <c r="N22" s="43">
        <f t="shared" si="3"/>
        <v>0</v>
      </c>
      <c r="O22" s="43">
        <f t="shared" si="4"/>
        <v>0</v>
      </c>
      <c r="P22" s="46"/>
      <c r="Q22" s="40"/>
      <c r="R22" s="40"/>
      <c r="S22" s="40"/>
      <c r="T22" s="5"/>
    </row>
    <row r="23" spans="1:22" ht="15">
      <c r="A23" s="32"/>
      <c r="B23" s="33"/>
      <c r="C23" s="32"/>
      <c r="D23" s="33"/>
      <c r="E23" s="34"/>
      <c r="F23" s="32"/>
      <c r="G23" s="32"/>
      <c r="H23" s="32"/>
      <c r="I23" s="37"/>
      <c r="J23" s="37"/>
      <c r="K23" s="35"/>
      <c r="L23" s="35"/>
      <c r="M23" s="35"/>
      <c r="N23" s="36"/>
      <c r="O23" s="32"/>
      <c r="P23" s="37"/>
      <c r="Q23" s="37"/>
      <c r="R23" s="38"/>
      <c r="S23" s="32"/>
      <c r="T23" s="39"/>
      <c r="U23" s="6"/>
      <c r="V23" s="6"/>
    </row>
    <row r="24" spans="1:22" ht="15">
      <c r="A24" s="40"/>
      <c r="B24" s="41"/>
      <c r="C24" s="42"/>
      <c r="D24" s="40"/>
      <c r="E24" s="40"/>
      <c r="F24" s="40"/>
      <c r="G24" s="43">
        <f>F24*6%</f>
        <v>0</v>
      </c>
      <c r="H24" s="43"/>
      <c r="I24" s="44">
        <f t="shared" si="0"/>
        <v>0</v>
      </c>
      <c r="J24" s="44">
        <f t="shared" si="1"/>
        <v>0</v>
      </c>
      <c r="K24" s="44">
        <f t="shared" si="2"/>
        <v>0</v>
      </c>
      <c r="L24" s="45"/>
      <c r="M24" s="40"/>
      <c r="N24" s="43">
        <f t="shared" si="3"/>
        <v>0</v>
      </c>
      <c r="O24" s="43">
        <f t="shared" si="4"/>
        <v>0</v>
      </c>
      <c r="P24" s="46"/>
      <c r="Q24" s="40"/>
      <c r="R24" s="40"/>
      <c r="S24" s="40"/>
      <c r="T24" s="5"/>
    </row>
    <row r="25" spans="1:22" ht="15">
      <c r="A25" s="32"/>
      <c r="B25" s="33"/>
      <c r="C25" s="32"/>
      <c r="D25" s="33"/>
      <c r="E25" s="34"/>
      <c r="F25" s="32"/>
      <c r="G25" s="32"/>
      <c r="H25" s="32"/>
      <c r="I25" s="37"/>
      <c r="J25" s="37"/>
      <c r="K25" s="35"/>
      <c r="L25" s="35"/>
      <c r="M25" s="35"/>
      <c r="N25" s="36"/>
      <c r="O25" s="32"/>
      <c r="P25" s="37"/>
      <c r="Q25" s="37"/>
      <c r="R25" s="38"/>
      <c r="S25" s="32"/>
      <c r="T25" s="39"/>
      <c r="U25" s="6"/>
      <c r="V25" s="6"/>
    </row>
    <row r="26" spans="1:22" ht="15">
      <c r="A26" s="40"/>
      <c r="B26" s="41"/>
      <c r="C26" s="42"/>
      <c r="D26" s="40"/>
      <c r="E26" s="40"/>
      <c r="F26" s="40"/>
      <c r="G26" s="43">
        <f>F26*6%</f>
        <v>0</v>
      </c>
      <c r="H26" s="43"/>
      <c r="I26" s="44">
        <f t="shared" si="0"/>
        <v>0</v>
      </c>
      <c r="J26" s="44">
        <f t="shared" si="1"/>
        <v>0</v>
      </c>
      <c r="K26" s="44">
        <f t="shared" si="2"/>
        <v>0</v>
      </c>
      <c r="L26" s="45"/>
      <c r="M26" s="40"/>
      <c r="N26" s="43">
        <f t="shared" si="3"/>
        <v>0</v>
      </c>
      <c r="O26" s="43">
        <f t="shared" si="4"/>
        <v>0</v>
      </c>
      <c r="P26" s="46"/>
      <c r="Q26" s="40"/>
      <c r="R26" s="40"/>
      <c r="S26" s="40"/>
      <c r="T26" s="5"/>
    </row>
    <row r="27" spans="1:22" ht="15">
      <c r="A27" s="32"/>
      <c r="B27" s="33"/>
      <c r="C27" s="32"/>
      <c r="D27" s="33"/>
      <c r="E27" s="34"/>
      <c r="F27" s="32"/>
      <c r="G27" s="32"/>
      <c r="H27" s="32"/>
      <c r="I27" s="37"/>
      <c r="J27" s="37"/>
      <c r="K27" s="35"/>
      <c r="L27" s="35"/>
      <c r="M27" s="35"/>
      <c r="N27" s="36"/>
      <c r="O27" s="32"/>
      <c r="P27" s="37"/>
      <c r="Q27" s="37"/>
      <c r="R27" s="38"/>
      <c r="S27" s="32"/>
      <c r="T27" s="39"/>
      <c r="U27" s="6"/>
      <c r="V27" s="6"/>
    </row>
    <row r="28" spans="1:22" ht="15">
      <c r="A28" s="40"/>
      <c r="B28" s="41"/>
      <c r="C28" s="42"/>
      <c r="D28" s="40"/>
      <c r="E28" s="40"/>
      <c r="F28" s="40"/>
      <c r="G28" s="43">
        <f>F28*6%</f>
        <v>0</v>
      </c>
      <c r="H28" s="43"/>
      <c r="I28" s="44">
        <f t="shared" si="0"/>
        <v>0</v>
      </c>
      <c r="J28" s="44">
        <f t="shared" si="1"/>
        <v>0</v>
      </c>
      <c r="K28" s="44">
        <f t="shared" si="2"/>
        <v>0</v>
      </c>
      <c r="L28" s="45"/>
      <c r="M28" s="40"/>
      <c r="N28" s="43">
        <f t="shared" si="3"/>
        <v>0</v>
      </c>
      <c r="O28" s="43">
        <f t="shared" si="4"/>
        <v>0</v>
      </c>
      <c r="P28" s="46"/>
      <c r="Q28" s="40"/>
      <c r="R28" s="40"/>
      <c r="S28" s="40"/>
      <c r="T28" s="5"/>
    </row>
    <row r="29" spans="1:22" ht="15">
      <c r="A29" s="32"/>
      <c r="B29" s="33"/>
      <c r="C29" s="32"/>
      <c r="D29" s="33"/>
      <c r="E29" s="34"/>
      <c r="F29" s="32"/>
      <c r="G29" s="32"/>
      <c r="H29" s="32"/>
      <c r="I29" s="37"/>
      <c r="J29" s="37"/>
      <c r="K29" s="35"/>
      <c r="L29" s="35"/>
      <c r="M29" s="35"/>
      <c r="N29" s="36"/>
      <c r="O29" s="32"/>
      <c r="P29" s="37"/>
      <c r="Q29" s="37"/>
      <c r="R29" s="38"/>
      <c r="S29" s="32"/>
      <c r="T29" s="39"/>
      <c r="U29" s="6"/>
      <c r="V29" s="6"/>
    </row>
    <row r="30" spans="1:22" ht="15">
      <c r="A30" s="50"/>
      <c r="B30" s="51"/>
      <c r="C30" s="52"/>
      <c r="D30" s="50"/>
      <c r="E30" s="50"/>
      <c r="F30" s="50"/>
      <c r="G30" s="43">
        <f>F30*6%</f>
        <v>0</v>
      </c>
      <c r="H30" s="53"/>
      <c r="I30" s="78">
        <f t="shared" si="0"/>
        <v>0</v>
      </c>
      <c r="J30" s="54">
        <f t="shared" si="1"/>
        <v>0</v>
      </c>
      <c r="K30" s="54">
        <f t="shared" si="2"/>
        <v>0</v>
      </c>
      <c r="L30" s="55"/>
      <c r="M30" s="50"/>
      <c r="N30" s="53">
        <f t="shared" si="3"/>
        <v>0</v>
      </c>
      <c r="O30" s="53">
        <f t="shared" si="4"/>
        <v>0</v>
      </c>
      <c r="P30" s="56"/>
      <c r="Q30" s="50"/>
      <c r="R30" s="50"/>
      <c r="S30" s="50"/>
      <c r="T30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946" priority="26" operator="containsText" text="SIN FACTURA ">
      <formula>NOT(ISERROR(SEARCH("SIN FACTURA ",A2)))</formula>
    </cfRule>
  </conditionalFormatting>
  <conditionalFormatting sqref="J30:T30 J28:T28 J26:T26 J24:T24 J22:T22 J20:T20 J18:T18 J16:T16 J14:T14 J12:T12 J10:T10 A10:H10 A12:H12 A14:H14 A16:H16 A18:H18 A20:H20 A22:H22 A24:H24 A26:H26 A28:H28 A30:H30 A4:T4 J5:T8 I5:I30 A5:H8">
    <cfRule type="containsText" dxfId="1945" priority="25" operator="containsText" text="SIN FACTURA">
      <formula>NOT(ISERROR(SEARCH("SIN FACTURA",A4)))</formula>
    </cfRule>
  </conditionalFormatting>
  <conditionalFormatting sqref="C9:H9 J9:V9">
    <cfRule type="containsText" dxfId="1944" priority="23" operator="containsText" text="SIN FACTURA">
      <formula>NOT(ISERROR(SEARCH("SIN FACTURA",C9)))</formula>
    </cfRule>
  </conditionalFormatting>
  <conditionalFormatting sqref="C11:H11 J11:V11">
    <cfRule type="containsText" dxfId="1943" priority="22" operator="containsText" text="SIN FACTURA">
      <formula>NOT(ISERROR(SEARCH("SIN FACTURA",C11)))</formula>
    </cfRule>
  </conditionalFormatting>
  <conditionalFormatting sqref="C13:H13 J13:V13">
    <cfRule type="containsText" dxfId="1942" priority="21" operator="containsText" text="SIN FACTURA">
      <formula>NOT(ISERROR(SEARCH("SIN FACTURA",C13)))</formula>
    </cfRule>
  </conditionalFormatting>
  <conditionalFormatting sqref="C15:H15 J15:V15">
    <cfRule type="containsText" dxfId="1941" priority="20" operator="containsText" text="SIN FACTURA">
      <formula>NOT(ISERROR(SEARCH("SIN FACTURA",C15)))</formula>
    </cfRule>
  </conditionalFormatting>
  <conditionalFormatting sqref="C17:H17 J17:V17">
    <cfRule type="containsText" dxfId="1940" priority="19" operator="containsText" text="SIN FACTURA">
      <formula>NOT(ISERROR(SEARCH("SIN FACTURA",C17)))</formula>
    </cfRule>
  </conditionalFormatting>
  <conditionalFormatting sqref="C19:H19 J19:V19">
    <cfRule type="containsText" dxfId="1939" priority="18" operator="containsText" text="SIN FACTURA">
      <formula>NOT(ISERROR(SEARCH("SIN FACTURA",C19)))</formula>
    </cfRule>
  </conditionalFormatting>
  <conditionalFormatting sqref="C21:H21 J21:V21">
    <cfRule type="containsText" dxfId="1938" priority="17" operator="containsText" text="SIN FACTURA">
      <formula>NOT(ISERROR(SEARCH("SIN FACTURA",C21)))</formula>
    </cfRule>
  </conditionalFormatting>
  <conditionalFormatting sqref="C23:H23 J23:V23">
    <cfRule type="containsText" dxfId="1937" priority="16" operator="containsText" text="SIN FACTURA">
      <formula>NOT(ISERROR(SEARCH("SIN FACTURA",C23)))</formula>
    </cfRule>
  </conditionalFormatting>
  <conditionalFormatting sqref="C25:H25 J25:V25">
    <cfRule type="containsText" dxfId="1936" priority="15" operator="containsText" text="SIN FACTURA">
      <formula>NOT(ISERROR(SEARCH("SIN FACTURA",C25)))</formula>
    </cfRule>
  </conditionalFormatting>
  <conditionalFormatting sqref="C27:H27 J27:V27">
    <cfRule type="containsText" dxfId="1935" priority="14" operator="containsText" text="SIN FACTURA">
      <formula>NOT(ISERROR(SEARCH("SIN FACTURA",C27)))</formula>
    </cfRule>
  </conditionalFormatting>
  <conditionalFormatting sqref="C29:H29 J29:V29">
    <cfRule type="containsText" dxfId="1934" priority="13" operator="containsText" text="SIN FACTURA">
      <formula>NOT(ISERROR(SEARCH("SIN FACTURA",C29)))</formula>
    </cfRule>
  </conditionalFormatting>
  <conditionalFormatting sqref="A9:B9">
    <cfRule type="containsText" dxfId="1933" priority="11" operator="containsText" text="SIN FACTURA">
      <formula>NOT(ISERROR(SEARCH("SIN FACTURA",A9)))</formula>
    </cfRule>
  </conditionalFormatting>
  <conditionalFormatting sqref="A11:B11">
    <cfRule type="containsText" dxfId="1932" priority="10" operator="containsText" text="SIN FACTURA">
      <formula>NOT(ISERROR(SEARCH("SIN FACTURA",A11)))</formula>
    </cfRule>
  </conditionalFormatting>
  <conditionalFormatting sqref="A13:B13">
    <cfRule type="containsText" dxfId="1931" priority="9" operator="containsText" text="SIN FACTURA">
      <formula>NOT(ISERROR(SEARCH("SIN FACTURA",A13)))</formula>
    </cfRule>
  </conditionalFormatting>
  <conditionalFormatting sqref="A15:B15">
    <cfRule type="containsText" dxfId="1930" priority="8" operator="containsText" text="SIN FACTURA">
      <formula>NOT(ISERROR(SEARCH("SIN FACTURA",A15)))</formula>
    </cfRule>
  </conditionalFormatting>
  <conditionalFormatting sqref="A17:B17">
    <cfRule type="containsText" dxfId="1929" priority="7" operator="containsText" text="SIN FACTURA">
      <formula>NOT(ISERROR(SEARCH("SIN FACTURA",A17)))</formula>
    </cfRule>
  </conditionalFormatting>
  <conditionalFormatting sqref="A29:B29">
    <cfRule type="containsText" dxfId="1928" priority="1" operator="containsText" text="SIN FACTURA">
      <formula>NOT(ISERROR(SEARCH("SIN FACTURA",A29)))</formula>
    </cfRule>
  </conditionalFormatting>
  <conditionalFormatting sqref="A19:B19">
    <cfRule type="containsText" dxfId="1927" priority="6" operator="containsText" text="SIN FACTURA">
      <formula>NOT(ISERROR(SEARCH("SIN FACTURA",A19)))</formula>
    </cfRule>
  </conditionalFormatting>
  <conditionalFormatting sqref="A21:B21">
    <cfRule type="containsText" dxfId="1926" priority="5" operator="containsText" text="SIN FACTURA">
      <formula>NOT(ISERROR(SEARCH("SIN FACTURA",A21)))</formula>
    </cfRule>
  </conditionalFormatting>
  <conditionalFormatting sqref="A23:B23">
    <cfRule type="containsText" dxfId="1925" priority="4" operator="containsText" text="SIN FACTURA">
      <formula>NOT(ISERROR(SEARCH("SIN FACTURA",A23)))</formula>
    </cfRule>
  </conditionalFormatting>
  <conditionalFormatting sqref="A25:B25">
    <cfRule type="containsText" dxfId="1924" priority="3" operator="containsText" text="SIN FACTURA">
      <formula>NOT(ISERROR(SEARCH("SIN FACTURA",A25)))</formula>
    </cfRule>
  </conditionalFormatting>
  <conditionalFormatting sqref="A27:B27">
    <cfRule type="containsText" dxfId="1923" priority="2" operator="containsText" text="SIN FACTURA">
      <formula>NOT(ISERROR(SEARCH("SIN FACTURA",A27)))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94.xml><?xml version="1.0" encoding="utf-8"?>
<worksheet xmlns="http://schemas.openxmlformats.org/spreadsheetml/2006/main" xmlns:r="http://schemas.openxmlformats.org/officeDocument/2006/relationships">
  <dimension ref="A1:Y39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10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270</v>
      </c>
      <c r="B1" s="18"/>
      <c r="C1" s="20">
        <v>504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9" si="0">F5-G5-H5</f>
        <v>0</v>
      </c>
      <c r="J5" s="44">
        <f>S5+T5</f>
        <v>0</v>
      </c>
      <c r="K5" s="44">
        <f>I5-J5</f>
        <v>0</v>
      </c>
      <c r="L5" s="45"/>
      <c r="M5" s="40"/>
      <c r="N5" s="43">
        <f t="shared" ref="N5:N39" si="1">I5-J5-M5-R5</f>
        <v>0</v>
      </c>
      <c r="O5" s="43">
        <f t="shared" ref="O5:O39" si="2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ref="J7:J39" si="3">S7+T7</f>
        <v>0</v>
      </c>
      <c r="K7" s="44">
        <f t="shared" ref="K7:K39" si="4">I7-J7</f>
        <v>0</v>
      </c>
      <c r="L7" s="45"/>
      <c r="M7" s="40"/>
      <c r="N7" s="43">
        <f t="shared" si="1"/>
        <v>0</v>
      </c>
      <c r="O7" s="43">
        <f t="shared" si="2"/>
        <v>0</v>
      </c>
      <c r="P7" s="46"/>
      <c r="Q7" s="40"/>
      <c r="R7" s="47"/>
      <c r="S7" s="47"/>
      <c r="T7" s="48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3"/>
        <v>0</v>
      </c>
      <c r="K9" s="44">
        <f t="shared" si="4"/>
        <v>0</v>
      </c>
      <c r="L9" s="45"/>
      <c r="M9" s="40"/>
      <c r="N9" s="43">
        <f t="shared" si="1"/>
        <v>0</v>
      </c>
      <c r="O9" s="43">
        <f t="shared" si="2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3"/>
        <v>0</v>
      </c>
      <c r="K11" s="44">
        <f t="shared" si="4"/>
        <v>0</v>
      </c>
      <c r="L11" s="45"/>
      <c r="M11" s="40"/>
      <c r="N11" s="43">
        <f t="shared" si="1"/>
        <v>0</v>
      </c>
      <c r="O11" s="43">
        <f t="shared" si="2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>S13+T13</f>
        <v>0</v>
      </c>
      <c r="K13" s="44">
        <f t="shared" si="4"/>
        <v>0</v>
      </c>
      <c r="L13" s="45"/>
      <c r="M13" s="40"/>
      <c r="N13" s="43">
        <f>I13-J13-M13-R13</f>
        <v>0</v>
      </c>
      <c r="O13" s="43">
        <f>R13+S13+T13</f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3"/>
        <v>0</v>
      </c>
      <c r="K15" s="44">
        <f t="shared" si="4"/>
        <v>0</v>
      </c>
      <c r="L15" s="45"/>
      <c r="M15" s="40"/>
      <c r="N15" s="43">
        <f t="shared" si="1"/>
        <v>0</v>
      </c>
      <c r="O15" s="43">
        <f t="shared" si="2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3"/>
        <v>0</v>
      </c>
      <c r="K17" s="44">
        <f t="shared" si="4"/>
        <v>0</v>
      </c>
      <c r="L17" s="45"/>
      <c r="M17" s="40"/>
      <c r="N17" s="43">
        <f t="shared" si="1"/>
        <v>0</v>
      </c>
      <c r="O17" s="43">
        <f t="shared" si="2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3"/>
        <v>0</v>
      </c>
      <c r="K19" s="44">
        <f t="shared" si="4"/>
        <v>0</v>
      </c>
      <c r="L19" s="45"/>
      <c r="M19" s="40"/>
      <c r="N19" s="43">
        <f t="shared" si="1"/>
        <v>0</v>
      </c>
      <c r="O19" s="43">
        <f t="shared" si="2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3"/>
        <v>0</v>
      </c>
      <c r="K21" s="44">
        <f t="shared" si="4"/>
        <v>0</v>
      </c>
      <c r="L21" s="45"/>
      <c r="M21" s="40"/>
      <c r="N21" s="43">
        <f t="shared" si="1"/>
        <v>0</v>
      </c>
      <c r="O21" s="43">
        <f t="shared" si="2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3"/>
        <v>0</v>
      </c>
      <c r="K23" s="44">
        <f t="shared" si="4"/>
        <v>0</v>
      </c>
      <c r="L23" s="45"/>
      <c r="M23" s="40"/>
      <c r="N23" s="43">
        <f t="shared" si="1"/>
        <v>0</v>
      </c>
      <c r="O23" s="43">
        <f t="shared" si="2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3"/>
        <v>0</v>
      </c>
      <c r="K25" s="44">
        <f t="shared" si="4"/>
        <v>0</v>
      </c>
      <c r="L25" s="45"/>
      <c r="M25" s="40"/>
      <c r="N25" s="43">
        <f t="shared" si="1"/>
        <v>0</v>
      </c>
      <c r="O25" s="43">
        <f t="shared" si="2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3"/>
        <v>0</v>
      </c>
      <c r="K27" s="44">
        <f t="shared" si="4"/>
        <v>0</v>
      </c>
      <c r="L27" s="45"/>
      <c r="M27" s="40"/>
      <c r="N27" s="43">
        <f t="shared" si="1"/>
        <v>0</v>
      </c>
      <c r="O27" s="43">
        <f t="shared" si="2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3"/>
        <v>0</v>
      </c>
      <c r="K29" s="44">
        <f t="shared" si="4"/>
        <v>0</v>
      </c>
      <c r="L29" s="45"/>
      <c r="M29" s="40"/>
      <c r="N29" s="43">
        <f t="shared" si="1"/>
        <v>0</v>
      </c>
      <c r="O29" s="43">
        <f t="shared" si="2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3"/>
        <v>0</v>
      </c>
      <c r="K31" s="44">
        <f t="shared" si="4"/>
        <v>0</v>
      </c>
      <c r="L31" s="45"/>
      <c r="M31" s="40"/>
      <c r="N31" s="43">
        <f t="shared" si="1"/>
        <v>0</v>
      </c>
      <c r="O31" s="43">
        <f t="shared" si="2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3"/>
        <v>0</v>
      </c>
      <c r="K33" s="44">
        <f t="shared" si="4"/>
        <v>0</v>
      </c>
      <c r="L33" s="45"/>
      <c r="M33" s="40"/>
      <c r="N33" s="43">
        <f t="shared" si="1"/>
        <v>0</v>
      </c>
      <c r="O33" s="43">
        <f t="shared" si="2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3"/>
        <v>0</v>
      </c>
      <c r="K35" s="44">
        <f t="shared" si="4"/>
        <v>0</v>
      </c>
      <c r="L35" s="45"/>
      <c r="M35" s="40"/>
      <c r="N35" s="43">
        <f t="shared" si="1"/>
        <v>0</v>
      </c>
      <c r="O35" s="43">
        <f t="shared" si="2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3"/>
        <v>0</v>
      </c>
      <c r="K37" s="44">
        <f t="shared" si="4"/>
        <v>0</v>
      </c>
      <c r="L37" s="45"/>
      <c r="M37" s="40"/>
      <c r="N37" s="43">
        <f t="shared" si="1"/>
        <v>0</v>
      </c>
      <c r="O37" s="43">
        <f t="shared" si="2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50"/>
      <c r="B39" s="51"/>
      <c r="C39" s="52"/>
      <c r="D39" s="50"/>
      <c r="E39" s="50"/>
      <c r="F39" s="50"/>
      <c r="G39" s="43">
        <f>F39*6%</f>
        <v>0</v>
      </c>
      <c r="H39" s="53"/>
      <c r="I39" s="78">
        <f t="shared" si="0"/>
        <v>0</v>
      </c>
      <c r="J39" s="54">
        <f t="shared" si="3"/>
        <v>0</v>
      </c>
      <c r="K39" s="54">
        <f t="shared" si="4"/>
        <v>0</v>
      </c>
      <c r="L39" s="55"/>
      <c r="M39" s="50"/>
      <c r="N39" s="53">
        <f t="shared" si="1"/>
        <v>0</v>
      </c>
      <c r="O39" s="53">
        <f t="shared" si="2"/>
        <v>0</v>
      </c>
      <c r="P39" s="56"/>
      <c r="Q39" s="50"/>
      <c r="R39" s="50"/>
      <c r="S39" s="50"/>
      <c r="T39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922" priority="26" operator="containsText" text="SIN FACTURA ">
      <formula>NOT(ISERROR(SEARCH("SIN FACTURA ",A2)))</formula>
    </cfRule>
  </conditionalFormatting>
  <conditionalFormatting sqref="J39:T39 J37:T37 J35:T35 J33:T33 J31:T31 J29:T29 J27:T27 J25:T25 J23:T23 J21:T21 J19:T19 J9:T17 A9:H17 A19:H19 A21:H21 A23:H23 A25:H25 A27:H27 A29:H29 A31:H31 A33:H33 A35:H35 A37:H37 A39:H39 A4:T4 J5:T7 I5:I39 A5:H7">
    <cfRule type="containsText" dxfId="1921" priority="25" operator="containsText" text="SIN FACTURA">
      <formula>NOT(ISERROR(SEARCH("SIN FACTURA",A4)))</formula>
    </cfRule>
  </conditionalFormatting>
  <conditionalFormatting sqref="C8:H8 J8:V8">
    <cfRule type="containsText" dxfId="1920" priority="24" operator="containsText" text="SIN FACTURA">
      <formula>NOT(ISERROR(SEARCH("SIN FACTURA",C8)))</formula>
    </cfRule>
  </conditionalFormatting>
  <conditionalFormatting sqref="C18:H18 J18:V18">
    <cfRule type="containsText" dxfId="1919" priority="23" operator="containsText" text="SIN FACTURA">
      <formula>NOT(ISERROR(SEARCH("SIN FACTURA",C18)))</formula>
    </cfRule>
  </conditionalFormatting>
  <conditionalFormatting sqref="C20:H20 J20:V20">
    <cfRule type="containsText" dxfId="1918" priority="22" operator="containsText" text="SIN FACTURA">
      <formula>NOT(ISERROR(SEARCH("SIN FACTURA",C20)))</formula>
    </cfRule>
  </conditionalFormatting>
  <conditionalFormatting sqref="C22:H22 J22:V22">
    <cfRule type="containsText" dxfId="1917" priority="21" operator="containsText" text="SIN FACTURA">
      <formula>NOT(ISERROR(SEARCH("SIN FACTURA",C22)))</formula>
    </cfRule>
  </conditionalFormatting>
  <conditionalFormatting sqref="C24:H24 J24:V24">
    <cfRule type="containsText" dxfId="1916" priority="20" operator="containsText" text="SIN FACTURA">
      <formula>NOT(ISERROR(SEARCH("SIN FACTURA",C24)))</formula>
    </cfRule>
  </conditionalFormatting>
  <conditionalFormatting sqref="C26:H26 J26:V26">
    <cfRule type="containsText" dxfId="1915" priority="19" operator="containsText" text="SIN FACTURA">
      <formula>NOT(ISERROR(SEARCH("SIN FACTURA",C26)))</formula>
    </cfRule>
  </conditionalFormatting>
  <conditionalFormatting sqref="C28:H28 J28:V28">
    <cfRule type="containsText" dxfId="1914" priority="18" operator="containsText" text="SIN FACTURA">
      <formula>NOT(ISERROR(SEARCH("SIN FACTURA",C28)))</formula>
    </cfRule>
  </conditionalFormatting>
  <conditionalFormatting sqref="C30:H30 J30:V30">
    <cfRule type="containsText" dxfId="1913" priority="17" operator="containsText" text="SIN FACTURA">
      <formula>NOT(ISERROR(SEARCH("SIN FACTURA",C30)))</formula>
    </cfRule>
  </conditionalFormatting>
  <conditionalFormatting sqref="C32:H32 J32:V32">
    <cfRule type="containsText" dxfId="1912" priority="16" operator="containsText" text="SIN FACTURA">
      <formula>NOT(ISERROR(SEARCH("SIN FACTURA",C32)))</formula>
    </cfRule>
  </conditionalFormatting>
  <conditionalFormatting sqref="C34:H34 J34:V34">
    <cfRule type="containsText" dxfId="1911" priority="15" operator="containsText" text="SIN FACTURA">
      <formula>NOT(ISERROR(SEARCH("SIN FACTURA",C34)))</formula>
    </cfRule>
  </conditionalFormatting>
  <conditionalFormatting sqref="C36:H36 J36:V36">
    <cfRule type="containsText" dxfId="1910" priority="14" operator="containsText" text="SIN FACTURA">
      <formula>NOT(ISERROR(SEARCH("SIN FACTURA",C36)))</formula>
    </cfRule>
  </conditionalFormatting>
  <conditionalFormatting sqref="C38:H38 J38:V38">
    <cfRule type="containsText" dxfId="1909" priority="13" operator="containsText" text="SIN FACTURA">
      <formula>NOT(ISERROR(SEARCH("SIN FACTURA",C38)))</formula>
    </cfRule>
  </conditionalFormatting>
  <conditionalFormatting sqref="A8:B8">
    <cfRule type="containsText" dxfId="1908" priority="12" operator="containsText" text="SIN FACTURA">
      <formula>NOT(ISERROR(SEARCH("SIN FACTURA",A8)))</formula>
    </cfRule>
  </conditionalFormatting>
  <conditionalFormatting sqref="A18:B18">
    <cfRule type="containsText" dxfId="1907" priority="11" operator="containsText" text="SIN FACTURA">
      <formula>NOT(ISERROR(SEARCH("SIN FACTURA",A18)))</formula>
    </cfRule>
  </conditionalFormatting>
  <conditionalFormatting sqref="A20:B20">
    <cfRule type="containsText" dxfId="1906" priority="10" operator="containsText" text="SIN FACTURA">
      <formula>NOT(ISERROR(SEARCH("SIN FACTURA",A20)))</formula>
    </cfRule>
  </conditionalFormatting>
  <conditionalFormatting sqref="A22:B22">
    <cfRule type="containsText" dxfId="1905" priority="9" operator="containsText" text="SIN FACTURA">
      <formula>NOT(ISERROR(SEARCH("SIN FACTURA",A22)))</formula>
    </cfRule>
  </conditionalFormatting>
  <conditionalFormatting sqref="A24:B24">
    <cfRule type="containsText" dxfId="1904" priority="8" operator="containsText" text="SIN FACTURA">
      <formula>NOT(ISERROR(SEARCH("SIN FACTURA",A24)))</formula>
    </cfRule>
  </conditionalFormatting>
  <conditionalFormatting sqref="A26:B26">
    <cfRule type="containsText" dxfId="1903" priority="7" operator="containsText" text="SIN FACTURA">
      <formula>NOT(ISERROR(SEARCH("SIN FACTURA",A26)))</formula>
    </cfRule>
  </conditionalFormatting>
  <conditionalFormatting sqref="A38:B38">
    <cfRule type="containsText" dxfId="1902" priority="1" operator="containsText" text="SIN FACTURA">
      <formula>NOT(ISERROR(SEARCH("SIN FACTURA",A38)))</formula>
    </cfRule>
  </conditionalFormatting>
  <conditionalFormatting sqref="A28:B28">
    <cfRule type="containsText" dxfId="1901" priority="6" operator="containsText" text="SIN FACTURA">
      <formula>NOT(ISERROR(SEARCH("SIN FACTURA",A28)))</formula>
    </cfRule>
  </conditionalFormatting>
  <conditionalFormatting sqref="A30:B30">
    <cfRule type="containsText" dxfId="1900" priority="5" operator="containsText" text="SIN FACTURA">
      <formula>NOT(ISERROR(SEARCH("SIN FACTURA",A30)))</formula>
    </cfRule>
  </conditionalFormatting>
  <conditionalFormatting sqref="A32:B32">
    <cfRule type="containsText" dxfId="1899" priority="4" operator="containsText" text="SIN FACTURA">
      <formula>NOT(ISERROR(SEARCH("SIN FACTURA",A32)))</formula>
    </cfRule>
  </conditionalFormatting>
  <conditionalFormatting sqref="A34:B34">
    <cfRule type="containsText" dxfId="1898" priority="3" operator="containsText" text="SIN FACTURA">
      <formula>NOT(ISERROR(SEARCH("SIN FACTURA",A34)))</formula>
    </cfRule>
  </conditionalFormatting>
  <conditionalFormatting sqref="A36:B36">
    <cfRule type="containsText" dxfId="1897" priority="2" operator="containsText" text="SIN FACTURA">
      <formula>NOT(ISERROR(SEARCH("SIN FACTURA",A36)))</formula>
    </cfRule>
  </conditionalFormatting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>
  <sheetPr codeName="Hoja42"/>
  <dimension ref="A1:Y52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12"/>
    </sheetView>
  </sheetViews>
  <sheetFormatPr baseColWidth="10" defaultColWidth="10.875" defaultRowHeight="15.75"/>
  <cols>
    <col min="1" max="1" width="19.625" style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125</v>
      </c>
      <c r="B1" s="18" t="s">
        <v>48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7" si="0">F5-G5-H5</f>
        <v>0</v>
      </c>
      <c r="J5" s="44">
        <f t="shared" ref="J5:J37" si="1">S5+T5</f>
        <v>0</v>
      </c>
      <c r="K5" s="44">
        <f t="shared" ref="K5:K37" si="2">I5-J5</f>
        <v>0</v>
      </c>
      <c r="L5" s="45"/>
      <c r="M5" s="40"/>
      <c r="N5" s="43">
        <f t="shared" ref="N5:N37" si="3">I5-J5-M5-R5</f>
        <v>0</v>
      </c>
      <c r="O5" s="43">
        <f t="shared" ref="O5:O37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2"/>
      <c r="D6" s="33"/>
      <c r="E6" s="34"/>
      <c r="F6" s="32"/>
      <c r="G6" s="32"/>
      <c r="H6" s="32"/>
      <c r="I6" s="37"/>
      <c r="J6" s="37"/>
      <c r="K6" s="35"/>
      <c r="L6" s="35"/>
      <c r="M6" s="35"/>
      <c r="N6" s="36"/>
      <c r="O6" s="32"/>
      <c r="P6" s="37"/>
      <c r="Q6" s="37"/>
      <c r="R6" s="38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124"/>
      <c r="Q7" s="125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>S11+T11</f>
        <v>0</v>
      </c>
      <c r="K11" s="44">
        <f t="shared" si="2"/>
        <v>0</v>
      </c>
      <c r="L11" s="45"/>
      <c r="M11" s="40"/>
      <c r="N11" s="43">
        <f>I11-J11-M11-R11</f>
        <v>0</v>
      </c>
      <c r="O11" s="43">
        <f>R11+S11+T11</f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</row>
    <row r="17" spans="1:20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0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</row>
    <row r="19" spans="1:20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0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</row>
    <row r="21" spans="1:20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0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0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0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</row>
    <row r="25" spans="1:20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0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</row>
    <row r="27" spans="1:20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0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</row>
    <row r="29" spans="1:20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0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</row>
    <row r="31" spans="1:20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0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</row>
    <row r="33" spans="1:20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0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</row>
    <row r="35" spans="1:20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0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</row>
    <row r="37" spans="1:20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0" ht="15">
      <c r="A38" s="58"/>
      <c r="B38" s="59"/>
      <c r="C38" s="60"/>
      <c r="D38" s="58"/>
      <c r="E38" s="58"/>
      <c r="F38" s="58"/>
      <c r="G38" s="58"/>
      <c r="H38" s="58"/>
      <c r="I38" s="61"/>
      <c r="J38" s="61"/>
      <c r="K38" s="61"/>
      <c r="L38" s="62"/>
      <c r="M38" s="58"/>
      <c r="N38" s="63"/>
      <c r="O38" s="63"/>
      <c r="P38" s="64"/>
      <c r="Q38" s="58"/>
      <c r="R38" s="58"/>
      <c r="S38" s="58"/>
      <c r="T38" s="68"/>
    </row>
    <row r="39" spans="1:20" ht="15">
      <c r="A39" s="91"/>
      <c r="B39" s="41"/>
      <c r="C39" s="89"/>
      <c r="D39" s="91"/>
      <c r="E39" s="91"/>
      <c r="F39" s="91"/>
      <c r="G39" s="40"/>
      <c r="H39" s="40"/>
      <c r="I39" s="44"/>
      <c r="J39" s="44"/>
      <c r="K39" s="44"/>
      <c r="L39" s="45"/>
      <c r="M39" s="40"/>
      <c r="N39" s="43"/>
      <c r="O39" s="43"/>
      <c r="P39" s="46"/>
      <c r="Q39" s="40"/>
      <c r="R39" s="40"/>
      <c r="S39" s="40"/>
      <c r="T39" s="5"/>
    </row>
    <row r="40" spans="1:20" ht="15">
      <c r="A40" s="58"/>
      <c r="B40" s="59"/>
      <c r="C40" s="60"/>
      <c r="D40" s="58"/>
      <c r="E40" s="58"/>
      <c r="F40" s="58"/>
      <c r="G40" s="58"/>
      <c r="H40" s="58"/>
      <c r="I40" s="61"/>
      <c r="J40" s="61"/>
      <c r="K40" s="61"/>
      <c r="L40" s="62"/>
      <c r="M40" s="58"/>
      <c r="N40" s="63"/>
      <c r="O40" s="63"/>
      <c r="P40" s="64"/>
      <c r="Q40" s="58"/>
      <c r="R40" s="58"/>
      <c r="S40" s="58"/>
      <c r="T40" s="68"/>
    </row>
    <row r="41" spans="1:20" ht="15">
      <c r="A41" s="40"/>
      <c r="B41" s="41"/>
      <c r="C41" s="42"/>
      <c r="D41" s="40"/>
      <c r="E41" s="40"/>
      <c r="F41" s="40"/>
      <c r="G41" s="40"/>
      <c r="H41" s="40"/>
      <c r="I41" s="44"/>
      <c r="J41" s="44"/>
      <c r="K41" s="44"/>
      <c r="L41" s="45"/>
      <c r="M41" s="40"/>
      <c r="N41" s="43"/>
      <c r="O41" s="43"/>
      <c r="P41" s="46"/>
      <c r="Q41" s="40"/>
      <c r="R41" s="40"/>
      <c r="S41" s="40"/>
      <c r="T41" s="5"/>
    </row>
    <row r="42" spans="1:20" ht="15">
      <c r="A42" s="58"/>
      <c r="B42" s="59"/>
      <c r="C42" s="60"/>
      <c r="D42" s="58"/>
      <c r="E42" s="58"/>
      <c r="F42" s="58"/>
      <c r="G42" s="58"/>
      <c r="H42" s="58"/>
      <c r="I42" s="61"/>
      <c r="J42" s="61"/>
      <c r="K42" s="61"/>
      <c r="L42" s="62"/>
      <c r="M42" s="58"/>
      <c r="N42" s="63"/>
      <c r="O42" s="63"/>
      <c r="P42" s="64"/>
      <c r="Q42" s="58"/>
      <c r="R42" s="58"/>
      <c r="S42" s="58"/>
      <c r="T42" s="68"/>
    </row>
    <row r="43" spans="1:20" ht="15">
      <c r="A43" s="40"/>
      <c r="B43" s="41"/>
      <c r="C43" s="42"/>
      <c r="D43" s="40"/>
      <c r="E43" s="40"/>
      <c r="F43" s="40"/>
      <c r="G43" s="40"/>
      <c r="H43" s="40"/>
      <c r="I43" s="44"/>
      <c r="J43" s="44"/>
      <c r="K43" s="44"/>
      <c r="L43" s="45"/>
      <c r="M43" s="40"/>
      <c r="N43" s="43"/>
      <c r="O43" s="43"/>
      <c r="P43" s="46"/>
      <c r="Q43" s="40"/>
      <c r="R43" s="40"/>
      <c r="S43" s="40"/>
      <c r="T43" s="5"/>
    </row>
    <row r="44" spans="1:20" ht="15">
      <c r="A44" s="58"/>
      <c r="B44" s="59"/>
      <c r="C44" s="60"/>
      <c r="D44" s="58"/>
      <c r="E44" s="58"/>
      <c r="F44" s="58"/>
      <c r="G44" s="58"/>
      <c r="H44" s="58"/>
      <c r="I44" s="61"/>
      <c r="J44" s="61"/>
      <c r="K44" s="61"/>
      <c r="L44" s="62"/>
      <c r="M44" s="58"/>
      <c r="N44" s="63"/>
      <c r="O44" s="63"/>
      <c r="P44" s="64"/>
      <c r="Q44" s="58"/>
      <c r="R44" s="58"/>
      <c r="S44" s="58"/>
      <c r="T44" s="68"/>
    </row>
    <row r="45" spans="1:20" ht="15">
      <c r="A45" s="40"/>
      <c r="B45" s="41"/>
      <c r="C45" s="42"/>
      <c r="D45" s="40"/>
      <c r="E45" s="40"/>
      <c r="F45" s="40"/>
      <c r="G45" s="40"/>
      <c r="H45" s="40"/>
      <c r="I45" s="44"/>
      <c r="J45" s="44"/>
      <c r="K45" s="44"/>
      <c r="L45" s="45"/>
      <c r="M45" s="40"/>
      <c r="N45" s="43"/>
      <c r="O45" s="43"/>
      <c r="P45" s="46"/>
      <c r="Q45" s="40"/>
      <c r="R45" s="40"/>
      <c r="S45" s="40"/>
      <c r="T45" s="5"/>
    </row>
    <row r="46" spans="1:20" ht="15">
      <c r="A46" s="58"/>
      <c r="B46" s="59"/>
      <c r="C46" s="60"/>
      <c r="D46" s="58"/>
      <c r="E46" s="58"/>
      <c r="F46" s="58"/>
      <c r="G46" s="58"/>
      <c r="H46" s="58"/>
      <c r="I46" s="61"/>
      <c r="J46" s="61"/>
      <c r="K46" s="61"/>
      <c r="L46" s="62"/>
      <c r="M46" s="58"/>
      <c r="N46" s="63"/>
      <c r="O46" s="63"/>
      <c r="P46" s="64"/>
      <c r="Q46" s="58"/>
      <c r="R46" s="58"/>
      <c r="S46" s="58"/>
      <c r="T46" s="68"/>
    </row>
    <row r="47" spans="1:20" ht="15">
      <c r="A47" s="40"/>
      <c r="B47" s="41"/>
      <c r="C47" s="42"/>
      <c r="D47" s="40"/>
      <c r="E47" s="40"/>
      <c r="F47" s="40"/>
      <c r="G47" s="40"/>
      <c r="H47" s="40"/>
      <c r="I47" s="44"/>
      <c r="J47" s="44"/>
      <c r="K47" s="44"/>
      <c r="L47" s="45"/>
      <c r="M47" s="40"/>
      <c r="N47" s="43"/>
      <c r="O47" s="43"/>
      <c r="P47" s="46"/>
      <c r="Q47" s="40"/>
      <c r="R47" s="40"/>
      <c r="S47" s="40"/>
      <c r="T47" s="5"/>
    </row>
    <row r="48" spans="1:20" ht="15">
      <c r="A48" s="58"/>
      <c r="B48" s="59"/>
      <c r="C48" s="60"/>
      <c r="D48" s="58"/>
      <c r="E48" s="58"/>
      <c r="F48" s="58"/>
      <c r="G48" s="58"/>
      <c r="H48" s="58"/>
      <c r="I48" s="61"/>
      <c r="J48" s="61"/>
      <c r="K48" s="61"/>
      <c r="L48" s="62"/>
      <c r="M48" s="58"/>
      <c r="N48" s="63"/>
      <c r="O48" s="63"/>
      <c r="P48" s="64"/>
      <c r="Q48" s="58"/>
      <c r="R48" s="58"/>
      <c r="S48" s="58"/>
      <c r="T48" s="68"/>
    </row>
    <row r="49" spans="1:20" ht="15">
      <c r="A49" s="40"/>
      <c r="B49" s="41"/>
      <c r="C49" s="42"/>
      <c r="D49" s="40"/>
      <c r="E49" s="40"/>
      <c r="F49" s="40"/>
      <c r="G49" s="40"/>
      <c r="H49" s="40"/>
      <c r="I49" s="44"/>
      <c r="J49" s="44"/>
      <c r="K49" s="44"/>
      <c r="L49" s="45"/>
      <c r="M49" s="40"/>
      <c r="N49" s="43"/>
      <c r="O49" s="43"/>
      <c r="P49" s="46"/>
      <c r="Q49" s="40"/>
      <c r="R49" s="40"/>
      <c r="S49" s="40"/>
      <c r="T49" s="5"/>
    </row>
    <row r="50" spans="1:20" ht="15">
      <c r="A50" s="58"/>
      <c r="B50" s="59"/>
      <c r="C50" s="60"/>
      <c r="D50" s="58"/>
      <c r="E50" s="58"/>
      <c r="F50" s="58"/>
      <c r="G50" s="58"/>
      <c r="H50" s="58"/>
      <c r="I50" s="61"/>
      <c r="J50" s="61"/>
      <c r="K50" s="61"/>
      <c r="L50" s="62"/>
      <c r="M50" s="58"/>
      <c r="N50" s="63"/>
      <c r="O50" s="63"/>
      <c r="P50" s="64"/>
      <c r="Q50" s="58"/>
      <c r="R50" s="58"/>
      <c r="S50" s="58"/>
      <c r="T50" s="68"/>
    </row>
    <row r="51" spans="1:20" ht="15">
      <c r="A51" s="40"/>
      <c r="B51" s="41"/>
      <c r="C51" s="42"/>
      <c r="D51" s="40"/>
      <c r="E51" s="40"/>
      <c r="F51" s="40"/>
      <c r="G51" s="40"/>
      <c r="H51" s="40"/>
      <c r="I51" s="44"/>
      <c r="J51" s="44"/>
      <c r="K51" s="44"/>
      <c r="L51" s="45"/>
      <c r="M51" s="40"/>
      <c r="N51" s="43"/>
      <c r="O51" s="43"/>
      <c r="P51" s="46"/>
      <c r="Q51" s="40"/>
      <c r="R51" s="40"/>
      <c r="S51" s="40"/>
      <c r="T51" s="5"/>
    </row>
    <row r="52" spans="1:20" ht="15">
      <c r="A52" s="69"/>
      <c r="B52" s="70"/>
      <c r="C52" s="71"/>
      <c r="D52" s="69"/>
      <c r="E52" s="69"/>
      <c r="F52" s="69"/>
      <c r="G52" s="69"/>
      <c r="H52" s="69"/>
      <c r="I52" s="72"/>
      <c r="J52" s="72"/>
      <c r="K52" s="72"/>
      <c r="L52" s="73"/>
      <c r="M52" s="69"/>
      <c r="N52" s="74"/>
      <c r="O52" s="74"/>
      <c r="P52" s="75"/>
      <c r="Q52" s="69"/>
      <c r="R52" s="69"/>
      <c r="S52" s="69"/>
      <c r="T52" s="76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1896" priority="27" operator="containsText" text="SIN FACTURA ">
      <formula>NOT(ISERROR(SEARCH("SIN FACTURA ",A2)))</formula>
    </cfRule>
  </conditionalFormatting>
  <conditionalFormatting sqref="A38:T52 J37:T37 J35:T35 J33:T33 J31:T31 J29:T29 J27:T27 J25:T25 J23:T23 J21:T21 J19:T19 J17:T17 J7:T15 J6:V6 J16:V16 J18:V18 J20:V20 J22:V22 J24:V24 J26:V26 J28:V28 J30:V30 J32:V32 J34:V34 J36:V36 A4:T4 J5:T5 A5:I37">
    <cfRule type="containsText" dxfId="1895" priority="26" operator="containsText" text="SIN FACTURA">
      <formula>NOT(ISERROR(SEARCH("SIN FACTURA",A4)))</formula>
    </cfRule>
  </conditionalFormatting>
  <pageMargins left="0.75" right="0.75" top="1" bottom="1" header="0.5" footer="0.5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>
  <sheetPr codeName="Hoja107"/>
  <dimension ref="A1:Y27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22"/>
    </sheetView>
  </sheetViews>
  <sheetFormatPr baseColWidth="10" defaultColWidth="10.875" defaultRowHeight="15.75"/>
  <cols>
    <col min="1" max="1" width="18.5" style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168</v>
      </c>
      <c r="B1" s="18"/>
      <c r="C1" s="20">
        <v>469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27" si="0">F5-G5-H5</f>
        <v>0</v>
      </c>
      <c r="J5" s="44">
        <f t="shared" ref="J5:J27" si="1">S5+T5</f>
        <v>0</v>
      </c>
      <c r="K5" s="44">
        <f t="shared" ref="K5:K27" si="2">I5-J5</f>
        <v>0</v>
      </c>
      <c r="L5" s="45"/>
      <c r="M5" s="40"/>
      <c r="N5" s="43">
        <f t="shared" ref="N5:N27" si="3">I5-J5-M5-R5</f>
        <v>0</v>
      </c>
      <c r="O5" s="43">
        <f t="shared" ref="O5:O27" si="4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2"/>
      <c r="D6" s="33"/>
      <c r="E6" s="34"/>
      <c r="F6" s="32"/>
      <c r="G6" s="37"/>
      <c r="H6" s="32"/>
      <c r="I6" s="37"/>
      <c r="J6" s="37"/>
      <c r="K6" s="35"/>
      <c r="L6" s="35"/>
      <c r="M6" s="35"/>
      <c r="N6" s="36"/>
      <c r="O6" s="32"/>
      <c r="P6" s="37"/>
      <c r="Q6" s="37"/>
      <c r="R6" s="38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  <c r="U8" s="6"/>
      <c r="V8" s="6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  <c r="U10" s="6"/>
      <c r="V10" s="6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50"/>
      <c r="B27" s="51"/>
      <c r="C27" s="52"/>
      <c r="D27" s="50"/>
      <c r="E27" s="50"/>
      <c r="F27" s="50"/>
      <c r="G27" s="43">
        <f>F27*6%</f>
        <v>0</v>
      </c>
      <c r="H27" s="53"/>
      <c r="I27" s="78">
        <f t="shared" si="0"/>
        <v>0</v>
      </c>
      <c r="J27" s="54">
        <f t="shared" si="1"/>
        <v>0</v>
      </c>
      <c r="K27" s="54">
        <f t="shared" si="2"/>
        <v>0</v>
      </c>
      <c r="L27" s="55"/>
      <c r="M27" s="50"/>
      <c r="N27" s="53">
        <f t="shared" si="3"/>
        <v>0</v>
      </c>
      <c r="O27" s="53">
        <f t="shared" si="4"/>
        <v>0</v>
      </c>
      <c r="P27" s="56"/>
      <c r="Q27" s="50"/>
      <c r="R27" s="50"/>
      <c r="S27" s="50"/>
      <c r="T27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894" priority="26" operator="containsText" text="SIN FACTURA ">
      <formula>NOT(ISERROR(SEARCH("SIN FACTURA ",A2)))</formula>
    </cfRule>
  </conditionalFormatting>
  <conditionalFormatting sqref="J27:T27 J25:T25 J23:T23 J21:T21 J19:T19 J17:T17 J15:T15 J13:T13 J11:T11 J9:T9 J7:T7 A7:H7 A9:H9 A11:H11 A13:H13 A15:H15 A17:H17 A19:H19 A21:H21 A23:H23 A25:H25 A27:H27 A4:T4 J5:T5 I5:I27 A5:H5">
    <cfRule type="containsText" dxfId="1893" priority="25" operator="containsText" text="SIN FACTURA">
      <formula>NOT(ISERROR(SEARCH("SIN FACTURA",A4)))</formula>
    </cfRule>
  </conditionalFormatting>
  <conditionalFormatting sqref="C6:H6 J6:V6">
    <cfRule type="containsText" dxfId="1892" priority="23" operator="containsText" text="SIN FACTURA">
      <formula>NOT(ISERROR(SEARCH("SIN FACTURA",C6)))</formula>
    </cfRule>
  </conditionalFormatting>
  <conditionalFormatting sqref="C8:H8 J8:V8">
    <cfRule type="containsText" dxfId="1891" priority="22" operator="containsText" text="SIN FACTURA">
      <formula>NOT(ISERROR(SEARCH("SIN FACTURA",C8)))</formula>
    </cfRule>
  </conditionalFormatting>
  <conditionalFormatting sqref="C10:H10 J10:V10">
    <cfRule type="containsText" dxfId="1890" priority="21" operator="containsText" text="SIN FACTURA">
      <formula>NOT(ISERROR(SEARCH("SIN FACTURA",C10)))</formula>
    </cfRule>
  </conditionalFormatting>
  <conditionalFormatting sqref="C12:H12 J12:V12">
    <cfRule type="containsText" dxfId="1889" priority="20" operator="containsText" text="SIN FACTURA">
      <formula>NOT(ISERROR(SEARCH("SIN FACTURA",C12)))</formula>
    </cfRule>
  </conditionalFormatting>
  <conditionalFormatting sqref="C14:H14 J14:V14">
    <cfRule type="containsText" dxfId="1888" priority="19" operator="containsText" text="SIN FACTURA">
      <formula>NOT(ISERROR(SEARCH("SIN FACTURA",C14)))</formula>
    </cfRule>
  </conditionalFormatting>
  <conditionalFormatting sqref="C16:H16 J16:V16">
    <cfRule type="containsText" dxfId="1887" priority="18" operator="containsText" text="SIN FACTURA">
      <formula>NOT(ISERROR(SEARCH("SIN FACTURA",C16)))</formula>
    </cfRule>
  </conditionalFormatting>
  <conditionalFormatting sqref="C18:H18 J18:V18">
    <cfRule type="containsText" dxfId="1886" priority="17" operator="containsText" text="SIN FACTURA">
      <formula>NOT(ISERROR(SEARCH("SIN FACTURA",C18)))</formula>
    </cfRule>
  </conditionalFormatting>
  <conditionalFormatting sqref="C20:H20 J20:V20">
    <cfRule type="containsText" dxfId="1885" priority="16" operator="containsText" text="SIN FACTURA">
      <formula>NOT(ISERROR(SEARCH("SIN FACTURA",C20)))</formula>
    </cfRule>
  </conditionalFormatting>
  <conditionalFormatting sqref="C22:H22 J22:V22">
    <cfRule type="containsText" dxfId="1884" priority="15" operator="containsText" text="SIN FACTURA">
      <formula>NOT(ISERROR(SEARCH("SIN FACTURA",C22)))</formula>
    </cfRule>
  </conditionalFormatting>
  <conditionalFormatting sqref="C24:H24 J24:V24">
    <cfRule type="containsText" dxfId="1883" priority="14" operator="containsText" text="SIN FACTURA">
      <formula>NOT(ISERROR(SEARCH("SIN FACTURA",C24)))</formula>
    </cfRule>
  </conditionalFormatting>
  <conditionalFormatting sqref="C26:H26 J26:V26">
    <cfRule type="containsText" dxfId="1882" priority="13" operator="containsText" text="SIN FACTURA">
      <formula>NOT(ISERROR(SEARCH("SIN FACTURA",C26)))</formula>
    </cfRule>
  </conditionalFormatting>
  <conditionalFormatting sqref="A6:B6">
    <cfRule type="containsText" dxfId="1881" priority="11" operator="containsText" text="SIN FACTURA">
      <formula>NOT(ISERROR(SEARCH("SIN FACTURA",A6)))</formula>
    </cfRule>
  </conditionalFormatting>
  <conditionalFormatting sqref="A8:B8">
    <cfRule type="containsText" dxfId="1880" priority="10" operator="containsText" text="SIN FACTURA">
      <formula>NOT(ISERROR(SEARCH("SIN FACTURA",A8)))</formula>
    </cfRule>
  </conditionalFormatting>
  <conditionalFormatting sqref="A10:B10">
    <cfRule type="containsText" dxfId="1879" priority="9" operator="containsText" text="SIN FACTURA">
      <formula>NOT(ISERROR(SEARCH("SIN FACTURA",A10)))</formula>
    </cfRule>
  </conditionalFormatting>
  <conditionalFormatting sqref="A12:B12">
    <cfRule type="containsText" dxfId="1878" priority="8" operator="containsText" text="SIN FACTURA">
      <formula>NOT(ISERROR(SEARCH("SIN FACTURA",A12)))</formula>
    </cfRule>
  </conditionalFormatting>
  <conditionalFormatting sqref="A14:B14">
    <cfRule type="containsText" dxfId="1877" priority="7" operator="containsText" text="SIN FACTURA">
      <formula>NOT(ISERROR(SEARCH("SIN FACTURA",A14)))</formula>
    </cfRule>
  </conditionalFormatting>
  <conditionalFormatting sqref="A26:B26">
    <cfRule type="containsText" dxfId="1876" priority="1" operator="containsText" text="SIN FACTURA">
      <formula>NOT(ISERROR(SEARCH("SIN FACTURA",A26)))</formula>
    </cfRule>
  </conditionalFormatting>
  <conditionalFormatting sqref="A16:B16">
    <cfRule type="containsText" dxfId="1875" priority="6" operator="containsText" text="SIN FACTURA">
      <formula>NOT(ISERROR(SEARCH("SIN FACTURA",A16)))</formula>
    </cfRule>
  </conditionalFormatting>
  <conditionalFormatting sqref="A18:B18">
    <cfRule type="containsText" dxfId="1874" priority="5" operator="containsText" text="SIN FACTURA">
      <formula>NOT(ISERROR(SEARCH("SIN FACTURA",A18)))</formula>
    </cfRule>
  </conditionalFormatting>
  <conditionalFormatting sqref="A20:B20">
    <cfRule type="containsText" dxfId="1873" priority="4" operator="containsText" text="SIN FACTURA">
      <formula>NOT(ISERROR(SEARCH("SIN FACTURA",A20)))</formula>
    </cfRule>
  </conditionalFormatting>
  <conditionalFormatting sqref="A22:B22">
    <cfRule type="containsText" dxfId="1872" priority="3" operator="containsText" text="SIN FACTURA">
      <formula>NOT(ISERROR(SEARCH("SIN FACTURA",A22)))</formula>
    </cfRule>
  </conditionalFormatting>
  <conditionalFormatting sqref="A24:B24">
    <cfRule type="containsText" dxfId="1871" priority="2" operator="containsText" text="SIN FACTURA">
      <formula>NOT(ISERROR(SEARCH("SIN FACTURA",A24)))</formula>
    </cfRule>
  </conditionalFormatting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>
  <sheetPr codeName="Hoja108"/>
  <dimension ref="A1:Y45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F11" sqref="F11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90055</v>
      </c>
      <c r="B1" s="18" t="s">
        <v>141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>F5-G5-H5</f>
        <v>0</v>
      </c>
      <c r="J5" s="44">
        <f t="shared" ref="J5:J45" si="0">S5+T5</f>
        <v>0</v>
      </c>
      <c r="K5" s="44">
        <f t="shared" ref="K5:K45" si="1">I5-J5</f>
        <v>0</v>
      </c>
      <c r="L5" s="45"/>
      <c r="M5" s="40"/>
      <c r="N5" s="43">
        <f t="shared" ref="N5:N45" si="2">I5-J5-M5-R5</f>
        <v>0</v>
      </c>
      <c r="O5" s="43">
        <f t="shared" ref="O5:O45" si="3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ref="I7:I45" si="4">F7-G7-H7</f>
        <v>0</v>
      </c>
      <c r="J7" s="44">
        <f t="shared" si="0"/>
        <v>0</v>
      </c>
      <c r="K7" s="44">
        <f t="shared" si="1"/>
        <v>0</v>
      </c>
      <c r="L7" s="45"/>
      <c r="M7" s="40"/>
      <c r="N7" s="43">
        <f t="shared" si="2"/>
        <v>0</v>
      </c>
      <c r="O7" s="43">
        <f t="shared" si="3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4"/>
        <v>0</v>
      </c>
      <c r="J9" s="44">
        <f t="shared" si="0"/>
        <v>0</v>
      </c>
      <c r="K9" s="44">
        <f t="shared" si="1"/>
        <v>0</v>
      </c>
      <c r="L9" s="45"/>
      <c r="M9" s="40"/>
      <c r="N9" s="43">
        <f t="shared" si="2"/>
        <v>0</v>
      </c>
      <c r="O9" s="43">
        <f t="shared" si="3"/>
        <v>0</v>
      </c>
      <c r="P9" s="46"/>
      <c r="Q9" s="40"/>
      <c r="R9" s="43"/>
      <c r="S9" s="43"/>
      <c r="T9" s="49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4"/>
        <v>0</v>
      </c>
      <c r="J11" s="44">
        <f>S11+T11</f>
        <v>0</v>
      </c>
      <c r="K11" s="44">
        <f>I11-J11</f>
        <v>0</v>
      </c>
      <c r="L11" s="45"/>
      <c r="M11" s="40"/>
      <c r="N11" s="43">
        <f t="shared" si="2"/>
        <v>0</v>
      </c>
      <c r="O11" s="43">
        <f t="shared" si="3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4"/>
        <v>0</v>
      </c>
      <c r="J13" s="44">
        <f t="shared" si="0"/>
        <v>0</v>
      </c>
      <c r="K13" s="44">
        <f t="shared" si="1"/>
        <v>0</v>
      </c>
      <c r="L13" s="45"/>
      <c r="M13" s="40"/>
      <c r="N13" s="43">
        <f t="shared" si="2"/>
        <v>0</v>
      </c>
      <c r="O13" s="43">
        <f t="shared" si="3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4"/>
        <v>0</v>
      </c>
      <c r="J15" s="44">
        <f t="shared" si="0"/>
        <v>0</v>
      </c>
      <c r="K15" s="44">
        <f t="shared" si="1"/>
        <v>0</v>
      </c>
      <c r="L15" s="45"/>
      <c r="M15" s="40"/>
      <c r="N15" s="43">
        <f t="shared" si="2"/>
        <v>0</v>
      </c>
      <c r="O15" s="43">
        <f t="shared" si="3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4"/>
        <v>0</v>
      </c>
      <c r="J17" s="44">
        <f t="shared" si="0"/>
        <v>0</v>
      </c>
      <c r="K17" s="44">
        <f t="shared" si="1"/>
        <v>0</v>
      </c>
      <c r="L17" s="45"/>
      <c r="M17" s="40"/>
      <c r="N17" s="43">
        <f t="shared" si="2"/>
        <v>0</v>
      </c>
      <c r="O17" s="43">
        <f t="shared" si="3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4"/>
        <v>0</v>
      </c>
      <c r="J19" s="44">
        <f>S19+T19</f>
        <v>0</v>
      </c>
      <c r="K19" s="44">
        <f t="shared" si="1"/>
        <v>0</v>
      </c>
      <c r="L19" s="45"/>
      <c r="M19" s="40"/>
      <c r="N19" s="43">
        <f>I19-J19-M19-R19</f>
        <v>0</v>
      </c>
      <c r="O19" s="43">
        <f>R19+S19+T19</f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4"/>
        <v>0</v>
      </c>
      <c r="J21" s="44">
        <f t="shared" si="0"/>
        <v>0</v>
      </c>
      <c r="K21" s="44">
        <f t="shared" si="1"/>
        <v>0</v>
      </c>
      <c r="L21" s="45"/>
      <c r="M21" s="40"/>
      <c r="N21" s="43">
        <f t="shared" si="2"/>
        <v>0</v>
      </c>
      <c r="O21" s="43">
        <f t="shared" si="3"/>
        <v>0</v>
      </c>
      <c r="P21" s="46"/>
      <c r="Q21" s="40"/>
      <c r="R21" s="47"/>
      <c r="S21" s="47"/>
      <c r="T21" s="48"/>
    </row>
    <row r="22" spans="1:22" ht="15">
      <c r="A22" s="32"/>
      <c r="B22" s="33"/>
      <c r="C22" s="34"/>
      <c r="D22" s="32"/>
      <c r="E22" s="32"/>
      <c r="F22" s="32"/>
      <c r="G22" s="37"/>
      <c r="H22" s="37"/>
      <c r="I22" s="37"/>
      <c r="J22" s="35"/>
      <c r="K22" s="35"/>
      <c r="L22" s="36"/>
      <c r="M22" s="32"/>
      <c r="N22" s="37"/>
      <c r="O22" s="37"/>
      <c r="P22" s="38"/>
      <c r="Q22" s="32"/>
      <c r="R22" s="32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4"/>
        <v>0</v>
      </c>
      <c r="J23" s="44">
        <f t="shared" si="0"/>
        <v>0</v>
      </c>
      <c r="K23" s="44">
        <f t="shared" si="1"/>
        <v>0</v>
      </c>
      <c r="L23" s="45"/>
      <c r="M23" s="40"/>
      <c r="N23" s="43">
        <f t="shared" si="2"/>
        <v>0</v>
      </c>
      <c r="O23" s="43">
        <f t="shared" si="3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4"/>
        <v>0</v>
      </c>
      <c r="J25" s="44">
        <f t="shared" si="0"/>
        <v>0</v>
      </c>
      <c r="K25" s="44">
        <f t="shared" si="1"/>
        <v>0</v>
      </c>
      <c r="L25" s="45"/>
      <c r="M25" s="40"/>
      <c r="N25" s="43">
        <f t="shared" si="2"/>
        <v>0</v>
      </c>
      <c r="O25" s="43">
        <f t="shared" si="3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4"/>
        <v>0</v>
      </c>
      <c r="J27" s="44">
        <f t="shared" si="0"/>
        <v>0</v>
      </c>
      <c r="K27" s="44">
        <f t="shared" si="1"/>
        <v>0</v>
      </c>
      <c r="L27" s="45"/>
      <c r="M27" s="40"/>
      <c r="N27" s="43">
        <f t="shared" si="2"/>
        <v>0</v>
      </c>
      <c r="O27" s="43">
        <f t="shared" si="3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4"/>
        <v>0</v>
      </c>
      <c r="J29" s="44">
        <f t="shared" si="0"/>
        <v>0</v>
      </c>
      <c r="K29" s="44">
        <f t="shared" si="1"/>
        <v>0</v>
      </c>
      <c r="L29" s="45"/>
      <c r="M29" s="40"/>
      <c r="N29" s="43">
        <f t="shared" si="2"/>
        <v>0</v>
      </c>
      <c r="O29" s="43">
        <f t="shared" si="3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4"/>
        <v>0</v>
      </c>
      <c r="J31" s="44">
        <f t="shared" si="0"/>
        <v>0</v>
      </c>
      <c r="K31" s="44">
        <f t="shared" si="1"/>
        <v>0</v>
      </c>
      <c r="L31" s="45"/>
      <c r="M31" s="40"/>
      <c r="N31" s="43">
        <f t="shared" si="2"/>
        <v>0</v>
      </c>
      <c r="O31" s="43">
        <f t="shared" si="3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4"/>
        <v>0</v>
      </c>
      <c r="J33" s="44">
        <f t="shared" si="0"/>
        <v>0</v>
      </c>
      <c r="K33" s="44">
        <f t="shared" si="1"/>
        <v>0</v>
      </c>
      <c r="L33" s="45"/>
      <c r="M33" s="40"/>
      <c r="N33" s="43">
        <f t="shared" si="2"/>
        <v>0</v>
      </c>
      <c r="O33" s="43">
        <f t="shared" si="3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4"/>
        <v>0</v>
      </c>
      <c r="J35" s="44">
        <f t="shared" si="0"/>
        <v>0</v>
      </c>
      <c r="K35" s="44">
        <f t="shared" si="1"/>
        <v>0</v>
      </c>
      <c r="L35" s="45"/>
      <c r="M35" s="40"/>
      <c r="N35" s="43">
        <f t="shared" si="2"/>
        <v>0</v>
      </c>
      <c r="O35" s="43">
        <f t="shared" si="3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4"/>
        <v>0</v>
      </c>
      <c r="J37" s="44">
        <f t="shared" si="0"/>
        <v>0</v>
      </c>
      <c r="K37" s="44">
        <f t="shared" si="1"/>
        <v>0</v>
      </c>
      <c r="L37" s="45"/>
      <c r="M37" s="40"/>
      <c r="N37" s="43">
        <f t="shared" si="2"/>
        <v>0</v>
      </c>
      <c r="O37" s="43">
        <f t="shared" si="3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4"/>
        <v>0</v>
      </c>
      <c r="J39" s="44">
        <f t="shared" si="0"/>
        <v>0</v>
      </c>
      <c r="K39" s="44">
        <f t="shared" si="1"/>
        <v>0</v>
      </c>
      <c r="L39" s="45"/>
      <c r="M39" s="40"/>
      <c r="N39" s="43">
        <f t="shared" si="2"/>
        <v>0</v>
      </c>
      <c r="O39" s="43">
        <f t="shared" si="3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4"/>
        <v>0</v>
      </c>
      <c r="J41" s="44">
        <f t="shared" si="0"/>
        <v>0</v>
      </c>
      <c r="K41" s="44">
        <f t="shared" si="1"/>
        <v>0</v>
      </c>
      <c r="L41" s="45"/>
      <c r="M41" s="40"/>
      <c r="N41" s="43">
        <f t="shared" si="2"/>
        <v>0</v>
      </c>
      <c r="O41" s="43">
        <f t="shared" si="3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40"/>
      <c r="B43" s="41"/>
      <c r="C43" s="42"/>
      <c r="D43" s="40"/>
      <c r="E43" s="40"/>
      <c r="F43" s="40"/>
      <c r="G43" s="43">
        <f>F43*6%</f>
        <v>0</v>
      </c>
      <c r="H43" s="43"/>
      <c r="I43" s="44">
        <f t="shared" si="4"/>
        <v>0</v>
      </c>
      <c r="J43" s="44">
        <f t="shared" si="0"/>
        <v>0</v>
      </c>
      <c r="K43" s="44">
        <f t="shared" si="1"/>
        <v>0</v>
      </c>
      <c r="L43" s="45"/>
      <c r="M43" s="40"/>
      <c r="N43" s="43">
        <f t="shared" si="2"/>
        <v>0</v>
      </c>
      <c r="O43" s="43">
        <f t="shared" si="3"/>
        <v>0</v>
      </c>
      <c r="P43" s="46"/>
      <c r="Q43" s="40"/>
      <c r="R43" s="40"/>
      <c r="S43" s="40"/>
      <c r="T43" s="5"/>
    </row>
    <row r="44" spans="1:22" ht="15">
      <c r="A44" s="32"/>
      <c r="B44" s="33"/>
      <c r="C44" s="32"/>
      <c r="D44" s="33"/>
      <c r="E44" s="34"/>
      <c r="F44" s="32"/>
      <c r="G44" s="32"/>
      <c r="H44" s="32"/>
      <c r="I44" s="37"/>
      <c r="J44" s="37"/>
      <c r="K44" s="35"/>
      <c r="L44" s="35"/>
      <c r="M44" s="35"/>
      <c r="N44" s="36"/>
      <c r="O44" s="32"/>
      <c r="P44" s="37"/>
      <c r="Q44" s="37"/>
      <c r="R44" s="38"/>
      <c r="S44" s="32"/>
      <c r="T44" s="39"/>
      <c r="U44" s="6"/>
      <c r="V44" s="6"/>
    </row>
    <row r="45" spans="1:22" ht="15">
      <c r="A45" s="50"/>
      <c r="B45" s="51"/>
      <c r="C45" s="52"/>
      <c r="D45" s="50"/>
      <c r="E45" s="50"/>
      <c r="F45" s="50"/>
      <c r="G45" s="43">
        <f>F45*6%</f>
        <v>0</v>
      </c>
      <c r="H45" s="53"/>
      <c r="I45" s="78">
        <f t="shared" si="4"/>
        <v>0</v>
      </c>
      <c r="J45" s="54">
        <f t="shared" si="0"/>
        <v>0</v>
      </c>
      <c r="K45" s="54">
        <f t="shared" si="1"/>
        <v>0</v>
      </c>
      <c r="L45" s="55"/>
      <c r="M45" s="50"/>
      <c r="N45" s="53">
        <f t="shared" si="2"/>
        <v>0</v>
      </c>
      <c r="O45" s="53">
        <f t="shared" si="3"/>
        <v>0</v>
      </c>
      <c r="P45" s="56"/>
      <c r="Q45" s="50"/>
      <c r="R45" s="50"/>
      <c r="S45" s="50"/>
      <c r="T45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870" priority="26" operator="containsText" text="SIN FACTURA ">
      <formula>NOT(ISERROR(SEARCH("SIN FACTURA ",A2)))</formula>
    </cfRule>
  </conditionalFormatting>
  <conditionalFormatting sqref="A4:T5 J45:T45 J43:T43 J41:T41 J39:T39 J37:T37 J35:T35 J33:T33 J31:T31 J29:T29 J27:T27 J25:T25 J15:T23 J6:T13 I6:I45 A6:H13 A15:H23 A25:H25 A27:H27 A29:H29 A31:H31 A33:H33 A35:H35 A37:H37 A39:H39 A41:H41 A43:H43 A45:H45">
    <cfRule type="containsText" dxfId="1869" priority="25" operator="containsText" text="SIN FACTURA">
      <formula>NOT(ISERROR(SEARCH("SIN FACTURA",A4)))</formula>
    </cfRule>
  </conditionalFormatting>
  <conditionalFormatting sqref="C14:H14 J14:V14">
    <cfRule type="containsText" dxfId="1868" priority="24" operator="containsText" text="SIN FACTURA">
      <formula>NOT(ISERROR(SEARCH("SIN FACTURA",C14)))</formula>
    </cfRule>
  </conditionalFormatting>
  <conditionalFormatting sqref="C24:H24 J24:V24">
    <cfRule type="containsText" dxfId="1867" priority="23" operator="containsText" text="SIN FACTURA">
      <formula>NOT(ISERROR(SEARCH("SIN FACTURA",C24)))</formula>
    </cfRule>
  </conditionalFormatting>
  <conditionalFormatting sqref="C26:H26 J26:V26">
    <cfRule type="containsText" dxfId="1866" priority="22" operator="containsText" text="SIN FACTURA">
      <formula>NOT(ISERROR(SEARCH("SIN FACTURA",C26)))</formula>
    </cfRule>
  </conditionalFormatting>
  <conditionalFormatting sqref="C28:H28 J28:V28">
    <cfRule type="containsText" dxfId="1865" priority="21" operator="containsText" text="SIN FACTURA">
      <formula>NOT(ISERROR(SEARCH("SIN FACTURA",C28)))</formula>
    </cfRule>
  </conditionalFormatting>
  <conditionalFormatting sqref="C30:H30 J30:V30">
    <cfRule type="containsText" dxfId="1864" priority="20" operator="containsText" text="SIN FACTURA">
      <formula>NOT(ISERROR(SEARCH("SIN FACTURA",C30)))</formula>
    </cfRule>
  </conditionalFormatting>
  <conditionalFormatting sqref="C32:H32 J32:V32">
    <cfRule type="containsText" dxfId="1863" priority="19" operator="containsText" text="SIN FACTURA">
      <formula>NOT(ISERROR(SEARCH("SIN FACTURA",C32)))</formula>
    </cfRule>
  </conditionalFormatting>
  <conditionalFormatting sqref="C34:H34 J34:V34">
    <cfRule type="containsText" dxfId="1862" priority="18" operator="containsText" text="SIN FACTURA">
      <formula>NOT(ISERROR(SEARCH("SIN FACTURA",C34)))</formula>
    </cfRule>
  </conditionalFormatting>
  <conditionalFormatting sqref="C36:H36 J36:V36">
    <cfRule type="containsText" dxfId="1861" priority="17" operator="containsText" text="SIN FACTURA">
      <formula>NOT(ISERROR(SEARCH("SIN FACTURA",C36)))</formula>
    </cfRule>
  </conditionalFormatting>
  <conditionalFormatting sqref="C38:H38 J38:V38">
    <cfRule type="containsText" dxfId="1860" priority="16" operator="containsText" text="SIN FACTURA">
      <formula>NOT(ISERROR(SEARCH("SIN FACTURA",C38)))</formula>
    </cfRule>
  </conditionalFormatting>
  <conditionalFormatting sqref="C40:H40 J40:V40">
    <cfRule type="containsText" dxfId="1859" priority="15" operator="containsText" text="SIN FACTURA">
      <formula>NOT(ISERROR(SEARCH("SIN FACTURA",C40)))</formula>
    </cfRule>
  </conditionalFormatting>
  <conditionalFormatting sqref="C42:H42 J42:V42">
    <cfRule type="containsText" dxfId="1858" priority="14" operator="containsText" text="SIN FACTURA">
      <formula>NOT(ISERROR(SEARCH("SIN FACTURA",C42)))</formula>
    </cfRule>
  </conditionalFormatting>
  <conditionalFormatting sqref="C44:H44 J44:V44">
    <cfRule type="containsText" dxfId="1857" priority="13" operator="containsText" text="SIN FACTURA">
      <formula>NOT(ISERROR(SEARCH("SIN FACTURA",C44)))</formula>
    </cfRule>
  </conditionalFormatting>
  <conditionalFormatting sqref="A14:B14">
    <cfRule type="containsText" dxfId="1856" priority="12" operator="containsText" text="SIN FACTURA">
      <formula>NOT(ISERROR(SEARCH("SIN FACTURA",A14)))</formula>
    </cfRule>
  </conditionalFormatting>
  <conditionalFormatting sqref="A24:B24">
    <cfRule type="containsText" dxfId="1855" priority="11" operator="containsText" text="SIN FACTURA">
      <formula>NOT(ISERROR(SEARCH("SIN FACTURA",A24)))</formula>
    </cfRule>
  </conditionalFormatting>
  <conditionalFormatting sqref="A26:B26">
    <cfRule type="containsText" dxfId="1854" priority="10" operator="containsText" text="SIN FACTURA">
      <formula>NOT(ISERROR(SEARCH("SIN FACTURA",A26)))</formula>
    </cfRule>
  </conditionalFormatting>
  <conditionalFormatting sqref="A28:B28">
    <cfRule type="containsText" dxfId="1853" priority="9" operator="containsText" text="SIN FACTURA">
      <formula>NOT(ISERROR(SEARCH("SIN FACTURA",A28)))</formula>
    </cfRule>
  </conditionalFormatting>
  <conditionalFormatting sqref="A30:B30">
    <cfRule type="containsText" dxfId="1852" priority="8" operator="containsText" text="SIN FACTURA">
      <formula>NOT(ISERROR(SEARCH("SIN FACTURA",A30)))</formula>
    </cfRule>
  </conditionalFormatting>
  <conditionalFormatting sqref="A32:B32">
    <cfRule type="containsText" dxfId="1851" priority="7" operator="containsText" text="SIN FACTURA">
      <formula>NOT(ISERROR(SEARCH("SIN FACTURA",A32)))</formula>
    </cfRule>
  </conditionalFormatting>
  <conditionalFormatting sqref="A44:B44">
    <cfRule type="containsText" dxfId="1850" priority="1" operator="containsText" text="SIN FACTURA">
      <formula>NOT(ISERROR(SEARCH("SIN FACTURA",A44)))</formula>
    </cfRule>
  </conditionalFormatting>
  <conditionalFormatting sqref="A34:B34">
    <cfRule type="containsText" dxfId="1849" priority="6" operator="containsText" text="SIN FACTURA">
      <formula>NOT(ISERROR(SEARCH("SIN FACTURA",A34)))</formula>
    </cfRule>
  </conditionalFormatting>
  <conditionalFormatting sqref="A36:B36">
    <cfRule type="containsText" dxfId="1848" priority="5" operator="containsText" text="SIN FACTURA">
      <formula>NOT(ISERROR(SEARCH("SIN FACTURA",A36)))</formula>
    </cfRule>
  </conditionalFormatting>
  <conditionalFormatting sqref="A38:B38">
    <cfRule type="containsText" dxfId="1847" priority="4" operator="containsText" text="SIN FACTURA">
      <formula>NOT(ISERROR(SEARCH("SIN FACTURA",A38)))</formula>
    </cfRule>
  </conditionalFormatting>
  <conditionalFormatting sqref="A40:B40">
    <cfRule type="containsText" dxfId="1846" priority="3" operator="containsText" text="SIN FACTURA">
      <formula>NOT(ISERROR(SEARCH("SIN FACTURA",A40)))</formula>
    </cfRule>
  </conditionalFormatting>
  <conditionalFormatting sqref="A42:B42">
    <cfRule type="containsText" dxfId="1845" priority="2" operator="containsText" text="SIN FACTURA">
      <formula>NOT(ISERROR(SEARCH("SIN FACTURA",A42)))</formula>
    </cfRule>
  </conditionalFormatting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>
  <sheetPr codeName="Hoja114"/>
  <dimension ref="A1:Y45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K22" sqref="K22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430</v>
      </c>
      <c r="B1" s="18" t="s">
        <v>132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>F5-G5-H5</f>
        <v>0</v>
      </c>
      <c r="J5" s="44">
        <f t="shared" ref="J5:J45" si="0">S5+T5</f>
        <v>0</v>
      </c>
      <c r="K5" s="44">
        <f t="shared" ref="K5:K45" si="1">I5-J5</f>
        <v>0</v>
      </c>
      <c r="L5" s="45"/>
      <c r="M5" s="40"/>
      <c r="N5" s="43">
        <f t="shared" ref="N5:N45" si="2">I5-J5-M5-R5</f>
        <v>0</v>
      </c>
      <c r="O5" s="43">
        <f t="shared" ref="O5:O45" si="3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ref="I7:I45" si="4">F7-G7-H7</f>
        <v>0</v>
      </c>
      <c r="J7" s="44">
        <f t="shared" si="0"/>
        <v>0</v>
      </c>
      <c r="K7" s="44">
        <f t="shared" si="1"/>
        <v>0</v>
      </c>
      <c r="L7" s="45"/>
      <c r="M7" s="40"/>
      <c r="N7" s="43">
        <f t="shared" si="2"/>
        <v>0</v>
      </c>
      <c r="O7" s="43">
        <f t="shared" si="3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4"/>
        <v>0</v>
      </c>
      <c r="J9" s="44">
        <f t="shared" si="0"/>
        <v>0</v>
      </c>
      <c r="K9" s="44">
        <f t="shared" si="1"/>
        <v>0</v>
      </c>
      <c r="L9" s="45"/>
      <c r="M9" s="40"/>
      <c r="N9" s="43">
        <f t="shared" si="2"/>
        <v>0</v>
      </c>
      <c r="O9" s="43">
        <f t="shared" si="3"/>
        <v>0</v>
      </c>
      <c r="P9" s="46"/>
      <c r="Q9" s="40"/>
      <c r="R9" s="43"/>
      <c r="S9" s="43"/>
      <c r="T9" s="49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4"/>
        <v>0</v>
      </c>
      <c r="J11" s="44">
        <f>S11+T11</f>
        <v>0</v>
      </c>
      <c r="K11" s="44">
        <f>I11-J11</f>
        <v>0</v>
      </c>
      <c r="L11" s="45"/>
      <c r="M11" s="40"/>
      <c r="N11" s="43">
        <f t="shared" si="2"/>
        <v>0</v>
      </c>
      <c r="O11" s="43">
        <f t="shared" si="3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4"/>
        <v>0</v>
      </c>
      <c r="J13" s="44">
        <f t="shared" si="0"/>
        <v>0</v>
      </c>
      <c r="K13" s="44">
        <f t="shared" si="1"/>
        <v>0</v>
      </c>
      <c r="L13" s="45"/>
      <c r="M13" s="40"/>
      <c r="N13" s="43">
        <f t="shared" si="2"/>
        <v>0</v>
      </c>
      <c r="O13" s="43">
        <f t="shared" si="3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4"/>
        <v>0</v>
      </c>
      <c r="J15" s="44">
        <f t="shared" si="0"/>
        <v>0</v>
      </c>
      <c r="K15" s="44">
        <f t="shared" si="1"/>
        <v>0</v>
      </c>
      <c r="L15" s="45"/>
      <c r="M15" s="40"/>
      <c r="N15" s="43">
        <f t="shared" si="2"/>
        <v>0</v>
      </c>
      <c r="O15" s="43">
        <f t="shared" si="3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4"/>
        <v>0</v>
      </c>
      <c r="J17" s="44">
        <f t="shared" si="0"/>
        <v>0</v>
      </c>
      <c r="K17" s="44">
        <f t="shared" si="1"/>
        <v>0</v>
      </c>
      <c r="L17" s="45"/>
      <c r="M17" s="40"/>
      <c r="N17" s="43">
        <f t="shared" si="2"/>
        <v>0</v>
      </c>
      <c r="O17" s="43">
        <f t="shared" si="3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4"/>
        <v>0</v>
      </c>
      <c r="J19" s="44">
        <f>S19+T19</f>
        <v>0</v>
      </c>
      <c r="K19" s="44">
        <f t="shared" si="1"/>
        <v>0</v>
      </c>
      <c r="L19" s="45"/>
      <c r="M19" s="40"/>
      <c r="N19" s="43">
        <f>I19-J19-M19-R19</f>
        <v>0</v>
      </c>
      <c r="O19" s="43">
        <f>R19+S19+T19</f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4"/>
        <v>0</v>
      </c>
      <c r="J21" s="44">
        <f t="shared" si="0"/>
        <v>0</v>
      </c>
      <c r="K21" s="44">
        <f t="shared" si="1"/>
        <v>0</v>
      </c>
      <c r="L21" s="45"/>
      <c r="M21" s="40"/>
      <c r="N21" s="43">
        <f t="shared" si="2"/>
        <v>0</v>
      </c>
      <c r="O21" s="43">
        <f t="shared" si="3"/>
        <v>0</v>
      </c>
      <c r="P21" s="46"/>
      <c r="Q21" s="40"/>
      <c r="R21" s="47"/>
      <c r="S21" s="47"/>
      <c r="T21" s="48"/>
    </row>
    <row r="22" spans="1:22" ht="15">
      <c r="A22" s="32"/>
      <c r="B22" s="33"/>
      <c r="C22" s="34"/>
      <c r="D22" s="32"/>
      <c r="E22" s="32"/>
      <c r="F22" s="32"/>
      <c r="G22" s="37"/>
      <c r="H22" s="37"/>
      <c r="I22" s="37"/>
      <c r="J22" s="35"/>
      <c r="K22" s="35"/>
      <c r="L22" s="36"/>
      <c r="M22" s="32"/>
      <c r="N22" s="37"/>
      <c r="O22" s="37"/>
      <c r="P22" s="38"/>
      <c r="Q22" s="32"/>
      <c r="R22" s="32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4"/>
        <v>0</v>
      </c>
      <c r="J23" s="44">
        <f t="shared" si="0"/>
        <v>0</v>
      </c>
      <c r="K23" s="44">
        <f t="shared" si="1"/>
        <v>0</v>
      </c>
      <c r="L23" s="45"/>
      <c r="M23" s="40"/>
      <c r="N23" s="43">
        <f t="shared" si="2"/>
        <v>0</v>
      </c>
      <c r="O23" s="43">
        <f t="shared" si="3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4"/>
        <v>0</v>
      </c>
      <c r="J25" s="44">
        <f t="shared" si="0"/>
        <v>0</v>
      </c>
      <c r="K25" s="44">
        <f t="shared" si="1"/>
        <v>0</v>
      </c>
      <c r="L25" s="45"/>
      <c r="M25" s="40"/>
      <c r="N25" s="43">
        <f t="shared" si="2"/>
        <v>0</v>
      </c>
      <c r="O25" s="43">
        <f t="shared" si="3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4"/>
        <v>0</v>
      </c>
      <c r="J27" s="44">
        <f t="shared" si="0"/>
        <v>0</v>
      </c>
      <c r="K27" s="44">
        <f t="shared" si="1"/>
        <v>0</v>
      </c>
      <c r="L27" s="45"/>
      <c r="M27" s="40"/>
      <c r="N27" s="43">
        <f t="shared" si="2"/>
        <v>0</v>
      </c>
      <c r="O27" s="43">
        <f t="shared" si="3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4"/>
        <v>0</v>
      </c>
      <c r="J29" s="44">
        <f t="shared" si="0"/>
        <v>0</v>
      </c>
      <c r="K29" s="44">
        <f t="shared" si="1"/>
        <v>0</v>
      </c>
      <c r="L29" s="45"/>
      <c r="M29" s="40"/>
      <c r="N29" s="43">
        <f t="shared" si="2"/>
        <v>0</v>
      </c>
      <c r="O29" s="43">
        <f t="shared" si="3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4"/>
        <v>0</v>
      </c>
      <c r="J31" s="44">
        <f t="shared" si="0"/>
        <v>0</v>
      </c>
      <c r="K31" s="44">
        <f t="shared" si="1"/>
        <v>0</v>
      </c>
      <c r="L31" s="45"/>
      <c r="M31" s="40"/>
      <c r="N31" s="43">
        <f t="shared" si="2"/>
        <v>0</v>
      </c>
      <c r="O31" s="43">
        <f t="shared" si="3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4"/>
        <v>0</v>
      </c>
      <c r="J33" s="44">
        <f t="shared" si="0"/>
        <v>0</v>
      </c>
      <c r="K33" s="44">
        <f t="shared" si="1"/>
        <v>0</v>
      </c>
      <c r="L33" s="45"/>
      <c r="M33" s="40"/>
      <c r="N33" s="43">
        <f t="shared" si="2"/>
        <v>0</v>
      </c>
      <c r="O33" s="43">
        <f t="shared" si="3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4"/>
        <v>0</v>
      </c>
      <c r="J35" s="44">
        <f t="shared" si="0"/>
        <v>0</v>
      </c>
      <c r="K35" s="44">
        <f t="shared" si="1"/>
        <v>0</v>
      </c>
      <c r="L35" s="45"/>
      <c r="M35" s="40"/>
      <c r="N35" s="43">
        <f t="shared" si="2"/>
        <v>0</v>
      </c>
      <c r="O35" s="43">
        <f t="shared" si="3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4"/>
        <v>0</v>
      </c>
      <c r="J37" s="44">
        <f t="shared" si="0"/>
        <v>0</v>
      </c>
      <c r="K37" s="44">
        <f t="shared" si="1"/>
        <v>0</v>
      </c>
      <c r="L37" s="45"/>
      <c r="M37" s="40"/>
      <c r="N37" s="43">
        <f t="shared" si="2"/>
        <v>0</v>
      </c>
      <c r="O37" s="43">
        <f t="shared" si="3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4"/>
        <v>0</v>
      </c>
      <c r="J39" s="44">
        <f t="shared" si="0"/>
        <v>0</v>
      </c>
      <c r="K39" s="44">
        <f t="shared" si="1"/>
        <v>0</v>
      </c>
      <c r="L39" s="45"/>
      <c r="M39" s="40"/>
      <c r="N39" s="43">
        <f t="shared" si="2"/>
        <v>0</v>
      </c>
      <c r="O39" s="43">
        <f t="shared" si="3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4"/>
        <v>0</v>
      </c>
      <c r="J41" s="44">
        <f t="shared" si="0"/>
        <v>0</v>
      </c>
      <c r="K41" s="44">
        <f t="shared" si="1"/>
        <v>0</v>
      </c>
      <c r="L41" s="45"/>
      <c r="M41" s="40"/>
      <c r="N41" s="43">
        <f t="shared" si="2"/>
        <v>0</v>
      </c>
      <c r="O41" s="43">
        <f t="shared" si="3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40"/>
      <c r="B43" s="41"/>
      <c r="C43" s="42"/>
      <c r="D43" s="40"/>
      <c r="E43" s="40"/>
      <c r="F43" s="40"/>
      <c r="G43" s="43">
        <f>F43*6%</f>
        <v>0</v>
      </c>
      <c r="H43" s="43"/>
      <c r="I43" s="44">
        <f t="shared" si="4"/>
        <v>0</v>
      </c>
      <c r="J43" s="44">
        <f t="shared" si="0"/>
        <v>0</v>
      </c>
      <c r="K43" s="44">
        <f t="shared" si="1"/>
        <v>0</v>
      </c>
      <c r="L43" s="45"/>
      <c r="M43" s="40"/>
      <c r="N43" s="43">
        <f t="shared" si="2"/>
        <v>0</v>
      </c>
      <c r="O43" s="43">
        <f t="shared" si="3"/>
        <v>0</v>
      </c>
      <c r="P43" s="46"/>
      <c r="Q43" s="40"/>
      <c r="R43" s="40"/>
      <c r="S43" s="40"/>
      <c r="T43" s="5"/>
    </row>
    <row r="44" spans="1:22" ht="15">
      <c r="A44" s="32"/>
      <c r="B44" s="33"/>
      <c r="C44" s="32"/>
      <c r="D44" s="33"/>
      <c r="E44" s="34"/>
      <c r="F44" s="32"/>
      <c r="G44" s="32"/>
      <c r="H44" s="32"/>
      <c r="I44" s="37"/>
      <c r="J44" s="37"/>
      <c r="K44" s="35"/>
      <c r="L44" s="35"/>
      <c r="M44" s="35"/>
      <c r="N44" s="36"/>
      <c r="O44" s="32"/>
      <c r="P44" s="37"/>
      <c r="Q44" s="37"/>
      <c r="R44" s="38"/>
      <c r="S44" s="32"/>
      <c r="T44" s="39"/>
      <c r="U44" s="6"/>
      <c r="V44" s="6"/>
    </row>
    <row r="45" spans="1:22" ht="15">
      <c r="A45" s="50"/>
      <c r="B45" s="51"/>
      <c r="C45" s="52"/>
      <c r="D45" s="50"/>
      <c r="E45" s="50"/>
      <c r="F45" s="50"/>
      <c r="G45" s="43">
        <f>F45*6%</f>
        <v>0</v>
      </c>
      <c r="H45" s="53"/>
      <c r="I45" s="78">
        <f t="shared" si="4"/>
        <v>0</v>
      </c>
      <c r="J45" s="54">
        <f t="shared" si="0"/>
        <v>0</v>
      </c>
      <c r="K45" s="54">
        <f t="shared" si="1"/>
        <v>0</v>
      </c>
      <c r="L45" s="55"/>
      <c r="M45" s="50"/>
      <c r="N45" s="53">
        <f t="shared" si="2"/>
        <v>0</v>
      </c>
      <c r="O45" s="53">
        <f t="shared" si="3"/>
        <v>0</v>
      </c>
      <c r="P45" s="56"/>
      <c r="Q45" s="50"/>
      <c r="R45" s="50"/>
      <c r="S45" s="50"/>
      <c r="T45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844" priority="26" operator="containsText" text="SIN FACTURA ">
      <formula>NOT(ISERROR(SEARCH("SIN FACTURA ",A2)))</formula>
    </cfRule>
  </conditionalFormatting>
  <conditionalFormatting sqref="A4:T5 J45:T45 J43:T43 J41:T41 J39:T39 J37:T37 J35:T35 J33:T33 J31:T31 J29:T29 J27:T27 J25:T25 J15:T23 J6:T13 I6:I45 A6:H13 A15:H23 A25:H25 A27:H27 A29:H29 A31:H31 A33:H33 A35:H35 A37:H37 A39:H39 A41:H41 A43:H43 A45:H45">
    <cfRule type="containsText" dxfId="1843" priority="25" operator="containsText" text="SIN FACTURA">
      <formula>NOT(ISERROR(SEARCH("SIN FACTURA",A4)))</formula>
    </cfRule>
  </conditionalFormatting>
  <conditionalFormatting sqref="C14:H14 J14:V14">
    <cfRule type="containsText" dxfId="1842" priority="24" operator="containsText" text="SIN FACTURA">
      <formula>NOT(ISERROR(SEARCH("SIN FACTURA",C14)))</formula>
    </cfRule>
  </conditionalFormatting>
  <conditionalFormatting sqref="C24:H24 J24:V24">
    <cfRule type="containsText" dxfId="1841" priority="23" operator="containsText" text="SIN FACTURA">
      <formula>NOT(ISERROR(SEARCH("SIN FACTURA",C24)))</formula>
    </cfRule>
  </conditionalFormatting>
  <conditionalFormatting sqref="C26:H26 J26:V26">
    <cfRule type="containsText" dxfId="1840" priority="22" operator="containsText" text="SIN FACTURA">
      <formula>NOT(ISERROR(SEARCH("SIN FACTURA",C26)))</formula>
    </cfRule>
  </conditionalFormatting>
  <conditionalFormatting sqref="C28:H28 J28:V28">
    <cfRule type="containsText" dxfId="1839" priority="21" operator="containsText" text="SIN FACTURA">
      <formula>NOT(ISERROR(SEARCH("SIN FACTURA",C28)))</formula>
    </cfRule>
  </conditionalFormatting>
  <conditionalFormatting sqref="C30:H30 J30:V30">
    <cfRule type="containsText" dxfId="1838" priority="20" operator="containsText" text="SIN FACTURA">
      <formula>NOT(ISERROR(SEARCH("SIN FACTURA",C30)))</formula>
    </cfRule>
  </conditionalFormatting>
  <conditionalFormatting sqref="C32:H32 J32:V32">
    <cfRule type="containsText" dxfId="1837" priority="19" operator="containsText" text="SIN FACTURA">
      <formula>NOT(ISERROR(SEARCH("SIN FACTURA",C32)))</formula>
    </cfRule>
  </conditionalFormatting>
  <conditionalFormatting sqref="C34:H34 J34:V34">
    <cfRule type="containsText" dxfId="1836" priority="18" operator="containsText" text="SIN FACTURA">
      <formula>NOT(ISERROR(SEARCH("SIN FACTURA",C34)))</formula>
    </cfRule>
  </conditionalFormatting>
  <conditionalFormatting sqref="C36:H36 J36:V36">
    <cfRule type="containsText" dxfId="1835" priority="17" operator="containsText" text="SIN FACTURA">
      <formula>NOT(ISERROR(SEARCH("SIN FACTURA",C36)))</formula>
    </cfRule>
  </conditionalFormatting>
  <conditionalFormatting sqref="C38:H38 J38:V38">
    <cfRule type="containsText" dxfId="1834" priority="16" operator="containsText" text="SIN FACTURA">
      <formula>NOT(ISERROR(SEARCH("SIN FACTURA",C38)))</formula>
    </cfRule>
  </conditionalFormatting>
  <conditionalFormatting sqref="C40:H40 J40:V40">
    <cfRule type="containsText" dxfId="1833" priority="15" operator="containsText" text="SIN FACTURA">
      <formula>NOT(ISERROR(SEARCH("SIN FACTURA",C40)))</formula>
    </cfRule>
  </conditionalFormatting>
  <conditionalFormatting sqref="C42:H42 J42:V42">
    <cfRule type="containsText" dxfId="1832" priority="14" operator="containsText" text="SIN FACTURA">
      <formula>NOT(ISERROR(SEARCH("SIN FACTURA",C42)))</formula>
    </cfRule>
  </conditionalFormatting>
  <conditionalFormatting sqref="C44:H44 J44:V44">
    <cfRule type="containsText" dxfId="1831" priority="13" operator="containsText" text="SIN FACTURA">
      <formula>NOT(ISERROR(SEARCH("SIN FACTURA",C44)))</formula>
    </cfRule>
  </conditionalFormatting>
  <conditionalFormatting sqref="A14:B14">
    <cfRule type="containsText" dxfId="1830" priority="12" operator="containsText" text="SIN FACTURA">
      <formula>NOT(ISERROR(SEARCH("SIN FACTURA",A14)))</formula>
    </cfRule>
  </conditionalFormatting>
  <conditionalFormatting sqref="A24:B24">
    <cfRule type="containsText" dxfId="1829" priority="11" operator="containsText" text="SIN FACTURA">
      <formula>NOT(ISERROR(SEARCH("SIN FACTURA",A24)))</formula>
    </cfRule>
  </conditionalFormatting>
  <conditionalFormatting sqref="A26:B26">
    <cfRule type="containsText" dxfId="1828" priority="10" operator="containsText" text="SIN FACTURA">
      <formula>NOT(ISERROR(SEARCH("SIN FACTURA",A26)))</formula>
    </cfRule>
  </conditionalFormatting>
  <conditionalFormatting sqref="A28:B28">
    <cfRule type="containsText" dxfId="1827" priority="9" operator="containsText" text="SIN FACTURA">
      <formula>NOT(ISERROR(SEARCH("SIN FACTURA",A28)))</formula>
    </cfRule>
  </conditionalFormatting>
  <conditionalFormatting sqref="A30:B30">
    <cfRule type="containsText" dxfId="1826" priority="8" operator="containsText" text="SIN FACTURA">
      <formula>NOT(ISERROR(SEARCH("SIN FACTURA",A30)))</formula>
    </cfRule>
  </conditionalFormatting>
  <conditionalFormatting sqref="A32:B32">
    <cfRule type="containsText" dxfId="1825" priority="7" operator="containsText" text="SIN FACTURA">
      <formula>NOT(ISERROR(SEARCH("SIN FACTURA",A32)))</formula>
    </cfRule>
  </conditionalFormatting>
  <conditionalFormatting sqref="A44:B44">
    <cfRule type="containsText" dxfId="1824" priority="1" operator="containsText" text="SIN FACTURA">
      <formula>NOT(ISERROR(SEARCH("SIN FACTURA",A44)))</formula>
    </cfRule>
  </conditionalFormatting>
  <conditionalFormatting sqref="A34:B34">
    <cfRule type="containsText" dxfId="1823" priority="6" operator="containsText" text="SIN FACTURA">
      <formula>NOT(ISERROR(SEARCH("SIN FACTURA",A34)))</formula>
    </cfRule>
  </conditionalFormatting>
  <conditionalFormatting sqref="A36:B36">
    <cfRule type="containsText" dxfId="1822" priority="5" operator="containsText" text="SIN FACTURA">
      <formula>NOT(ISERROR(SEARCH("SIN FACTURA",A36)))</formula>
    </cfRule>
  </conditionalFormatting>
  <conditionalFormatting sqref="A38:B38">
    <cfRule type="containsText" dxfId="1821" priority="4" operator="containsText" text="SIN FACTURA">
      <formula>NOT(ISERROR(SEARCH("SIN FACTURA",A38)))</formula>
    </cfRule>
  </conditionalFormatting>
  <conditionalFormatting sqref="A40:B40">
    <cfRule type="containsText" dxfId="1820" priority="3" operator="containsText" text="SIN FACTURA">
      <formula>NOT(ISERROR(SEARCH("SIN FACTURA",A40)))</formula>
    </cfRule>
  </conditionalFormatting>
  <conditionalFormatting sqref="A42:B42">
    <cfRule type="containsText" dxfId="1819" priority="2" operator="containsText" text="SIN FACTURA">
      <formula>NOT(ISERROR(SEARCH("SIN FACTURA",A42)))</formula>
    </cfRule>
  </conditionalFormatting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>
  <sheetPr codeName="Hoja161"/>
  <dimension ref="A1:Y41"/>
  <sheetViews>
    <sheetView topLeftCell="B1" zoomScale="125" zoomScaleNormal="125" zoomScalePageLayoutView="125" workbookViewId="0">
      <pane ySplit="4" topLeftCell="A5" activePane="bottomLeft" state="frozen"/>
      <selection activeCell="C52" sqref="C52"/>
      <selection pane="bottomLeft" activeCell="B5" sqref="A5:XFD11"/>
    </sheetView>
  </sheetViews>
  <sheetFormatPr baseColWidth="10" defaultColWidth="10.875" defaultRowHeight="15.75"/>
  <cols>
    <col min="1" max="1" width="16.125" style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377</v>
      </c>
      <c r="B1" s="18" t="s">
        <v>97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1" si="0">F5-G5-H5</f>
        <v>0</v>
      </c>
      <c r="J5" s="44">
        <f t="shared" ref="J5:J41" si="1">S5+T5</f>
        <v>0</v>
      </c>
      <c r="K5" s="44">
        <f t="shared" ref="K5:K41" si="2">I5-J5</f>
        <v>0</v>
      </c>
      <c r="L5" s="45"/>
      <c r="M5" s="40"/>
      <c r="N5" s="43">
        <f t="shared" ref="N5:N41" si="3">I5-J5-M5-R5</f>
        <v>0</v>
      </c>
      <c r="O5" s="43">
        <f t="shared" ref="O5:O41" si="4">R5+S5+T5</f>
        <v>0</v>
      </c>
      <c r="P5" s="46"/>
      <c r="Q5" s="40"/>
      <c r="R5" s="43"/>
      <c r="S5" s="43"/>
      <c r="T5" s="49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>I7-J7</f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>S15+T15</f>
        <v>0</v>
      </c>
      <c r="K15" s="44">
        <f t="shared" si="2"/>
        <v>0</v>
      </c>
      <c r="L15" s="45"/>
      <c r="M15" s="40"/>
      <c r="N15" s="43">
        <f>I15-J15-M15-R15</f>
        <v>0</v>
      </c>
      <c r="O15" s="43">
        <f>R15+S15+T15</f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50"/>
      <c r="B41" s="51"/>
      <c r="C41" s="52"/>
      <c r="D41" s="50"/>
      <c r="E41" s="50"/>
      <c r="F41" s="50"/>
      <c r="G41" s="43">
        <f>F41*6%</f>
        <v>0</v>
      </c>
      <c r="H41" s="53"/>
      <c r="I41" s="44">
        <f t="shared" si="0"/>
        <v>0</v>
      </c>
      <c r="J41" s="54">
        <f t="shared" si="1"/>
        <v>0</v>
      </c>
      <c r="K41" s="54">
        <f t="shared" si="2"/>
        <v>0</v>
      </c>
      <c r="L41" s="55"/>
      <c r="M41" s="50"/>
      <c r="N41" s="53">
        <f t="shared" si="3"/>
        <v>0</v>
      </c>
      <c r="O41" s="53">
        <f t="shared" si="4"/>
        <v>0</v>
      </c>
      <c r="P41" s="56"/>
      <c r="Q41" s="50"/>
      <c r="R41" s="50"/>
      <c r="S41" s="50"/>
      <c r="T41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818" priority="27" operator="containsText" text="SIN FACTURA ">
      <formula>NOT(ISERROR(SEARCH("SIN FACTURA ",A2)))</formula>
    </cfRule>
  </conditionalFormatting>
  <conditionalFormatting sqref="A40:B40 A4:T4 I5:I41 A5:H9 J5:T9">
    <cfRule type="containsText" dxfId="1817" priority="1" operator="containsText" text="SIN FACTURA">
      <formula>NOT(ISERROR(SEARCH("SIN FACTURA",A4)))</formula>
    </cfRule>
  </conditionalFormatting>
  <conditionalFormatting sqref="J41:T41 J39:T39 J37:T37 J35:T35 J33:T33 J31:T31 J29:T29 J27:T27 J25:T25 J23:T23 J21:T21 J11:T19 A11:H19 A21:H21 A23:H23 A25:H25 A27:H27 A29:H29 A31:H31 A33:H33 A35:H35 A37:H37 A39:H39 A41:H41">
    <cfRule type="containsText" dxfId="1816" priority="25" operator="containsText" text="SIN FACTURA">
      <formula>NOT(ISERROR(SEARCH("SIN FACTURA",A11)))</formula>
    </cfRule>
  </conditionalFormatting>
  <conditionalFormatting sqref="C10:H10 J10:V10">
    <cfRule type="containsText" dxfId="1815" priority="24" operator="containsText" text="SIN FACTURA">
      <formula>NOT(ISERROR(SEARCH("SIN FACTURA",C10)))</formula>
    </cfRule>
  </conditionalFormatting>
  <conditionalFormatting sqref="C20:H20 J20:V20">
    <cfRule type="containsText" dxfId="1814" priority="23" operator="containsText" text="SIN FACTURA">
      <formula>NOT(ISERROR(SEARCH("SIN FACTURA",C20)))</formula>
    </cfRule>
  </conditionalFormatting>
  <conditionalFormatting sqref="C22:H22 J22:V22">
    <cfRule type="containsText" dxfId="1813" priority="22" operator="containsText" text="SIN FACTURA">
      <formula>NOT(ISERROR(SEARCH("SIN FACTURA",C22)))</formula>
    </cfRule>
  </conditionalFormatting>
  <conditionalFormatting sqref="C24:H24 J24:V24">
    <cfRule type="containsText" dxfId="1812" priority="21" operator="containsText" text="SIN FACTURA">
      <formula>NOT(ISERROR(SEARCH("SIN FACTURA",C24)))</formula>
    </cfRule>
  </conditionalFormatting>
  <conditionalFormatting sqref="C26:H26 J26:V26">
    <cfRule type="containsText" dxfId="1811" priority="20" operator="containsText" text="SIN FACTURA">
      <formula>NOT(ISERROR(SEARCH("SIN FACTURA",C26)))</formula>
    </cfRule>
  </conditionalFormatting>
  <conditionalFormatting sqref="C28:H28 J28:V28">
    <cfRule type="containsText" dxfId="1810" priority="19" operator="containsText" text="SIN FACTURA">
      <formula>NOT(ISERROR(SEARCH("SIN FACTURA",C28)))</formula>
    </cfRule>
  </conditionalFormatting>
  <conditionalFormatting sqref="C30:H30 J30:V30">
    <cfRule type="containsText" dxfId="1809" priority="18" operator="containsText" text="SIN FACTURA">
      <formula>NOT(ISERROR(SEARCH("SIN FACTURA",C30)))</formula>
    </cfRule>
  </conditionalFormatting>
  <conditionalFormatting sqref="C32:H32 J32:V32">
    <cfRule type="containsText" dxfId="1808" priority="17" operator="containsText" text="SIN FACTURA">
      <formula>NOT(ISERROR(SEARCH("SIN FACTURA",C32)))</formula>
    </cfRule>
  </conditionalFormatting>
  <conditionalFormatting sqref="C34:H34 J34:V34">
    <cfRule type="containsText" dxfId="1807" priority="16" operator="containsText" text="SIN FACTURA">
      <formula>NOT(ISERROR(SEARCH("SIN FACTURA",C34)))</formula>
    </cfRule>
  </conditionalFormatting>
  <conditionalFormatting sqref="C36:H36 J36:V36">
    <cfRule type="containsText" dxfId="1806" priority="15" operator="containsText" text="SIN FACTURA">
      <formula>NOT(ISERROR(SEARCH("SIN FACTURA",C36)))</formula>
    </cfRule>
  </conditionalFormatting>
  <conditionalFormatting sqref="C38:H38 J38:V38">
    <cfRule type="containsText" dxfId="1805" priority="14" operator="containsText" text="SIN FACTURA">
      <formula>NOT(ISERROR(SEARCH("SIN FACTURA",C38)))</formula>
    </cfRule>
  </conditionalFormatting>
  <conditionalFormatting sqref="C40:H40 J40:V40">
    <cfRule type="containsText" dxfId="1804" priority="13" operator="containsText" text="SIN FACTURA">
      <formula>NOT(ISERROR(SEARCH("SIN FACTURA",C40)))</formula>
    </cfRule>
  </conditionalFormatting>
  <conditionalFormatting sqref="A10:B10">
    <cfRule type="containsText" dxfId="1803" priority="12" operator="containsText" text="SIN FACTURA">
      <formula>NOT(ISERROR(SEARCH("SIN FACTURA",A10)))</formula>
    </cfRule>
  </conditionalFormatting>
  <conditionalFormatting sqref="A20:B20">
    <cfRule type="containsText" dxfId="1802" priority="11" operator="containsText" text="SIN FACTURA">
      <formula>NOT(ISERROR(SEARCH("SIN FACTURA",A20)))</formula>
    </cfRule>
  </conditionalFormatting>
  <conditionalFormatting sqref="A22:B22">
    <cfRule type="containsText" dxfId="1801" priority="10" operator="containsText" text="SIN FACTURA">
      <formula>NOT(ISERROR(SEARCH("SIN FACTURA",A22)))</formula>
    </cfRule>
  </conditionalFormatting>
  <conditionalFormatting sqref="A24:B24">
    <cfRule type="containsText" dxfId="1800" priority="9" operator="containsText" text="SIN FACTURA">
      <formula>NOT(ISERROR(SEARCH("SIN FACTURA",A24)))</formula>
    </cfRule>
  </conditionalFormatting>
  <conditionalFormatting sqref="A26:B26">
    <cfRule type="containsText" dxfId="1799" priority="8" operator="containsText" text="SIN FACTURA">
      <formula>NOT(ISERROR(SEARCH("SIN FACTURA",A26)))</formula>
    </cfRule>
  </conditionalFormatting>
  <conditionalFormatting sqref="A28:B28">
    <cfRule type="containsText" dxfId="1798" priority="7" operator="containsText" text="SIN FACTURA">
      <formula>NOT(ISERROR(SEARCH("SIN FACTURA",A28)))</formula>
    </cfRule>
  </conditionalFormatting>
  <conditionalFormatting sqref="A30:B30">
    <cfRule type="containsText" dxfId="1797" priority="6" operator="containsText" text="SIN FACTURA">
      <formula>NOT(ISERROR(SEARCH("SIN FACTURA",A30)))</formula>
    </cfRule>
  </conditionalFormatting>
  <conditionalFormatting sqref="A32:B32">
    <cfRule type="containsText" dxfId="1796" priority="5" operator="containsText" text="SIN FACTURA">
      <formula>NOT(ISERROR(SEARCH("SIN FACTURA",A32)))</formula>
    </cfRule>
  </conditionalFormatting>
  <conditionalFormatting sqref="A34:B34">
    <cfRule type="containsText" dxfId="1795" priority="4" operator="containsText" text="SIN FACTURA">
      <formula>NOT(ISERROR(SEARCH("SIN FACTURA",A34)))</formula>
    </cfRule>
  </conditionalFormatting>
  <conditionalFormatting sqref="A36:B36">
    <cfRule type="containsText" dxfId="1794" priority="3" operator="containsText" text="SIN FACTURA">
      <formula>NOT(ISERROR(SEARCH("SIN FACTURA",A36)))</formula>
    </cfRule>
  </conditionalFormatting>
  <conditionalFormatting sqref="A38:B38">
    <cfRule type="containsText" dxfId="1793" priority="2" operator="containsText" text="SIN FACTURA">
      <formula>NOT(ISERROR(SEARCH("SIN FACTURA",A38)))</formula>
    </cfRule>
  </conditionalFormatting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>
  <sheetPr codeName="Hoja115"/>
  <dimension ref="A1:Y39"/>
  <sheetViews>
    <sheetView zoomScale="115" zoomScaleNormal="115" zoomScalePageLayoutView="115" workbookViewId="0">
      <pane ySplit="4" topLeftCell="A5" activePane="bottomLeft" state="frozen"/>
      <selection activeCell="D26" sqref="D26"/>
      <selection pane="bottomLeft" activeCell="A8" sqref="A5:XFD8"/>
    </sheetView>
  </sheetViews>
  <sheetFormatPr baseColWidth="10" defaultColWidth="10.875" defaultRowHeight="15.75"/>
  <cols>
    <col min="1" max="1" width="23.125" style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5" width="10.875" style="1"/>
    <col min="16" max="16" width="10.875" style="9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419</v>
      </c>
      <c r="B1" s="18" t="s">
        <v>139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34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100"/>
      <c r="E5" s="40"/>
      <c r="F5" s="40"/>
      <c r="G5" s="43">
        <f>F5*6%</f>
        <v>0</v>
      </c>
      <c r="H5" s="43"/>
      <c r="I5" s="44">
        <f t="shared" ref="I5:I39" si="0">F5-G5-H5</f>
        <v>0</v>
      </c>
      <c r="J5" s="44">
        <f>S5+T5</f>
        <v>0</v>
      </c>
      <c r="K5" s="44">
        <f>I5-J5</f>
        <v>0</v>
      </c>
      <c r="L5" s="45"/>
      <c r="M5" s="40"/>
      <c r="N5" s="43">
        <f t="shared" ref="N5:N39" si="1">I5-J5-M5-R5</f>
        <v>0</v>
      </c>
      <c r="O5" s="43">
        <f t="shared" ref="O5:O39" si="2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ref="J7:J39" si="3">S7+T7</f>
        <v>0</v>
      </c>
      <c r="K7" s="44">
        <f t="shared" ref="K7:K39" si="4">I7-J7</f>
        <v>0</v>
      </c>
      <c r="L7" s="45"/>
      <c r="M7" s="40"/>
      <c r="N7" s="43">
        <f t="shared" si="1"/>
        <v>0</v>
      </c>
      <c r="O7" s="43">
        <f t="shared" si="2"/>
        <v>0</v>
      </c>
      <c r="P7" s="46"/>
      <c r="Q7" s="40"/>
      <c r="R7" s="47"/>
      <c r="S7" s="47"/>
      <c r="T7" s="48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5"/>
      <c r="Q8" s="37"/>
      <c r="R8" s="38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3"/>
        <v>0</v>
      </c>
      <c r="K9" s="44">
        <f t="shared" si="4"/>
        <v>0</v>
      </c>
      <c r="L9" s="45"/>
      <c r="M9" s="40"/>
      <c r="N9" s="43">
        <f t="shared" si="1"/>
        <v>0</v>
      </c>
      <c r="O9" s="43">
        <f t="shared" si="2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3"/>
        <v>0</v>
      </c>
      <c r="K11" s="44">
        <f t="shared" si="4"/>
        <v>0</v>
      </c>
      <c r="L11" s="45"/>
      <c r="M11" s="40"/>
      <c r="N11" s="43">
        <f t="shared" si="1"/>
        <v>0</v>
      </c>
      <c r="O11" s="43">
        <f t="shared" si="2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>S13+T13</f>
        <v>0</v>
      </c>
      <c r="K13" s="44">
        <f t="shared" si="4"/>
        <v>0</v>
      </c>
      <c r="L13" s="45"/>
      <c r="M13" s="40"/>
      <c r="N13" s="43">
        <f>I13-J13-M13-R13</f>
        <v>0</v>
      </c>
      <c r="O13" s="43">
        <f>R13+S13+T13</f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3"/>
        <v>0</v>
      </c>
      <c r="K15" s="44">
        <f t="shared" si="4"/>
        <v>0</v>
      </c>
      <c r="L15" s="45"/>
      <c r="M15" s="40"/>
      <c r="N15" s="43">
        <f t="shared" si="1"/>
        <v>0</v>
      </c>
      <c r="O15" s="43">
        <f t="shared" si="2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3"/>
        <v>0</v>
      </c>
      <c r="K17" s="44">
        <f t="shared" si="4"/>
        <v>0</v>
      </c>
      <c r="L17" s="45"/>
      <c r="M17" s="40"/>
      <c r="N17" s="43">
        <f t="shared" si="1"/>
        <v>0</v>
      </c>
      <c r="O17" s="43">
        <f t="shared" si="2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5"/>
      <c r="Q18" s="37"/>
      <c r="R18" s="38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3"/>
        <v>0</v>
      </c>
      <c r="K19" s="44">
        <f t="shared" si="4"/>
        <v>0</v>
      </c>
      <c r="L19" s="45"/>
      <c r="M19" s="40"/>
      <c r="N19" s="43">
        <f t="shared" si="1"/>
        <v>0</v>
      </c>
      <c r="O19" s="43">
        <f t="shared" si="2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5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3"/>
        <v>0</v>
      </c>
      <c r="K21" s="44">
        <f t="shared" si="4"/>
        <v>0</v>
      </c>
      <c r="L21" s="45"/>
      <c r="M21" s="40"/>
      <c r="N21" s="43">
        <f t="shared" si="1"/>
        <v>0</v>
      </c>
      <c r="O21" s="43">
        <f t="shared" si="2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5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3"/>
        <v>0</v>
      </c>
      <c r="K23" s="44">
        <f t="shared" si="4"/>
        <v>0</v>
      </c>
      <c r="L23" s="45"/>
      <c r="M23" s="40"/>
      <c r="N23" s="43">
        <f t="shared" si="1"/>
        <v>0</v>
      </c>
      <c r="O23" s="43">
        <f t="shared" si="2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5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3"/>
        <v>0</v>
      </c>
      <c r="K25" s="44">
        <f t="shared" si="4"/>
        <v>0</v>
      </c>
      <c r="L25" s="45"/>
      <c r="M25" s="40"/>
      <c r="N25" s="43">
        <f t="shared" si="1"/>
        <v>0</v>
      </c>
      <c r="O25" s="43">
        <f t="shared" si="2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5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3"/>
        <v>0</v>
      </c>
      <c r="K27" s="44">
        <f t="shared" si="4"/>
        <v>0</v>
      </c>
      <c r="L27" s="45"/>
      <c r="M27" s="40"/>
      <c r="N27" s="43">
        <f t="shared" si="1"/>
        <v>0</v>
      </c>
      <c r="O27" s="43">
        <f t="shared" si="2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5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3"/>
        <v>0</v>
      </c>
      <c r="K29" s="44">
        <f t="shared" si="4"/>
        <v>0</v>
      </c>
      <c r="L29" s="45"/>
      <c r="M29" s="40"/>
      <c r="N29" s="43">
        <f t="shared" si="1"/>
        <v>0</v>
      </c>
      <c r="O29" s="43">
        <f t="shared" si="2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5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3"/>
        <v>0</v>
      </c>
      <c r="K31" s="44">
        <f t="shared" si="4"/>
        <v>0</v>
      </c>
      <c r="L31" s="45"/>
      <c r="M31" s="40"/>
      <c r="N31" s="43">
        <f t="shared" si="1"/>
        <v>0</v>
      </c>
      <c r="O31" s="43">
        <f t="shared" si="2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5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3"/>
        <v>0</v>
      </c>
      <c r="K33" s="44">
        <f t="shared" si="4"/>
        <v>0</v>
      </c>
      <c r="L33" s="45"/>
      <c r="M33" s="40"/>
      <c r="N33" s="43">
        <f t="shared" si="1"/>
        <v>0</v>
      </c>
      <c r="O33" s="43">
        <f t="shared" si="2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5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3"/>
        <v>0</v>
      </c>
      <c r="K35" s="44">
        <f t="shared" si="4"/>
        <v>0</v>
      </c>
      <c r="L35" s="45"/>
      <c r="M35" s="40"/>
      <c r="N35" s="43">
        <f t="shared" si="1"/>
        <v>0</v>
      </c>
      <c r="O35" s="43">
        <f t="shared" si="2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5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3"/>
        <v>0</v>
      </c>
      <c r="K37" s="44">
        <f t="shared" si="4"/>
        <v>0</v>
      </c>
      <c r="L37" s="45"/>
      <c r="M37" s="40"/>
      <c r="N37" s="43">
        <f t="shared" si="1"/>
        <v>0</v>
      </c>
      <c r="O37" s="43">
        <f t="shared" si="2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5"/>
      <c r="Q38" s="37"/>
      <c r="R38" s="38"/>
      <c r="S38" s="32"/>
      <c r="T38" s="39"/>
      <c r="U38" s="6"/>
      <c r="V38" s="6"/>
    </row>
    <row r="39" spans="1:22" ht="15">
      <c r="A39" s="50"/>
      <c r="B39" s="51"/>
      <c r="C39" s="52"/>
      <c r="D39" s="50"/>
      <c r="E39" s="50"/>
      <c r="F39" s="50"/>
      <c r="G39" s="43">
        <f>F39*6%</f>
        <v>0</v>
      </c>
      <c r="H39" s="53"/>
      <c r="I39" s="78">
        <f t="shared" si="0"/>
        <v>0</v>
      </c>
      <c r="J39" s="54">
        <f t="shared" si="3"/>
        <v>0</v>
      </c>
      <c r="K39" s="54">
        <f t="shared" si="4"/>
        <v>0</v>
      </c>
      <c r="L39" s="55"/>
      <c r="M39" s="50"/>
      <c r="N39" s="53">
        <f t="shared" si="1"/>
        <v>0</v>
      </c>
      <c r="O39" s="53">
        <f t="shared" si="2"/>
        <v>0</v>
      </c>
      <c r="P39" s="56"/>
      <c r="Q39" s="50"/>
      <c r="R39" s="50"/>
      <c r="S39" s="50"/>
      <c r="T39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792" priority="27" operator="containsText" text="SIN FACTURA ">
      <formula>NOT(ISERROR(SEARCH("SIN FACTURA ",A2)))</formula>
    </cfRule>
  </conditionalFormatting>
  <conditionalFormatting sqref="J39:T39 J37:T37 J35:T35 J33:T33 J31:T31 J29:T29 J27:T27 J25:T25 J23:T23 J21:T21 J19:T19 J9:T17 J8:V8 J18:V18 J20:V20 J22:V22 J24:V24 J26:V26 J28:V28 J30:V30 J32:V32 J34:V34 J36:V36 J38:V38 J5:T7 A5:I39 A4:T4">
    <cfRule type="containsText" dxfId="1791" priority="26" operator="containsText" text="SIN FACTURA">
      <formula>NOT(ISERROR(SEARCH("SIN FACTURA",A4)))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101.xml><?xml version="1.0" encoding="utf-8"?>
<worksheet xmlns="http://schemas.openxmlformats.org/spreadsheetml/2006/main" xmlns:r="http://schemas.openxmlformats.org/officeDocument/2006/relationships">
  <sheetPr codeName="Hoja162"/>
  <dimension ref="A1:Y45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P5" sqref="P5:T9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321</v>
      </c>
      <c r="B1" s="18" t="s">
        <v>124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>F5-G5-H5</f>
        <v>0</v>
      </c>
      <c r="J5" s="44">
        <f t="shared" ref="J5:J45" si="0">S5+T5</f>
        <v>0</v>
      </c>
      <c r="K5" s="44">
        <f t="shared" ref="K5:K45" si="1">I5-J5</f>
        <v>0</v>
      </c>
      <c r="L5" s="45"/>
      <c r="M5" s="40"/>
      <c r="N5" s="43">
        <f t="shared" ref="N5:N45" si="2">I5-J5-M5-R5</f>
        <v>0</v>
      </c>
      <c r="O5" s="43">
        <f t="shared" ref="O5:O45" si="3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ref="I7:I45" si="4">F7-G7-H7</f>
        <v>0</v>
      </c>
      <c r="J7" s="44">
        <f t="shared" si="0"/>
        <v>0</v>
      </c>
      <c r="K7" s="44">
        <f t="shared" si="1"/>
        <v>0</v>
      </c>
      <c r="L7" s="45"/>
      <c r="M7" s="40"/>
      <c r="N7" s="43">
        <f t="shared" si="2"/>
        <v>0</v>
      </c>
      <c r="O7" s="43">
        <f t="shared" si="3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4"/>
        <v>0</v>
      </c>
      <c r="J9" s="44">
        <f t="shared" si="0"/>
        <v>0</v>
      </c>
      <c r="K9" s="44">
        <f t="shared" si="1"/>
        <v>0</v>
      </c>
      <c r="L9" s="45"/>
      <c r="M9" s="40"/>
      <c r="N9" s="43">
        <f t="shared" si="2"/>
        <v>0</v>
      </c>
      <c r="O9" s="43">
        <f t="shared" si="3"/>
        <v>0</v>
      </c>
      <c r="P9" s="46"/>
      <c r="Q9" s="40"/>
      <c r="R9" s="43"/>
      <c r="S9" s="43"/>
      <c r="T9" s="49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4"/>
        <v>0</v>
      </c>
      <c r="J11" s="44">
        <f>S11+T11</f>
        <v>0</v>
      </c>
      <c r="K11" s="44">
        <f>I11-J11</f>
        <v>0</v>
      </c>
      <c r="L11" s="45"/>
      <c r="M11" s="40"/>
      <c r="N11" s="43">
        <f t="shared" si="2"/>
        <v>0</v>
      </c>
      <c r="O11" s="43">
        <f t="shared" si="3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4"/>
        <v>0</v>
      </c>
      <c r="J13" s="44">
        <f t="shared" si="0"/>
        <v>0</v>
      </c>
      <c r="K13" s="44">
        <f t="shared" si="1"/>
        <v>0</v>
      </c>
      <c r="L13" s="45"/>
      <c r="M13" s="40"/>
      <c r="N13" s="43">
        <f t="shared" si="2"/>
        <v>0</v>
      </c>
      <c r="O13" s="43">
        <f t="shared" si="3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4"/>
        <v>0</v>
      </c>
      <c r="J15" s="44">
        <f t="shared" si="0"/>
        <v>0</v>
      </c>
      <c r="K15" s="44">
        <f t="shared" si="1"/>
        <v>0</v>
      </c>
      <c r="L15" s="45"/>
      <c r="M15" s="40"/>
      <c r="N15" s="43">
        <f t="shared" si="2"/>
        <v>0</v>
      </c>
      <c r="O15" s="43">
        <f t="shared" si="3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4"/>
        <v>0</v>
      </c>
      <c r="J17" s="44">
        <f t="shared" si="0"/>
        <v>0</v>
      </c>
      <c r="K17" s="44">
        <f t="shared" si="1"/>
        <v>0</v>
      </c>
      <c r="L17" s="45"/>
      <c r="M17" s="40"/>
      <c r="N17" s="43">
        <f t="shared" si="2"/>
        <v>0</v>
      </c>
      <c r="O17" s="43">
        <f t="shared" si="3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4"/>
        <v>0</v>
      </c>
      <c r="J19" s="44">
        <f>S19+T19</f>
        <v>0</v>
      </c>
      <c r="K19" s="44">
        <f t="shared" si="1"/>
        <v>0</v>
      </c>
      <c r="L19" s="45"/>
      <c r="M19" s="40"/>
      <c r="N19" s="43">
        <f>I19-J19-M19-R19</f>
        <v>0</v>
      </c>
      <c r="O19" s="43">
        <f>R19+S19+T19</f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4"/>
        <v>0</v>
      </c>
      <c r="J21" s="44">
        <f t="shared" si="0"/>
        <v>0</v>
      </c>
      <c r="K21" s="44">
        <f t="shared" si="1"/>
        <v>0</v>
      </c>
      <c r="L21" s="45"/>
      <c r="M21" s="40"/>
      <c r="N21" s="43">
        <f t="shared" si="2"/>
        <v>0</v>
      </c>
      <c r="O21" s="43">
        <f t="shared" si="3"/>
        <v>0</v>
      </c>
      <c r="P21" s="46"/>
      <c r="Q21" s="40"/>
      <c r="R21" s="47"/>
      <c r="S21" s="47"/>
      <c r="T21" s="48"/>
    </row>
    <row r="22" spans="1:22" ht="15">
      <c r="A22" s="32"/>
      <c r="B22" s="33"/>
      <c r="C22" s="34"/>
      <c r="D22" s="32"/>
      <c r="E22" s="32"/>
      <c r="F22" s="32"/>
      <c r="G22" s="37"/>
      <c r="H22" s="37"/>
      <c r="I22" s="37"/>
      <c r="J22" s="35"/>
      <c r="K22" s="35"/>
      <c r="L22" s="36"/>
      <c r="M22" s="32"/>
      <c r="N22" s="37"/>
      <c r="O22" s="37"/>
      <c r="P22" s="38"/>
      <c r="Q22" s="32"/>
      <c r="R22" s="32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4"/>
        <v>0</v>
      </c>
      <c r="J23" s="44">
        <f t="shared" si="0"/>
        <v>0</v>
      </c>
      <c r="K23" s="44">
        <f t="shared" si="1"/>
        <v>0</v>
      </c>
      <c r="L23" s="45"/>
      <c r="M23" s="40"/>
      <c r="N23" s="43">
        <f t="shared" si="2"/>
        <v>0</v>
      </c>
      <c r="O23" s="43">
        <f t="shared" si="3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4"/>
        <v>0</v>
      </c>
      <c r="J25" s="44">
        <f t="shared" si="0"/>
        <v>0</v>
      </c>
      <c r="K25" s="44">
        <f t="shared" si="1"/>
        <v>0</v>
      </c>
      <c r="L25" s="45"/>
      <c r="M25" s="40"/>
      <c r="N25" s="43">
        <f t="shared" si="2"/>
        <v>0</v>
      </c>
      <c r="O25" s="43">
        <f t="shared" si="3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4"/>
        <v>0</v>
      </c>
      <c r="J27" s="44">
        <f t="shared" si="0"/>
        <v>0</v>
      </c>
      <c r="K27" s="44">
        <f t="shared" si="1"/>
        <v>0</v>
      </c>
      <c r="L27" s="45"/>
      <c r="M27" s="40"/>
      <c r="N27" s="43">
        <f t="shared" si="2"/>
        <v>0</v>
      </c>
      <c r="O27" s="43">
        <f t="shared" si="3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4"/>
        <v>0</v>
      </c>
      <c r="J29" s="44">
        <f t="shared" si="0"/>
        <v>0</v>
      </c>
      <c r="K29" s="44">
        <f t="shared" si="1"/>
        <v>0</v>
      </c>
      <c r="L29" s="45"/>
      <c r="M29" s="40"/>
      <c r="N29" s="43">
        <f t="shared" si="2"/>
        <v>0</v>
      </c>
      <c r="O29" s="43">
        <f t="shared" si="3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4"/>
        <v>0</v>
      </c>
      <c r="J31" s="44">
        <f t="shared" si="0"/>
        <v>0</v>
      </c>
      <c r="K31" s="44">
        <f t="shared" si="1"/>
        <v>0</v>
      </c>
      <c r="L31" s="45"/>
      <c r="M31" s="40"/>
      <c r="N31" s="43">
        <f t="shared" si="2"/>
        <v>0</v>
      </c>
      <c r="O31" s="43">
        <f t="shared" si="3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4"/>
        <v>0</v>
      </c>
      <c r="J33" s="44">
        <f t="shared" si="0"/>
        <v>0</v>
      </c>
      <c r="K33" s="44">
        <f t="shared" si="1"/>
        <v>0</v>
      </c>
      <c r="L33" s="45"/>
      <c r="M33" s="40"/>
      <c r="N33" s="43">
        <f t="shared" si="2"/>
        <v>0</v>
      </c>
      <c r="O33" s="43">
        <f t="shared" si="3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4"/>
        <v>0</v>
      </c>
      <c r="J35" s="44">
        <f t="shared" si="0"/>
        <v>0</v>
      </c>
      <c r="K35" s="44">
        <f t="shared" si="1"/>
        <v>0</v>
      </c>
      <c r="L35" s="45"/>
      <c r="M35" s="40"/>
      <c r="N35" s="43">
        <f t="shared" si="2"/>
        <v>0</v>
      </c>
      <c r="O35" s="43">
        <f t="shared" si="3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4"/>
        <v>0</v>
      </c>
      <c r="J37" s="44">
        <f t="shared" si="0"/>
        <v>0</v>
      </c>
      <c r="K37" s="44">
        <f t="shared" si="1"/>
        <v>0</v>
      </c>
      <c r="L37" s="45"/>
      <c r="M37" s="40"/>
      <c r="N37" s="43">
        <f t="shared" si="2"/>
        <v>0</v>
      </c>
      <c r="O37" s="43">
        <f t="shared" si="3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4"/>
        <v>0</v>
      </c>
      <c r="J39" s="44">
        <f t="shared" si="0"/>
        <v>0</v>
      </c>
      <c r="K39" s="44">
        <f t="shared" si="1"/>
        <v>0</v>
      </c>
      <c r="L39" s="45"/>
      <c r="M39" s="40"/>
      <c r="N39" s="43">
        <f t="shared" si="2"/>
        <v>0</v>
      </c>
      <c r="O39" s="43">
        <f t="shared" si="3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4"/>
        <v>0</v>
      </c>
      <c r="J41" s="44">
        <f t="shared" si="0"/>
        <v>0</v>
      </c>
      <c r="K41" s="44">
        <f t="shared" si="1"/>
        <v>0</v>
      </c>
      <c r="L41" s="45"/>
      <c r="M41" s="40"/>
      <c r="N41" s="43">
        <f t="shared" si="2"/>
        <v>0</v>
      </c>
      <c r="O41" s="43">
        <f t="shared" si="3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40"/>
      <c r="B43" s="41"/>
      <c r="C43" s="42"/>
      <c r="D43" s="40"/>
      <c r="E43" s="40"/>
      <c r="F43" s="40"/>
      <c r="G43" s="43">
        <f>F43*6%</f>
        <v>0</v>
      </c>
      <c r="H43" s="43"/>
      <c r="I43" s="44">
        <f t="shared" si="4"/>
        <v>0</v>
      </c>
      <c r="J43" s="44">
        <f t="shared" si="0"/>
        <v>0</v>
      </c>
      <c r="K43" s="44">
        <f t="shared" si="1"/>
        <v>0</v>
      </c>
      <c r="L43" s="45"/>
      <c r="M43" s="40"/>
      <c r="N43" s="43">
        <f t="shared" si="2"/>
        <v>0</v>
      </c>
      <c r="O43" s="43">
        <f t="shared" si="3"/>
        <v>0</v>
      </c>
      <c r="P43" s="46"/>
      <c r="Q43" s="40"/>
      <c r="R43" s="40"/>
      <c r="S43" s="40"/>
      <c r="T43" s="5"/>
    </row>
    <row r="44" spans="1:22" ht="15">
      <c r="A44" s="32"/>
      <c r="B44" s="33"/>
      <c r="C44" s="32"/>
      <c r="D44" s="33"/>
      <c r="E44" s="34"/>
      <c r="F44" s="32"/>
      <c r="G44" s="32"/>
      <c r="H44" s="32"/>
      <c r="I44" s="37"/>
      <c r="J44" s="37"/>
      <c r="K44" s="35"/>
      <c r="L44" s="35"/>
      <c r="M44" s="35"/>
      <c r="N44" s="36"/>
      <c r="O44" s="32"/>
      <c r="P44" s="37"/>
      <c r="Q44" s="37"/>
      <c r="R44" s="38"/>
      <c r="S44" s="32"/>
      <c r="T44" s="39"/>
      <c r="U44" s="6"/>
      <c r="V44" s="6"/>
    </row>
    <row r="45" spans="1:22" ht="15">
      <c r="A45" s="50"/>
      <c r="B45" s="51"/>
      <c r="C45" s="52"/>
      <c r="D45" s="50"/>
      <c r="E45" s="50"/>
      <c r="F45" s="50"/>
      <c r="G45" s="43">
        <f>F45*6%</f>
        <v>0</v>
      </c>
      <c r="H45" s="53"/>
      <c r="I45" s="78">
        <f t="shared" si="4"/>
        <v>0</v>
      </c>
      <c r="J45" s="54">
        <f t="shared" si="0"/>
        <v>0</v>
      </c>
      <c r="K45" s="54">
        <f t="shared" si="1"/>
        <v>0</v>
      </c>
      <c r="L45" s="55"/>
      <c r="M45" s="50"/>
      <c r="N45" s="53">
        <f t="shared" si="2"/>
        <v>0</v>
      </c>
      <c r="O45" s="53">
        <f t="shared" si="3"/>
        <v>0</v>
      </c>
      <c r="P45" s="56"/>
      <c r="Q45" s="50"/>
      <c r="R45" s="50"/>
      <c r="S45" s="50"/>
      <c r="T45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790" priority="27" operator="containsText" text="SIN FACTURA ">
      <formula>NOT(ISERROR(SEARCH("SIN FACTURA ",A2)))</formula>
    </cfRule>
  </conditionalFormatting>
  <conditionalFormatting sqref="J45:T45 J43:T43 J41:T41 J39:T39 J37:T37 J35:T35 J33:T33 J31:T31 J29:T29 J27:T27 J25:T25 J15:T23 J6:T13 I6:I45 A6:H13 A15:H23 A25:H25 A27:H27 A29:H29 A31:H31 A33:H33 A35:H35 A37:H37 A39:H39 A41:H41 A43:H43 A45:H45 A4:T5">
    <cfRule type="containsText" dxfId="1789" priority="26" operator="containsText" text="SIN FACTURA">
      <formula>NOT(ISERROR(SEARCH("SIN FACTURA",A4)))</formula>
    </cfRule>
  </conditionalFormatting>
  <conditionalFormatting sqref="C14:H14 J14:V14">
    <cfRule type="containsText" dxfId="1788" priority="25" operator="containsText" text="SIN FACTURA">
      <formula>NOT(ISERROR(SEARCH("SIN FACTURA",C14)))</formula>
    </cfRule>
  </conditionalFormatting>
  <conditionalFormatting sqref="C24:H24 J24:V24">
    <cfRule type="containsText" dxfId="1787" priority="24" operator="containsText" text="SIN FACTURA">
      <formula>NOT(ISERROR(SEARCH("SIN FACTURA",C24)))</formula>
    </cfRule>
  </conditionalFormatting>
  <conditionalFormatting sqref="C26:H26 J26:V26">
    <cfRule type="containsText" dxfId="1786" priority="23" operator="containsText" text="SIN FACTURA">
      <formula>NOT(ISERROR(SEARCH("SIN FACTURA",C26)))</formula>
    </cfRule>
  </conditionalFormatting>
  <conditionalFormatting sqref="C28:H28 J28:V28">
    <cfRule type="containsText" dxfId="1785" priority="22" operator="containsText" text="SIN FACTURA">
      <formula>NOT(ISERROR(SEARCH("SIN FACTURA",C28)))</formula>
    </cfRule>
  </conditionalFormatting>
  <conditionalFormatting sqref="C30:H30 J30:V30">
    <cfRule type="containsText" dxfId="1784" priority="21" operator="containsText" text="SIN FACTURA">
      <formula>NOT(ISERROR(SEARCH("SIN FACTURA",C30)))</formula>
    </cfRule>
  </conditionalFormatting>
  <conditionalFormatting sqref="C32:H32 J32:V32">
    <cfRule type="containsText" dxfId="1783" priority="20" operator="containsText" text="SIN FACTURA">
      <formula>NOT(ISERROR(SEARCH("SIN FACTURA",C32)))</formula>
    </cfRule>
  </conditionalFormatting>
  <conditionalFormatting sqref="C34:H34 J34:V34">
    <cfRule type="containsText" dxfId="1782" priority="19" operator="containsText" text="SIN FACTURA">
      <formula>NOT(ISERROR(SEARCH("SIN FACTURA",C34)))</formula>
    </cfRule>
  </conditionalFormatting>
  <conditionalFormatting sqref="C36:H36 J36:V36">
    <cfRule type="containsText" dxfId="1781" priority="18" operator="containsText" text="SIN FACTURA">
      <formula>NOT(ISERROR(SEARCH("SIN FACTURA",C36)))</formula>
    </cfRule>
  </conditionalFormatting>
  <conditionalFormatting sqref="C38:H38 J38:V38">
    <cfRule type="containsText" dxfId="1780" priority="17" operator="containsText" text="SIN FACTURA">
      <formula>NOT(ISERROR(SEARCH("SIN FACTURA",C38)))</formula>
    </cfRule>
  </conditionalFormatting>
  <conditionalFormatting sqref="C40:H40 J40:V40">
    <cfRule type="containsText" dxfId="1779" priority="16" operator="containsText" text="SIN FACTURA">
      <formula>NOT(ISERROR(SEARCH("SIN FACTURA",C40)))</formula>
    </cfRule>
  </conditionalFormatting>
  <conditionalFormatting sqref="C42:H42 J42:V42">
    <cfRule type="containsText" dxfId="1778" priority="15" operator="containsText" text="SIN FACTURA">
      <formula>NOT(ISERROR(SEARCH("SIN FACTURA",C42)))</formula>
    </cfRule>
  </conditionalFormatting>
  <conditionalFormatting sqref="C44:H44 J44:V44">
    <cfRule type="containsText" dxfId="1777" priority="14" operator="containsText" text="SIN FACTURA">
      <formula>NOT(ISERROR(SEARCH("SIN FACTURA",C44)))</formula>
    </cfRule>
  </conditionalFormatting>
  <conditionalFormatting sqref="A14:B14">
    <cfRule type="containsText" dxfId="1776" priority="13" operator="containsText" text="SIN FACTURA">
      <formula>NOT(ISERROR(SEARCH("SIN FACTURA",A14)))</formula>
    </cfRule>
  </conditionalFormatting>
  <conditionalFormatting sqref="A24:B24">
    <cfRule type="containsText" dxfId="1775" priority="12" operator="containsText" text="SIN FACTURA">
      <formula>NOT(ISERROR(SEARCH("SIN FACTURA",A24)))</formula>
    </cfRule>
  </conditionalFormatting>
  <conditionalFormatting sqref="A26:B26">
    <cfRule type="containsText" dxfId="1774" priority="11" operator="containsText" text="SIN FACTURA">
      <formula>NOT(ISERROR(SEARCH("SIN FACTURA",A26)))</formula>
    </cfRule>
  </conditionalFormatting>
  <conditionalFormatting sqref="A28:B28">
    <cfRule type="containsText" dxfId="1773" priority="10" operator="containsText" text="SIN FACTURA">
      <formula>NOT(ISERROR(SEARCH("SIN FACTURA",A28)))</formula>
    </cfRule>
  </conditionalFormatting>
  <conditionalFormatting sqref="A30:B30">
    <cfRule type="containsText" dxfId="1772" priority="9" operator="containsText" text="SIN FACTURA">
      <formula>NOT(ISERROR(SEARCH("SIN FACTURA",A30)))</formula>
    </cfRule>
  </conditionalFormatting>
  <conditionalFormatting sqref="A32:B32">
    <cfRule type="containsText" dxfId="1771" priority="8" operator="containsText" text="SIN FACTURA">
      <formula>NOT(ISERROR(SEARCH("SIN FACTURA",A32)))</formula>
    </cfRule>
  </conditionalFormatting>
  <conditionalFormatting sqref="A44:B44">
    <cfRule type="containsText" dxfId="1770" priority="2" operator="containsText" text="SIN FACTURA">
      <formula>NOT(ISERROR(SEARCH("SIN FACTURA",A44)))</formula>
    </cfRule>
  </conditionalFormatting>
  <conditionalFormatting sqref="A34:B34">
    <cfRule type="containsText" dxfId="1769" priority="7" operator="containsText" text="SIN FACTURA">
      <formula>NOT(ISERROR(SEARCH("SIN FACTURA",A34)))</formula>
    </cfRule>
  </conditionalFormatting>
  <conditionalFormatting sqref="A36:B36">
    <cfRule type="containsText" dxfId="1768" priority="6" operator="containsText" text="SIN FACTURA">
      <formula>NOT(ISERROR(SEARCH("SIN FACTURA",A36)))</formula>
    </cfRule>
  </conditionalFormatting>
  <conditionalFormatting sqref="A38:B38">
    <cfRule type="containsText" dxfId="1767" priority="5" operator="containsText" text="SIN FACTURA">
      <formula>NOT(ISERROR(SEARCH("SIN FACTURA",A38)))</formula>
    </cfRule>
  </conditionalFormatting>
  <conditionalFormatting sqref="A40:B40">
    <cfRule type="containsText" dxfId="1766" priority="4" operator="containsText" text="SIN FACTURA">
      <formula>NOT(ISERROR(SEARCH("SIN FACTURA",A40)))</formula>
    </cfRule>
  </conditionalFormatting>
  <conditionalFormatting sqref="A42:B42">
    <cfRule type="containsText" dxfId="1765" priority="3" operator="containsText" text="SIN FACTURA">
      <formula>NOT(ISERROR(SEARCH("SIN FACTURA",A42)))</formula>
    </cfRule>
  </conditionalFormatting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>
  <sheetPr codeName="Hoja164"/>
  <dimension ref="A1:Y44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8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364</v>
      </c>
      <c r="B1" s="18" t="s">
        <v>96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1" si="0">F5-G5-H5</f>
        <v>0</v>
      </c>
      <c r="J5" s="44">
        <f t="shared" ref="J5:J41" si="1">S5+T5</f>
        <v>0</v>
      </c>
      <c r="K5" s="44">
        <f t="shared" ref="K5:K41" si="2">I5-J5</f>
        <v>0</v>
      </c>
      <c r="L5" s="45"/>
      <c r="M5" s="40"/>
      <c r="N5" s="43">
        <f t="shared" ref="N5:N41" si="3">I5-J5-M5-R5</f>
        <v>0</v>
      </c>
      <c r="O5" s="43">
        <f t="shared" ref="O5:O41" si="4">R5+S5+T5</f>
        <v>0</v>
      </c>
      <c r="P5" s="46"/>
      <c r="Q5" s="40"/>
      <c r="R5" s="43"/>
      <c r="S5" s="43"/>
      <c r="T5" s="49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>I7-J7</f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>S15+T15</f>
        <v>0</v>
      </c>
      <c r="K15" s="44">
        <f t="shared" si="2"/>
        <v>0</v>
      </c>
      <c r="L15" s="45"/>
      <c r="M15" s="40"/>
      <c r="N15" s="43">
        <f>I15-J15-M15-R15</f>
        <v>0</v>
      </c>
      <c r="O15" s="43">
        <f>R15+S15+T15</f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58"/>
      <c r="B42" s="59"/>
      <c r="C42" s="60"/>
      <c r="D42" s="58"/>
      <c r="E42" s="58"/>
      <c r="F42" s="58"/>
      <c r="G42" s="58"/>
      <c r="H42" s="58"/>
      <c r="I42" s="61">
        <f t="shared" ref="I42:I44" si="5">F42-G42</f>
        <v>0</v>
      </c>
      <c r="J42" s="61">
        <f t="shared" ref="J42:J44" si="6">S42+T42</f>
        <v>0</v>
      </c>
      <c r="K42" s="61">
        <f t="shared" ref="K42:K44" si="7">I42-J42</f>
        <v>0</v>
      </c>
      <c r="L42" s="62"/>
      <c r="M42" s="58"/>
      <c r="N42" s="63">
        <f t="shared" ref="N42:N44" si="8">I42-J42-M42-R42</f>
        <v>0</v>
      </c>
      <c r="O42" s="63">
        <f t="shared" ref="O42:O44" si="9">R42+S42+T42</f>
        <v>0</v>
      </c>
      <c r="P42" s="64"/>
      <c r="Q42" s="58"/>
      <c r="R42" s="58"/>
      <c r="S42" s="58"/>
      <c r="T42" s="68"/>
    </row>
    <row r="43" spans="1:22" ht="15">
      <c r="A43" s="40"/>
      <c r="B43" s="41"/>
      <c r="C43" s="42"/>
      <c r="D43" s="40"/>
      <c r="E43" s="40"/>
      <c r="F43" s="40"/>
      <c r="G43" s="40"/>
      <c r="H43" s="40"/>
      <c r="I43" s="44">
        <f t="shared" si="5"/>
        <v>0</v>
      </c>
      <c r="J43" s="44">
        <f t="shared" si="6"/>
        <v>0</v>
      </c>
      <c r="K43" s="44">
        <f t="shared" si="7"/>
        <v>0</v>
      </c>
      <c r="L43" s="45"/>
      <c r="M43" s="40"/>
      <c r="N43" s="43">
        <f t="shared" si="8"/>
        <v>0</v>
      </c>
      <c r="O43" s="43">
        <f t="shared" si="9"/>
        <v>0</v>
      </c>
      <c r="P43" s="46"/>
      <c r="Q43" s="40"/>
      <c r="R43" s="40"/>
      <c r="S43" s="40"/>
      <c r="T43" s="5"/>
    </row>
    <row r="44" spans="1:22" ht="15">
      <c r="A44" s="69"/>
      <c r="B44" s="70"/>
      <c r="C44" s="71"/>
      <c r="D44" s="69"/>
      <c r="E44" s="69"/>
      <c r="F44" s="69"/>
      <c r="G44" s="69"/>
      <c r="H44" s="69"/>
      <c r="I44" s="72">
        <f t="shared" si="5"/>
        <v>0</v>
      </c>
      <c r="J44" s="72">
        <f t="shared" si="6"/>
        <v>0</v>
      </c>
      <c r="K44" s="72">
        <f t="shared" si="7"/>
        <v>0</v>
      </c>
      <c r="L44" s="73"/>
      <c r="M44" s="69"/>
      <c r="N44" s="74">
        <f t="shared" si="8"/>
        <v>0</v>
      </c>
      <c r="O44" s="74">
        <f t="shared" si="9"/>
        <v>0</v>
      </c>
      <c r="P44" s="75"/>
      <c r="Q44" s="69"/>
      <c r="R44" s="69"/>
      <c r="S44" s="69"/>
      <c r="T44" s="76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764" priority="28" operator="containsText" text="SIN FACTURA ">
      <formula>NOT(ISERROR(SEARCH("SIN FACTURA ",A2)))</formula>
    </cfRule>
  </conditionalFormatting>
  <conditionalFormatting sqref="A42:T44 A4:T4 J5:T9 I5:I41 A5:H9">
    <cfRule type="containsText" dxfId="1763" priority="27" operator="containsText" text="SIN FACTURA">
      <formula>NOT(ISERROR(SEARCH("SIN FACTURA",A4)))</formula>
    </cfRule>
  </conditionalFormatting>
  <conditionalFormatting sqref="J41:T41 J39:T39 J37:T37 J35:T35 J33:T33 J31:T31 J29:T29 J27:T27 J25:T25 J23:T23 J21:T21 J11:T19 A11:H19 A21:H21 A23:H23 A25:H25 A27:H27 A29:H29 A31:H31 A33:H33 A35:H35 A37:H37 A39:H39 A41:H41">
    <cfRule type="containsText" dxfId="1762" priority="26" operator="containsText" text="SIN FACTURA">
      <formula>NOT(ISERROR(SEARCH("SIN FACTURA",A11)))</formula>
    </cfRule>
  </conditionalFormatting>
  <conditionalFormatting sqref="C10:H10 J10:V10">
    <cfRule type="containsText" dxfId="1761" priority="25" operator="containsText" text="SIN FACTURA">
      <formula>NOT(ISERROR(SEARCH("SIN FACTURA",C10)))</formula>
    </cfRule>
  </conditionalFormatting>
  <conditionalFormatting sqref="C20:H20 J20:V20">
    <cfRule type="containsText" dxfId="1760" priority="24" operator="containsText" text="SIN FACTURA">
      <formula>NOT(ISERROR(SEARCH("SIN FACTURA",C20)))</formula>
    </cfRule>
  </conditionalFormatting>
  <conditionalFormatting sqref="C22:H22 J22:V22">
    <cfRule type="containsText" dxfId="1759" priority="23" operator="containsText" text="SIN FACTURA">
      <formula>NOT(ISERROR(SEARCH("SIN FACTURA",C22)))</formula>
    </cfRule>
  </conditionalFormatting>
  <conditionalFormatting sqref="C24:H24 J24:V24">
    <cfRule type="containsText" dxfId="1758" priority="22" operator="containsText" text="SIN FACTURA">
      <formula>NOT(ISERROR(SEARCH("SIN FACTURA",C24)))</formula>
    </cfRule>
  </conditionalFormatting>
  <conditionalFormatting sqref="C26:H26 J26:V26">
    <cfRule type="containsText" dxfId="1757" priority="21" operator="containsText" text="SIN FACTURA">
      <formula>NOT(ISERROR(SEARCH("SIN FACTURA",C26)))</formula>
    </cfRule>
  </conditionalFormatting>
  <conditionalFormatting sqref="C28:H28 J28:V28">
    <cfRule type="containsText" dxfId="1756" priority="20" operator="containsText" text="SIN FACTURA">
      <formula>NOT(ISERROR(SEARCH("SIN FACTURA",C28)))</formula>
    </cfRule>
  </conditionalFormatting>
  <conditionalFormatting sqref="C30:H30 J30:V30">
    <cfRule type="containsText" dxfId="1755" priority="19" operator="containsText" text="SIN FACTURA">
      <formula>NOT(ISERROR(SEARCH("SIN FACTURA",C30)))</formula>
    </cfRule>
  </conditionalFormatting>
  <conditionalFormatting sqref="C32:H32 J32:V32">
    <cfRule type="containsText" dxfId="1754" priority="18" operator="containsText" text="SIN FACTURA">
      <formula>NOT(ISERROR(SEARCH("SIN FACTURA",C32)))</formula>
    </cfRule>
  </conditionalFormatting>
  <conditionalFormatting sqref="C34:H34 J34:V34">
    <cfRule type="containsText" dxfId="1753" priority="17" operator="containsText" text="SIN FACTURA">
      <formula>NOT(ISERROR(SEARCH("SIN FACTURA",C34)))</formula>
    </cfRule>
  </conditionalFormatting>
  <conditionalFormatting sqref="C36:H36 J36:V36">
    <cfRule type="containsText" dxfId="1752" priority="16" operator="containsText" text="SIN FACTURA">
      <formula>NOT(ISERROR(SEARCH("SIN FACTURA",C36)))</formula>
    </cfRule>
  </conditionalFormatting>
  <conditionalFormatting sqref="C38:H38 J38:V38">
    <cfRule type="containsText" dxfId="1751" priority="15" operator="containsText" text="SIN FACTURA">
      <formula>NOT(ISERROR(SEARCH("SIN FACTURA",C38)))</formula>
    </cfRule>
  </conditionalFormatting>
  <conditionalFormatting sqref="C40:H40 J40:V40">
    <cfRule type="containsText" dxfId="1750" priority="14" operator="containsText" text="SIN FACTURA">
      <formula>NOT(ISERROR(SEARCH("SIN FACTURA",C40)))</formula>
    </cfRule>
  </conditionalFormatting>
  <conditionalFormatting sqref="A10:B10">
    <cfRule type="containsText" dxfId="1749" priority="13" operator="containsText" text="SIN FACTURA">
      <formula>NOT(ISERROR(SEARCH("SIN FACTURA",A10)))</formula>
    </cfRule>
  </conditionalFormatting>
  <conditionalFormatting sqref="A20:B20">
    <cfRule type="containsText" dxfId="1748" priority="12" operator="containsText" text="SIN FACTURA">
      <formula>NOT(ISERROR(SEARCH("SIN FACTURA",A20)))</formula>
    </cfRule>
  </conditionalFormatting>
  <conditionalFormatting sqref="A22:B22">
    <cfRule type="containsText" dxfId="1747" priority="11" operator="containsText" text="SIN FACTURA">
      <formula>NOT(ISERROR(SEARCH("SIN FACTURA",A22)))</formula>
    </cfRule>
  </conditionalFormatting>
  <conditionalFormatting sqref="A24:B24">
    <cfRule type="containsText" dxfId="1746" priority="10" operator="containsText" text="SIN FACTURA">
      <formula>NOT(ISERROR(SEARCH("SIN FACTURA",A24)))</formula>
    </cfRule>
  </conditionalFormatting>
  <conditionalFormatting sqref="A26:B26">
    <cfRule type="containsText" dxfId="1745" priority="9" operator="containsText" text="SIN FACTURA">
      <formula>NOT(ISERROR(SEARCH("SIN FACTURA",A26)))</formula>
    </cfRule>
  </conditionalFormatting>
  <conditionalFormatting sqref="A28:B28">
    <cfRule type="containsText" dxfId="1744" priority="8" operator="containsText" text="SIN FACTURA">
      <formula>NOT(ISERROR(SEARCH("SIN FACTURA",A28)))</formula>
    </cfRule>
  </conditionalFormatting>
  <conditionalFormatting sqref="A40:B40">
    <cfRule type="containsText" dxfId="1743" priority="2" operator="containsText" text="SIN FACTURA">
      <formula>NOT(ISERROR(SEARCH("SIN FACTURA",A40)))</formula>
    </cfRule>
  </conditionalFormatting>
  <conditionalFormatting sqref="A30:B30">
    <cfRule type="containsText" dxfId="1742" priority="7" operator="containsText" text="SIN FACTURA">
      <formula>NOT(ISERROR(SEARCH("SIN FACTURA",A30)))</formula>
    </cfRule>
  </conditionalFormatting>
  <conditionalFormatting sqref="A32:B32">
    <cfRule type="containsText" dxfId="1741" priority="6" operator="containsText" text="SIN FACTURA">
      <formula>NOT(ISERROR(SEARCH("SIN FACTURA",A32)))</formula>
    </cfRule>
  </conditionalFormatting>
  <conditionalFormatting sqref="A34:B34">
    <cfRule type="containsText" dxfId="1740" priority="5" operator="containsText" text="SIN FACTURA">
      <formula>NOT(ISERROR(SEARCH("SIN FACTURA",A34)))</formula>
    </cfRule>
  </conditionalFormatting>
  <conditionalFormatting sqref="A36:B36">
    <cfRule type="containsText" dxfId="1739" priority="4" operator="containsText" text="SIN FACTURA">
      <formula>NOT(ISERROR(SEARCH("SIN FACTURA",A36)))</formula>
    </cfRule>
  </conditionalFormatting>
  <conditionalFormatting sqref="A38:B38">
    <cfRule type="containsText" dxfId="1738" priority="3" operator="containsText" text="SIN FACTURA">
      <formula>NOT(ISERROR(SEARCH("SIN FACTURA",A38)))</formula>
    </cfRule>
  </conditionalFormatting>
  <pageMargins left="0.75" right="0.75" top="1" bottom="1" header="0.5" footer="0.5"/>
  <pageSetup paperSize="9" orientation="portrait" horizontalDpi="0" verticalDpi="0" r:id="rId1"/>
</worksheet>
</file>

<file path=xl/worksheets/sheet103.xml><?xml version="1.0" encoding="utf-8"?>
<worksheet xmlns="http://schemas.openxmlformats.org/spreadsheetml/2006/main" xmlns:r="http://schemas.openxmlformats.org/officeDocument/2006/relationships">
  <sheetPr codeName="Hoja165"/>
  <dimension ref="A1:Y16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C21" sqref="C21"/>
    </sheetView>
  </sheetViews>
  <sheetFormatPr baseColWidth="10" defaultColWidth="10.875" defaultRowHeight="15.75"/>
  <cols>
    <col min="1" max="1" width="19.125" style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60">
        <v>335</v>
      </c>
      <c r="B1" s="161" t="s">
        <v>81</v>
      </c>
      <c r="C1" s="16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6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9" si="0">F5-G5-H5</f>
        <v>0</v>
      </c>
      <c r="J5" s="44">
        <f t="shared" ref="J5:J9" si="1">S5+T5</f>
        <v>0</v>
      </c>
      <c r="K5" s="44">
        <f t="shared" ref="K5:K9" si="2">I5-J5</f>
        <v>0</v>
      </c>
      <c r="L5" s="45"/>
      <c r="M5" s="40"/>
      <c r="N5" s="43">
        <f t="shared" ref="N5:N9" si="3">I5-J5-M5-R5</f>
        <v>0</v>
      </c>
      <c r="O5" s="43">
        <f t="shared" ref="O5:O9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  <c r="U10" s="6"/>
      <c r="V10" s="6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ref="I11" si="5">F11-G11-H11</f>
        <v>0</v>
      </c>
      <c r="J11" s="44">
        <f t="shared" ref="J11" si="6">S11+T11</f>
        <v>0</v>
      </c>
      <c r="K11" s="44">
        <f t="shared" ref="K11" si="7">I11-J11</f>
        <v>0</v>
      </c>
      <c r="L11" s="45"/>
      <c r="M11" s="40"/>
      <c r="N11" s="43">
        <f t="shared" ref="N11" si="8">I11-J11-M11-R11</f>
        <v>0</v>
      </c>
      <c r="O11" s="43">
        <f t="shared" ref="O11" si="9">R11+S11+T11</f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ref="I13" si="10">F13-G13-H13</f>
        <v>0</v>
      </c>
      <c r="J13" s="44">
        <f t="shared" ref="J13" si="11">S13+T13</f>
        <v>0</v>
      </c>
      <c r="K13" s="44">
        <f t="shared" ref="K13" si="12">I13-J13</f>
        <v>0</v>
      </c>
      <c r="L13" s="45"/>
      <c r="M13" s="40"/>
      <c r="N13" s="43">
        <f t="shared" ref="N13" si="13">I13-J13-M13-R13</f>
        <v>0</v>
      </c>
      <c r="O13" s="43">
        <f t="shared" ref="O13" si="14">R13+S13+T13</f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ref="I15" si="15">F15-G15-H15</f>
        <v>0</v>
      </c>
      <c r="J15" s="44">
        <f t="shared" ref="J15" si="16">S15+T15</f>
        <v>0</v>
      </c>
      <c r="K15" s="44">
        <f t="shared" ref="K15" si="17">I15-J15</f>
        <v>0</v>
      </c>
      <c r="L15" s="45"/>
      <c r="M15" s="40"/>
      <c r="N15" s="43">
        <f t="shared" ref="N15" si="18">I15-J15-M15-R15</f>
        <v>0</v>
      </c>
      <c r="O15" s="43">
        <f t="shared" ref="O15" si="19">R15+S15+T15</f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737" priority="47" operator="containsText" text="SIN FACTURA ">
      <formula>NOT(ISERROR(SEARCH("SIN FACTURA ",A2)))</formula>
    </cfRule>
  </conditionalFormatting>
  <conditionalFormatting sqref="A4:T4 J5:T7 I5:I10 A5:H7">
    <cfRule type="containsText" dxfId="1736" priority="21" operator="containsText" text="SIN FACTURA">
      <formula>NOT(ISERROR(SEARCH("SIN FACTURA",A4)))</formula>
    </cfRule>
  </conditionalFormatting>
  <conditionalFormatting sqref="J9:T9 A9:H9">
    <cfRule type="containsText" dxfId="1735" priority="13" operator="containsText" text="SIN FACTURA">
      <formula>NOT(ISERROR(SEARCH("SIN FACTURA",A9)))</formula>
    </cfRule>
  </conditionalFormatting>
  <conditionalFormatting sqref="C8:H8 J8:V8">
    <cfRule type="containsText" dxfId="1734" priority="11" operator="containsText" text="SIN FACTURA">
      <formula>NOT(ISERROR(SEARCH("SIN FACTURA",C8)))</formula>
    </cfRule>
  </conditionalFormatting>
  <conditionalFormatting sqref="C10:H10 J10:V10">
    <cfRule type="containsText" dxfId="1733" priority="10" operator="containsText" text="SIN FACTURA">
      <formula>NOT(ISERROR(SEARCH("SIN FACTURA",C10)))</formula>
    </cfRule>
  </conditionalFormatting>
  <conditionalFormatting sqref="A8:B8">
    <cfRule type="containsText" dxfId="1732" priority="8" operator="containsText" text="SIN FACTURA">
      <formula>NOT(ISERROR(SEARCH("SIN FACTURA",A8)))</formula>
    </cfRule>
  </conditionalFormatting>
  <conditionalFormatting sqref="A10:B10">
    <cfRule type="containsText" dxfId="1731" priority="7" operator="containsText" text="SIN FACTURA">
      <formula>NOT(ISERROR(SEARCH("SIN FACTURA",A10)))</formula>
    </cfRule>
  </conditionalFormatting>
  <conditionalFormatting sqref="J11:T13 I11:I16 A11:H13">
    <cfRule type="containsText" dxfId="1730" priority="6" operator="containsText" text="SIN FACTURA">
      <formula>NOT(ISERROR(SEARCH("SIN FACTURA",A11)))</formula>
    </cfRule>
  </conditionalFormatting>
  <conditionalFormatting sqref="J15:T15 A15:H15">
    <cfRule type="containsText" dxfId="1729" priority="5" operator="containsText" text="SIN FACTURA">
      <formula>NOT(ISERROR(SEARCH("SIN FACTURA",A15)))</formula>
    </cfRule>
  </conditionalFormatting>
  <conditionalFormatting sqref="C14:H14 J14:V14">
    <cfRule type="containsText" dxfId="1728" priority="4" operator="containsText" text="SIN FACTURA">
      <formula>NOT(ISERROR(SEARCH("SIN FACTURA",C14)))</formula>
    </cfRule>
  </conditionalFormatting>
  <conditionalFormatting sqref="C16:H16 J16:V16">
    <cfRule type="containsText" dxfId="1727" priority="3" operator="containsText" text="SIN FACTURA">
      <formula>NOT(ISERROR(SEARCH("SIN FACTURA",C16)))</formula>
    </cfRule>
  </conditionalFormatting>
  <conditionalFormatting sqref="A14:B14">
    <cfRule type="containsText" dxfId="1726" priority="2" operator="containsText" text="SIN FACTURA">
      <formula>NOT(ISERROR(SEARCH("SIN FACTURA",A14)))</formula>
    </cfRule>
  </conditionalFormatting>
  <conditionalFormatting sqref="A16:B16">
    <cfRule type="containsText" dxfId="1725" priority="1" operator="containsText" text="SIN FACTURA">
      <formula>NOT(ISERROR(SEARCH("SIN FACTURA",A16)))</formula>
    </cfRule>
  </conditionalFormatting>
  <pageMargins left="0.75" right="0.75" top="1" bottom="1" header="0.5" footer="0.5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>
  <sheetPr codeName="Hoja120"/>
  <dimension ref="A1:Y33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18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4"/>
      <c r="B1" s="15" t="s">
        <v>172</v>
      </c>
      <c r="C1" s="1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6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3" si="0">F5-G5-H5</f>
        <v>0</v>
      </c>
      <c r="J5" s="44">
        <f t="shared" ref="J5:J33" si="1">S5+T5</f>
        <v>0</v>
      </c>
      <c r="K5" s="44">
        <f t="shared" ref="K5:K33" si="2">I5-J5</f>
        <v>0</v>
      </c>
      <c r="L5" s="45"/>
      <c r="M5" s="40"/>
      <c r="N5" s="43">
        <f t="shared" ref="N5:N33" si="3">I5-J5-M5-R5</f>
        <v>0</v>
      </c>
      <c r="O5" s="43">
        <f t="shared" ref="O5:O33" si="4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 t="shared" si="2"/>
        <v>0</v>
      </c>
      <c r="L7" s="45"/>
      <c r="M7" s="40"/>
      <c r="N7" s="43">
        <f>I7-J7-M7-R7</f>
        <v>0</v>
      </c>
      <c r="O7" s="43">
        <f>R7+S7+T7</f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0" ht="15">
      <c r="A33" s="50"/>
      <c r="B33" s="51"/>
      <c r="C33" s="52"/>
      <c r="D33" s="50"/>
      <c r="E33" s="50"/>
      <c r="F33" s="50"/>
      <c r="G33" s="43">
        <f>F33*6%</f>
        <v>0</v>
      </c>
      <c r="H33" s="53"/>
      <c r="I33" s="44">
        <f t="shared" si="0"/>
        <v>0</v>
      </c>
      <c r="J33" s="54">
        <f t="shared" si="1"/>
        <v>0</v>
      </c>
      <c r="K33" s="54">
        <f t="shared" si="2"/>
        <v>0</v>
      </c>
      <c r="L33" s="55"/>
      <c r="M33" s="50"/>
      <c r="N33" s="53">
        <f t="shared" si="3"/>
        <v>0</v>
      </c>
      <c r="O33" s="53">
        <f t="shared" si="4"/>
        <v>0</v>
      </c>
      <c r="P33" s="56"/>
      <c r="Q33" s="50"/>
      <c r="R33" s="50"/>
      <c r="S33" s="50"/>
      <c r="T3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724" priority="26" operator="containsText" text="SIN FACTURA ">
      <formula>NOT(ISERROR(SEARCH("SIN FACTURA ",A2)))</formula>
    </cfRule>
  </conditionalFormatting>
  <conditionalFormatting sqref="A32:B32 I5:I33 A4:T4 J5:T11 A5:H11">
    <cfRule type="containsText" dxfId="1723" priority="1" operator="containsText" text="SIN FACTURA">
      <formula>NOT(ISERROR(SEARCH("SIN FACTURA",A4)))</formula>
    </cfRule>
  </conditionalFormatting>
  <conditionalFormatting sqref="J33:T33 J31:T31 J29:T29 J27:T27 J25:T25 J23:T23 J21:T21 J19:T19 J17:T17 J15:T15 J13:T13 A13:H13 A15:H15 A17:H17 A19:H19 A21:H21 A23:H23 A25:H25 A27:H27 A29:H29 A31:H31 A33:H33">
    <cfRule type="containsText" dxfId="1722" priority="25" operator="containsText" text="SIN FACTURA">
      <formula>NOT(ISERROR(SEARCH("SIN FACTURA",A13)))</formula>
    </cfRule>
  </conditionalFormatting>
  <conditionalFormatting sqref="C12:H12 J12:V12">
    <cfRule type="containsText" dxfId="1721" priority="23" operator="containsText" text="SIN FACTURA">
      <formula>NOT(ISERROR(SEARCH("SIN FACTURA",C12)))</formula>
    </cfRule>
  </conditionalFormatting>
  <conditionalFormatting sqref="C14:H14 J14:V14">
    <cfRule type="containsText" dxfId="1720" priority="22" operator="containsText" text="SIN FACTURA">
      <formula>NOT(ISERROR(SEARCH("SIN FACTURA",C14)))</formula>
    </cfRule>
  </conditionalFormatting>
  <conditionalFormatting sqref="C16:H16 J16:V16">
    <cfRule type="containsText" dxfId="1719" priority="21" operator="containsText" text="SIN FACTURA">
      <formula>NOT(ISERROR(SEARCH("SIN FACTURA",C16)))</formula>
    </cfRule>
  </conditionalFormatting>
  <conditionalFormatting sqref="C18:H18 J18:V18">
    <cfRule type="containsText" dxfId="1718" priority="20" operator="containsText" text="SIN FACTURA">
      <formula>NOT(ISERROR(SEARCH("SIN FACTURA",C18)))</formula>
    </cfRule>
  </conditionalFormatting>
  <conditionalFormatting sqref="C20:H20 J20:V20">
    <cfRule type="containsText" dxfId="1717" priority="19" operator="containsText" text="SIN FACTURA">
      <formula>NOT(ISERROR(SEARCH("SIN FACTURA",C20)))</formula>
    </cfRule>
  </conditionalFormatting>
  <conditionalFormatting sqref="C22:H22 J22:V22">
    <cfRule type="containsText" dxfId="1716" priority="18" operator="containsText" text="SIN FACTURA">
      <formula>NOT(ISERROR(SEARCH("SIN FACTURA",C22)))</formula>
    </cfRule>
  </conditionalFormatting>
  <conditionalFormatting sqref="C24:H24 J24:V24">
    <cfRule type="containsText" dxfId="1715" priority="17" operator="containsText" text="SIN FACTURA">
      <formula>NOT(ISERROR(SEARCH("SIN FACTURA",C24)))</formula>
    </cfRule>
  </conditionalFormatting>
  <conditionalFormatting sqref="C26:H26 J26:V26">
    <cfRule type="containsText" dxfId="1714" priority="16" operator="containsText" text="SIN FACTURA">
      <formula>NOT(ISERROR(SEARCH("SIN FACTURA",C26)))</formula>
    </cfRule>
  </conditionalFormatting>
  <conditionalFormatting sqref="C28:H28 J28:V28">
    <cfRule type="containsText" dxfId="1713" priority="15" operator="containsText" text="SIN FACTURA">
      <formula>NOT(ISERROR(SEARCH("SIN FACTURA",C28)))</formula>
    </cfRule>
  </conditionalFormatting>
  <conditionalFormatting sqref="C30:H30 J30:V30">
    <cfRule type="containsText" dxfId="1712" priority="14" operator="containsText" text="SIN FACTURA">
      <formula>NOT(ISERROR(SEARCH("SIN FACTURA",C30)))</formula>
    </cfRule>
  </conditionalFormatting>
  <conditionalFormatting sqref="C32:H32 J32:V32">
    <cfRule type="containsText" dxfId="1711" priority="13" operator="containsText" text="SIN FACTURA">
      <formula>NOT(ISERROR(SEARCH("SIN FACTURA",C32)))</formula>
    </cfRule>
  </conditionalFormatting>
  <conditionalFormatting sqref="A12:B12">
    <cfRule type="containsText" dxfId="1710" priority="11" operator="containsText" text="SIN FACTURA">
      <formula>NOT(ISERROR(SEARCH("SIN FACTURA",A12)))</formula>
    </cfRule>
  </conditionalFormatting>
  <conditionalFormatting sqref="A14:B14">
    <cfRule type="containsText" dxfId="1709" priority="10" operator="containsText" text="SIN FACTURA">
      <formula>NOT(ISERROR(SEARCH("SIN FACTURA",A14)))</formula>
    </cfRule>
  </conditionalFormatting>
  <conditionalFormatting sqref="A16:B16">
    <cfRule type="containsText" dxfId="1708" priority="9" operator="containsText" text="SIN FACTURA">
      <formula>NOT(ISERROR(SEARCH("SIN FACTURA",A16)))</formula>
    </cfRule>
  </conditionalFormatting>
  <conditionalFormatting sqref="A18:B18">
    <cfRule type="containsText" dxfId="1707" priority="8" operator="containsText" text="SIN FACTURA">
      <formula>NOT(ISERROR(SEARCH("SIN FACTURA",A18)))</formula>
    </cfRule>
  </conditionalFormatting>
  <conditionalFormatting sqref="A20:B20">
    <cfRule type="containsText" dxfId="1706" priority="7" operator="containsText" text="SIN FACTURA">
      <formula>NOT(ISERROR(SEARCH("SIN FACTURA",A20)))</formula>
    </cfRule>
  </conditionalFormatting>
  <conditionalFormatting sqref="A22:B22">
    <cfRule type="containsText" dxfId="1705" priority="6" operator="containsText" text="SIN FACTURA">
      <formula>NOT(ISERROR(SEARCH("SIN FACTURA",A22)))</formula>
    </cfRule>
  </conditionalFormatting>
  <conditionalFormatting sqref="A24:B24">
    <cfRule type="containsText" dxfId="1704" priority="5" operator="containsText" text="SIN FACTURA">
      <formula>NOT(ISERROR(SEARCH("SIN FACTURA",A24)))</formula>
    </cfRule>
  </conditionalFormatting>
  <conditionalFormatting sqref="A26:B26">
    <cfRule type="containsText" dxfId="1703" priority="4" operator="containsText" text="SIN FACTURA">
      <formula>NOT(ISERROR(SEARCH("SIN FACTURA",A26)))</formula>
    </cfRule>
  </conditionalFormatting>
  <conditionalFormatting sqref="A28:B28">
    <cfRule type="containsText" dxfId="1702" priority="3" operator="containsText" text="SIN FACTURA">
      <formula>NOT(ISERROR(SEARCH("SIN FACTURA",A28)))</formula>
    </cfRule>
  </conditionalFormatting>
  <conditionalFormatting sqref="A30:B30">
    <cfRule type="containsText" dxfId="1701" priority="2" operator="containsText" text="SIN FACTURA">
      <formula>NOT(ISERROR(SEARCH("SIN FACTURA",A30)))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105.xml><?xml version="1.0" encoding="utf-8"?>
<worksheet xmlns="http://schemas.openxmlformats.org/spreadsheetml/2006/main" xmlns:r="http://schemas.openxmlformats.org/officeDocument/2006/relationships">
  <sheetPr codeName="Hoja124"/>
  <dimension ref="A1:Y43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436</v>
      </c>
      <c r="B1" s="18" t="s">
        <v>142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78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700" priority="26" operator="containsText" text="SIN FACTURA ">
      <formula>NOT(ISERROR(SEARCH("SIN FACTURA ",A2)))</formula>
    </cfRule>
  </conditionalFormatting>
  <conditionalFormatting sqref="J43:T43 J41:T41 J39:T39 J37:T37 J35:T35 J33:T33 J31:T31 J29:T29 J27:T27 J25:T25 J23:T23 J13:T21 A13:H21 A23:H23 A25:H25 A27:H27 A29:H29 A31:H31 A33:H33 A35:H35 A37:H37 A39:H39 A41:H41 A43:H43 J5:T11 I5:I43 A5:H11 A4:T4">
    <cfRule type="containsText" dxfId="1699" priority="25" operator="containsText" text="SIN FACTURA">
      <formula>NOT(ISERROR(SEARCH("SIN FACTURA",A4)))</formula>
    </cfRule>
  </conditionalFormatting>
  <conditionalFormatting sqref="C12:H12 J12:V12">
    <cfRule type="containsText" dxfId="1698" priority="24" operator="containsText" text="SIN FACTURA">
      <formula>NOT(ISERROR(SEARCH("SIN FACTURA",C12)))</formula>
    </cfRule>
  </conditionalFormatting>
  <conditionalFormatting sqref="C22:H22 J22:V22">
    <cfRule type="containsText" dxfId="1697" priority="23" operator="containsText" text="SIN FACTURA">
      <formula>NOT(ISERROR(SEARCH("SIN FACTURA",C22)))</formula>
    </cfRule>
  </conditionalFormatting>
  <conditionalFormatting sqref="C24:H24 J24:V24">
    <cfRule type="containsText" dxfId="1696" priority="22" operator="containsText" text="SIN FACTURA">
      <formula>NOT(ISERROR(SEARCH("SIN FACTURA",C24)))</formula>
    </cfRule>
  </conditionalFormatting>
  <conditionalFormatting sqref="C26:H26 J26:V26">
    <cfRule type="containsText" dxfId="1695" priority="21" operator="containsText" text="SIN FACTURA">
      <formula>NOT(ISERROR(SEARCH("SIN FACTURA",C26)))</formula>
    </cfRule>
  </conditionalFormatting>
  <conditionalFormatting sqref="C28:H28 J28:V28">
    <cfRule type="containsText" dxfId="1694" priority="20" operator="containsText" text="SIN FACTURA">
      <formula>NOT(ISERROR(SEARCH("SIN FACTURA",C28)))</formula>
    </cfRule>
  </conditionalFormatting>
  <conditionalFormatting sqref="C30:H30 J30:V30">
    <cfRule type="containsText" dxfId="1693" priority="19" operator="containsText" text="SIN FACTURA">
      <formula>NOT(ISERROR(SEARCH("SIN FACTURA",C30)))</formula>
    </cfRule>
  </conditionalFormatting>
  <conditionalFormatting sqref="C32:H32 J32:V32">
    <cfRule type="containsText" dxfId="1692" priority="18" operator="containsText" text="SIN FACTURA">
      <formula>NOT(ISERROR(SEARCH("SIN FACTURA",C32)))</formula>
    </cfRule>
  </conditionalFormatting>
  <conditionalFormatting sqref="C34:H34 J34:V34">
    <cfRule type="containsText" dxfId="1691" priority="17" operator="containsText" text="SIN FACTURA">
      <formula>NOT(ISERROR(SEARCH("SIN FACTURA",C34)))</formula>
    </cfRule>
  </conditionalFormatting>
  <conditionalFormatting sqref="C36:H36 J36:V36">
    <cfRule type="containsText" dxfId="1690" priority="16" operator="containsText" text="SIN FACTURA">
      <formula>NOT(ISERROR(SEARCH("SIN FACTURA",C36)))</formula>
    </cfRule>
  </conditionalFormatting>
  <conditionalFormatting sqref="C38:H38 J38:V38">
    <cfRule type="containsText" dxfId="1689" priority="15" operator="containsText" text="SIN FACTURA">
      <formula>NOT(ISERROR(SEARCH("SIN FACTURA",C38)))</formula>
    </cfRule>
  </conditionalFormatting>
  <conditionalFormatting sqref="C40:H40 J40:V40">
    <cfRule type="containsText" dxfId="1688" priority="14" operator="containsText" text="SIN FACTURA">
      <formula>NOT(ISERROR(SEARCH("SIN FACTURA",C40)))</formula>
    </cfRule>
  </conditionalFormatting>
  <conditionalFormatting sqref="C42:H42 J42:V42">
    <cfRule type="containsText" dxfId="1687" priority="13" operator="containsText" text="SIN FACTURA">
      <formula>NOT(ISERROR(SEARCH("SIN FACTURA",C42)))</formula>
    </cfRule>
  </conditionalFormatting>
  <conditionalFormatting sqref="A12:B12">
    <cfRule type="containsText" dxfId="1686" priority="12" operator="containsText" text="SIN FACTURA">
      <formula>NOT(ISERROR(SEARCH("SIN FACTURA",A12)))</formula>
    </cfRule>
  </conditionalFormatting>
  <conditionalFormatting sqref="A22:B22">
    <cfRule type="containsText" dxfId="1685" priority="11" operator="containsText" text="SIN FACTURA">
      <formula>NOT(ISERROR(SEARCH("SIN FACTURA",A22)))</formula>
    </cfRule>
  </conditionalFormatting>
  <conditionalFormatting sqref="A24:B24">
    <cfRule type="containsText" dxfId="1684" priority="10" operator="containsText" text="SIN FACTURA">
      <formula>NOT(ISERROR(SEARCH("SIN FACTURA",A24)))</formula>
    </cfRule>
  </conditionalFormatting>
  <conditionalFormatting sqref="A26:B26">
    <cfRule type="containsText" dxfId="1683" priority="9" operator="containsText" text="SIN FACTURA">
      <formula>NOT(ISERROR(SEARCH("SIN FACTURA",A26)))</formula>
    </cfRule>
  </conditionalFormatting>
  <conditionalFormatting sqref="A28:B28">
    <cfRule type="containsText" dxfId="1682" priority="8" operator="containsText" text="SIN FACTURA">
      <formula>NOT(ISERROR(SEARCH("SIN FACTURA",A28)))</formula>
    </cfRule>
  </conditionalFormatting>
  <conditionalFormatting sqref="A30:B30">
    <cfRule type="containsText" dxfId="1681" priority="7" operator="containsText" text="SIN FACTURA">
      <formula>NOT(ISERROR(SEARCH("SIN FACTURA",A30)))</formula>
    </cfRule>
  </conditionalFormatting>
  <conditionalFormatting sqref="A42:B42">
    <cfRule type="containsText" dxfId="1680" priority="1" operator="containsText" text="SIN FACTURA">
      <formula>NOT(ISERROR(SEARCH("SIN FACTURA",A42)))</formula>
    </cfRule>
  </conditionalFormatting>
  <conditionalFormatting sqref="A32:B32">
    <cfRule type="containsText" dxfId="1679" priority="6" operator="containsText" text="SIN FACTURA">
      <formula>NOT(ISERROR(SEARCH("SIN FACTURA",A32)))</formula>
    </cfRule>
  </conditionalFormatting>
  <conditionalFormatting sqref="A34:B34">
    <cfRule type="containsText" dxfId="1678" priority="5" operator="containsText" text="SIN FACTURA">
      <formula>NOT(ISERROR(SEARCH("SIN FACTURA",A34)))</formula>
    </cfRule>
  </conditionalFormatting>
  <conditionalFormatting sqref="A36:B36">
    <cfRule type="containsText" dxfId="1677" priority="4" operator="containsText" text="SIN FACTURA">
      <formula>NOT(ISERROR(SEARCH("SIN FACTURA",A36)))</formula>
    </cfRule>
  </conditionalFormatting>
  <conditionalFormatting sqref="A38:B38">
    <cfRule type="containsText" dxfId="1676" priority="3" operator="containsText" text="SIN FACTURA">
      <formula>NOT(ISERROR(SEARCH("SIN FACTURA",A38)))</formula>
    </cfRule>
  </conditionalFormatting>
  <conditionalFormatting sqref="A40:B40">
    <cfRule type="containsText" dxfId="1675" priority="2" operator="containsText" text="SIN FACTURA">
      <formula>NOT(ISERROR(SEARCH("SIN FACTURA",A40)))</formula>
    </cfRule>
  </conditionalFormatting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>
  <sheetPr codeName="Hoja166"/>
  <dimension ref="A1:Y33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10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21">
        <v>297</v>
      </c>
      <c r="B1" s="4" t="s">
        <v>74</v>
      </c>
      <c r="C1" s="1"/>
      <c r="D1" s="1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6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3" si="0">F5-G5-H5</f>
        <v>0</v>
      </c>
      <c r="J5" s="44">
        <f t="shared" ref="J5:J33" si="1">S5+T5</f>
        <v>0</v>
      </c>
      <c r="K5" s="44">
        <f t="shared" ref="K5:K33" si="2">I5-J5</f>
        <v>0</v>
      </c>
      <c r="L5" s="45"/>
      <c r="M5" s="40"/>
      <c r="N5" s="43">
        <f t="shared" ref="N5:N33" si="3">I5-J5-M5-R5</f>
        <v>0</v>
      </c>
      <c r="O5" s="43">
        <f t="shared" ref="O5:O33" si="4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 t="shared" si="2"/>
        <v>0</v>
      </c>
      <c r="L7" s="45"/>
      <c r="M7" s="40"/>
      <c r="N7" s="43">
        <f>I7-J7-M7-R7</f>
        <v>0</v>
      </c>
      <c r="O7" s="43">
        <f>R7+S7+T7</f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0" ht="15">
      <c r="A33" s="50"/>
      <c r="B33" s="51"/>
      <c r="C33" s="52"/>
      <c r="D33" s="50"/>
      <c r="E33" s="50"/>
      <c r="F33" s="50"/>
      <c r="G33" s="43">
        <f>F33*6%</f>
        <v>0</v>
      </c>
      <c r="H33" s="53"/>
      <c r="I33" s="44">
        <f t="shared" si="0"/>
        <v>0</v>
      </c>
      <c r="J33" s="54">
        <f t="shared" si="1"/>
        <v>0</v>
      </c>
      <c r="K33" s="54">
        <f t="shared" si="2"/>
        <v>0</v>
      </c>
      <c r="L33" s="55"/>
      <c r="M33" s="50"/>
      <c r="N33" s="53">
        <f t="shared" si="3"/>
        <v>0</v>
      </c>
      <c r="O33" s="53">
        <f t="shared" si="4"/>
        <v>0</v>
      </c>
      <c r="P33" s="56"/>
      <c r="Q33" s="50"/>
      <c r="R33" s="50"/>
      <c r="S33" s="50"/>
      <c r="T3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674" priority="29" operator="containsText" text="SIN FACTURA ">
      <formula>NOT(ISERROR(SEARCH("SIN FACTURA ",A2)))</formula>
    </cfRule>
  </conditionalFormatting>
  <conditionalFormatting sqref="A32:B32 A4:T4 I5:I33 J5:T11 A5:H11">
    <cfRule type="containsText" dxfId="1673" priority="3" operator="containsText" text="SIN FACTURA">
      <formula>NOT(ISERROR(SEARCH("SIN FACTURA",A4)))</formula>
    </cfRule>
  </conditionalFormatting>
  <conditionalFormatting sqref="J33:T33 J31:T31 J29:T29 J27:T27 J25:T25 J23:T23 J21:T21 J19:T19 J17:T17 J15:T15 J13:T13 A13:H13 A15:H15 A17:H17 A19:H19 A21:H21 A23:H23 A25:H25 A27:H27 A29:H29 A31:H31 A33:H33">
    <cfRule type="containsText" dxfId="1672" priority="27" operator="containsText" text="SIN FACTURA">
      <formula>NOT(ISERROR(SEARCH("SIN FACTURA",A13)))</formula>
    </cfRule>
  </conditionalFormatting>
  <conditionalFormatting sqref="C12:H12 J12:V12">
    <cfRule type="containsText" dxfId="1671" priority="25" operator="containsText" text="SIN FACTURA">
      <formula>NOT(ISERROR(SEARCH("SIN FACTURA",C12)))</formula>
    </cfRule>
  </conditionalFormatting>
  <conditionalFormatting sqref="C14:H14 J14:V14">
    <cfRule type="containsText" dxfId="1670" priority="24" operator="containsText" text="SIN FACTURA">
      <formula>NOT(ISERROR(SEARCH("SIN FACTURA",C14)))</formula>
    </cfRule>
  </conditionalFormatting>
  <conditionalFormatting sqref="C16:H16 J16:V16">
    <cfRule type="containsText" dxfId="1669" priority="23" operator="containsText" text="SIN FACTURA">
      <formula>NOT(ISERROR(SEARCH("SIN FACTURA",C16)))</formula>
    </cfRule>
  </conditionalFormatting>
  <conditionalFormatting sqref="C18:H18 J18:V18">
    <cfRule type="containsText" dxfId="1668" priority="22" operator="containsText" text="SIN FACTURA">
      <formula>NOT(ISERROR(SEARCH("SIN FACTURA",C18)))</formula>
    </cfRule>
  </conditionalFormatting>
  <conditionalFormatting sqref="C20:H20 J20:V20">
    <cfRule type="containsText" dxfId="1667" priority="21" operator="containsText" text="SIN FACTURA">
      <formula>NOT(ISERROR(SEARCH("SIN FACTURA",C20)))</formula>
    </cfRule>
  </conditionalFormatting>
  <conditionalFormatting sqref="C22:H22 J22:V22">
    <cfRule type="containsText" dxfId="1666" priority="20" operator="containsText" text="SIN FACTURA">
      <formula>NOT(ISERROR(SEARCH("SIN FACTURA",C22)))</formula>
    </cfRule>
  </conditionalFormatting>
  <conditionalFormatting sqref="C24:H24 J24:V24">
    <cfRule type="containsText" dxfId="1665" priority="19" operator="containsText" text="SIN FACTURA">
      <formula>NOT(ISERROR(SEARCH("SIN FACTURA",C24)))</formula>
    </cfRule>
  </conditionalFormatting>
  <conditionalFormatting sqref="C26:H26 J26:V26">
    <cfRule type="containsText" dxfId="1664" priority="18" operator="containsText" text="SIN FACTURA">
      <formula>NOT(ISERROR(SEARCH("SIN FACTURA",C26)))</formula>
    </cfRule>
  </conditionalFormatting>
  <conditionalFormatting sqref="C28:H28 J28:V28">
    <cfRule type="containsText" dxfId="1663" priority="17" operator="containsText" text="SIN FACTURA">
      <formula>NOT(ISERROR(SEARCH("SIN FACTURA",C28)))</formula>
    </cfRule>
  </conditionalFormatting>
  <conditionalFormatting sqref="C30:H30 J30:V30">
    <cfRule type="containsText" dxfId="1662" priority="16" operator="containsText" text="SIN FACTURA">
      <formula>NOT(ISERROR(SEARCH("SIN FACTURA",C30)))</formula>
    </cfRule>
  </conditionalFormatting>
  <conditionalFormatting sqref="C32:H32 J32:V32">
    <cfRule type="containsText" dxfId="1661" priority="15" operator="containsText" text="SIN FACTURA">
      <formula>NOT(ISERROR(SEARCH("SIN FACTURA",C32)))</formula>
    </cfRule>
  </conditionalFormatting>
  <conditionalFormatting sqref="A12:B12">
    <cfRule type="containsText" dxfId="1660" priority="13" operator="containsText" text="SIN FACTURA">
      <formula>NOT(ISERROR(SEARCH("SIN FACTURA",A12)))</formula>
    </cfRule>
  </conditionalFormatting>
  <conditionalFormatting sqref="A14:B14">
    <cfRule type="containsText" dxfId="1659" priority="12" operator="containsText" text="SIN FACTURA">
      <formula>NOT(ISERROR(SEARCH("SIN FACTURA",A14)))</formula>
    </cfRule>
  </conditionalFormatting>
  <conditionalFormatting sqref="A16:B16">
    <cfRule type="containsText" dxfId="1658" priority="11" operator="containsText" text="SIN FACTURA">
      <formula>NOT(ISERROR(SEARCH("SIN FACTURA",A16)))</formula>
    </cfRule>
  </conditionalFormatting>
  <conditionalFormatting sqref="A18:B18">
    <cfRule type="containsText" dxfId="1657" priority="10" operator="containsText" text="SIN FACTURA">
      <formula>NOT(ISERROR(SEARCH("SIN FACTURA",A18)))</formula>
    </cfRule>
  </conditionalFormatting>
  <conditionalFormatting sqref="A20:B20">
    <cfRule type="containsText" dxfId="1656" priority="9" operator="containsText" text="SIN FACTURA">
      <formula>NOT(ISERROR(SEARCH("SIN FACTURA",A20)))</formula>
    </cfRule>
  </conditionalFormatting>
  <conditionalFormatting sqref="A22:B22">
    <cfRule type="containsText" dxfId="1655" priority="8" operator="containsText" text="SIN FACTURA">
      <formula>NOT(ISERROR(SEARCH("SIN FACTURA",A22)))</formula>
    </cfRule>
  </conditionalFormatting>
  <conditionalFormatting sqref="A24:B24">
    <cfRule type="containsText" dxfId="1654" priority="7" operator="containsText" text="SIN FACTURA">
      <formula>NOT(ISERROR(SEARCH("SIN FACTURA",A24)))</formula>
    </cfRule>
  </conditionalFormatting>
  <conditionalFormatting sqref="A26:B26">
    <cfRule type="containsText" dxfId="1653" priority="6" operator="containsText" text="SIN FACTURA">
      <formula>NOT(ISERROR(SEARCH("SIN FACTURA",A26)))</formula>
    </cfRule>
  </conditionalFormatting>
  <conditionalFormatting sqref="A28:B28">
    <cfRule type="containsText" dxfId="1652" priority="5" operator="containsText" text="SIN FACTURA">
      <formula>NOT(ISERROR(SEARCH("SIN FACTURA",A28)))</formula>
    </cfRule>
  </conditionalFormatting>
  <conditionalFormatting sqref="A30:B30">
    <cfRule type="containsText" dxfId="1651" priority="4" operator="containsText" text="SIN FACTURA">
      <formula>NOT(ISERROR(SEARCH("SIN FACTURA",A30)))</formula>
    </cfRule>
  </conditionalFormatting>
  <pageMargins left="0.75" right="0.75" top="1" bottom="1" header="0.5" footer="0.5"/>
  <pageSetup paperSize="9" orientation="portrait"/>
</worksheet>
</file>

<file path=xl/worksheets/sheet107.xml><?xml version="1.0" encoding="utf-8"?>
<worksheet xmlns="http://schemas.openxmlformats.org/spreadsheetml/2006/main" xmlns:r="http://schemas.openxmlformats.org/officeDocument/2006/relationships">
  <sheetPr codeName="Hoja167"/>
  <dimension ref="A1:Y25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24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354</v>
      </c>
      <c r="B1" s="18" t="s">
        <v>90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25" si="0">F5-G5-H5</f>
        <v>0</v>
      </c>
      <c r="J5" s="44">
        <f t="shared" ref="J5:J25" si="1">S5+T5</f>
        <v>0</v>
      </c>
      <c r="K5" s="44">
        <f t="shared" ref="K5:K25" si="2">I5-J5</f>
        <v>0</v>
      </c>
      <c r="L5" s="45"/>
      <c r="M5" s="40"/>
      <c r="N5" s="43">
        <f t="shared" ref="N5:N25" si="3">I5-J5-M5-R5</f>
        <v>0</v>
      </c>
      <c r="O5" s="43">
        <f t="shared" ref="O5:O25" si="4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2"/>
      <c r="D6" s="33"/>
      <c r="E6" s="34"/>
      <c r="F6" s="32"/>
      <c r="G6" s="37"/>
      <c r="H6" s="32"/>
      <c r="I6" s="37"/>
      <c r="J6" s="37"/>
      <c r="K6" s="35"/>
      <c r="L6" s="35"/>
      <c r="M6" s="35"/>
      <c r="N6" s="36"/>
      <c r="O6" s="32"/>
      <c r="P6" s="37"/>
      <c r="Q6" s="37"/>
      <c r="R6" s="38"/>
      <c r="S6" s="32"/>
      <c r="T6" s="39"/>
      <c r="U6" s="6"/>
      <c r="V6" s="6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  <c r="U8" s="6"/>
      <c r="V8" s="6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  <c r="U10" s="6"/>
      <c r="V10" s="6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50"/>
      <c r="B25" s="51"/>
      <c r="C25" s="52"/>
      <c r="D25" s="50"/>
      <c r="E25" s="50"/>
      <c r="F25" s="50"/>
      <c r="G25" s="43">
        <f>F25*6%</f>
        <v>0</v>
      </c>
      <c r="H25" s="53"/>
      <c r="I25" s="44">
        <f t="shared" si="0"/>
        <v>0</v>
      </c>
      <c r="J25" s="54">
        <f t="shared" si="1"/>
        <v>0</v>
      </c>
      <c r="K25" s="54">
        <f t="shared" si="2"/>
        <v>0</v>
      </c>
      <c r="L25" s="55"/>
      <c r="M25" s="50"/>
      <c r="N25" s="53">
        <f t="shared" si="3"/>
        <v>0</v>
      </c>
      <c r="O25" s="53">
        <f t="shared" si="4"/>
        <v>0</v>
      </c>
      <c r="P25" s="56"/>
      <c r="Q25" s="50"/>
      <c r="R25" s="50"/>
      <c r="S25" s="50"/>
      <c r="T25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650" priority="27" operator="containsText" text="SIN FACTURA ">
      <formula>NOT(ISERROR(SEARCH("SIN FACTURA ",A2)))</formula>
    </cfRule>
  </conditionalFormatting>
  <conditionalFormatting sqref="A24:B24 I5:I25 A4:T4">
    <cfRule type="containsText" dxfId="1649" priority="1" operator="containsText" text="SIN FACTURA">
      <formula>NOT(ISERROR(SEARCH("SIN FACTURA",A4)))</formula>
    </cfRule>
  </conditionalFormatting>
  <conditionalFormatting sqref="J25:T25 J23:T23 J21:T21 J19:T19 J17:T17 J15:T15 J13:T13 J11:T11 J9:T9 J7:T7 J5:T5 A5:H5 A7:H7 A9:H9 A11:H11 A13:H13 A15:H15 A17:H17 A19:H19 A21:H21 A23:H23 A25:H25">
    <cfRule type="containsText" dxfId="1648" priority="25" operator="containsText" text="SIN FACTURA">
      <formula>NOT(ISERROR(SEARCH("SIN FACTURA",A5)))</formula>
    </cfRule>
  </conditionalFormatting>
  <conditionalFormatting sqref="C6:H6 J6:V6">
    <cfRule type="containsText" dxfId="1647" priority="22" operator="containsText" text="SIN FACTURA">
      <formula>NOT(ISERROR(SEARCH("SIN FACTURA",C6)))</formula>
    </cfRule>
  </conditionalFormatting>
  <conditionalFormatting sqref="C8:H8 J8:V8">
    <cfRule type="containsText" dxfId="1646" priority="21" operator="containsText" text="SIN FACTURA">
      <formula>NOT(ISERROR(SEARCH("SIN FACTURA",C8)))</formula>
    </cfRule>
  </conditionalFormatting>
  <conditionalFormatting sqref="C10:H10 J10:V10">
    <cfRule type="containsText" dxfId="1645" priority="20" operator="containsText" text="SIN FACTURA">
      <formula>NOT(ISERROR(SEARCH("SIN FACTURA",C10)))</formula>
    </cfRule>
  </conditionalFormatting>
  <conditionalFormatting sqref="C12:H12 J12:V12">
    <cfRule type="containsText" dxfId="1644" priority="19" operator="containsText" text="SIN FACTURA">
      <formula>NOT(ISERROR(SEARCH("SIN FACTURA",C12)))</formula>
    </cfRule>
  </conditionalFormatting>
  <conditionalFormatting sqref="C14:H14 J14:V14">
    <cfRule type="containsText" dxfId="1643" priority="18" operator="containsText" text="SIN FACTURA">
      <formula>NOT(ISERROR(SEARCH("SIN FACTURA",C14)))</formula>
    </cfRule>
  </conditionalFormatting>
  <conditionalFormatting sqref="C16:H16 J16:V16">
    <cfRule type="containsText" dxfId="1642" priority="17" operator="containsText" text="SIN FACTURA">
      <formula>NOT(ISERROR(SEARCH("SIN FACTURA",C16)))</formula>
    </cfRule>
  </conditionalFormatting>
  <conditionalFormatting sqref="C18:H18 J18:V18">
    <cfRule type="containsText" dxfId="1641" priority="16" operator="containsText" text="SIN FACTURA">
      <formula>NOT(ISERROR(SEARCH("SIN FACTURA",C18)))</formula>
    </cfRule>
  </conditionalFormatting>
  <conditionalFormatting sqref="C20:H20 J20:V20">
    <cfRule type="containsText" dxfId="1640" priority="15" operator="containsText" text="SIN FACTURA">
      <formula>NOT(ISERROR(SEARCH("SIN FACTURA",C20)))</formula>
    </cfRule>
  </conditionalFormatting>
  <conditionalFormatting sqref="C22:H22 J22:V22">
    <cfRule type="containsText" dxfId="1639" priority="14" operator="containsText" text="SIN FACTURA">
      <formula>NOT(ISERROR(SEARCH("SIN FACTURA",C22)))</formula>
    </cfRule>
  </conditionalFormatting>
  <conditionalFormatting sqref="C24:H24 J24:V24">
    <cfRule type="containsText" dxfId="1638" priority="13" operator="containsText" text="SIN FACTURA">
      <formula>NOT(ISERROR(SEARCH("SIN FACTURA",C24)))</formula>
    </cfRule>
  </conditionalFormatting>
  <conditionalFormatting sqref="A6:B6">
    <cfRule type="containsText" dxfId="1637" priority="10" operator="containsText" text="SIN FACTURA">
      <formula>NOT(ISERROR(SEARCH("SIN FACTURA",A6)))</formula>
    </cfRule>
  </conditionalFormatting>
  <conditionalFormatting sqref="A8:B8">
    <cfRule type="containsText" dxfId="1636" priority="9" operator="containsText" text="SIN FACTURA">
      <formula>NOT(ISERROR(SEARCH("SIN FACTURA",A8)))</formula>
    </cfRule>
  </conditionalFormatting>
  <conditionalFormatting sqref="A10:B10">
    <cfRule type="containsText" dxfId="1635" priority="8" operator="containsText" text="SIN FACTURA">
      <formula>NOT(ISERROR(SEARCH("SIN FACTURA",A10)))</formula>
    </cfRule>
  </conditionalFormatting>
  <conditionalFormatting sqref="A12:B12">
    <cfRule type="containsText" dxfId="1634" priority="7" operator="containsText" text="SIN FACTURA">
      <formula>NOT(ISERROR(SEARCH("SIN FACTURA",A12)))</formula>
    </cfRule>
  </conditionalFormatting>
  <conditionalFormatting sqref="A14:B14">
    <cfRule type="containsText" dxfId="1633" priority="6" operator="containsText" text="SIN FACTURA">
      <formula>NOT(ISERROR(SEARCH("SIN FACTURA",A14)))</formula>
    </cfRule>
  </conditionalFormatting>
  <conditionalFormatting sqref="A16:B16">
    <cfRule type="containsText" dxfId="1632" priority="5" operator="containsText" text="SIN FACTURA">
      <formula>NOT(ISERROR(SEARCH("SIN FACTURA",A16)))</formula>
    </cfRule>
  </conditionalFormatting>
  <conditionalFormatting sqref="A18:B18">
    <cfRule type="containsText" dxfId="1631" priority="4" operator="containsText" text="SIN FACTURA">
      <formula>NOT(ISERROR(SEARCH("SIN FACTURA",A18)))</formula>
    </cfRule>
  </conditionalFormatting>
  <conditionalFormatting sqref="A20:B20">
    <cfRule type="containsText" dxfId="1630" priority="3" operator="containsText" text="SIN FACTURA">
      <formula>NOT(ISERROR(SEARCH("SIN FACTURA",A20)))</formula>
    </cfRule>
  </conditionalFormatting>
  <conditionalFormatting sqref="A22:B22">
    <cfRule type="containsText" dxfId="1629" priority="2" operator="containsText" text="SIN FACTURA">
      <formula>NOT(ISERROR(SEARCH("SIN FACTURA",A22)))</formula>
    </cfRule>
  </conditionalFormatting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Y39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10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293</v>
      </c>
      <c r="B1" s="18"/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9" si="0">F5-G5-H5</f>
        <v>0</v>
      </c>
      <c r="J5" s="44">
        <f>S5+T5</f>
        <v>0</v>
      </c>
      <c r="K5" s="44">
        <f>I5-J5</f>
        <v>0</v>
      </c>
      <c r="L5" s="45"/>
      <c r="M5" s="40"/>
      <c r="N5" s="43">
        <f t="shared" ref="N5:N39" si="1">I5-J5-M5-R5</f>
        <v>0</v>
      </c>
      <c r="O5" s="43">
        <f t="shared" ref="O5:O39" si="2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ref="J7:J39" si="3">S7+T7</f>
        <v>0</v>
      </c>
      <c r="K7" s="44">
        <f t="shared" ref="K7:K39" si="4">I7-J7</f>
        <v>0</v>
      </c>
      <c r="L7" s="45"/>
      <c r="M7" s="40"/>
      <c r="N7" s="43">
        <f t="shared" si="1"/>
        <v>0</v>
      </c>
      <c r="O7" s="43">
        <f t="shared" si="2"/>
        <v>0</v>
      </c>
      <c r="P7" s="46"/>
      <c r="Q7" s="40"/>
      <c r="R7" s="47"/>
      <c r="S7" s="47"/>
      <c r="T7" s="48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3"/>
        <v>0</v>
      </c>
      <c r="K9" s="44">
        <f t="shared" si="4"/>
        <v>0</v>
      </c>
      <c r="L9" s="45"/>
      <c r="M9" s="40"/>
      <c r="N9" s="43">
        <f t="shared" si="1"/>
        <v>0</v>
      </c>
      <c r="O9" s="43">
        <f t="shared" si="2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3"/>
        <v>0</v>
      </c>
      <c r="K11" s="44">
        <f t="shared" si="4"/>
        <v>0</v>
      </c>
      <c r="L11" s="45"/>
      <c r="M11" s="40"/>
      <c r="N11" s="43">
        <f t="shared" si="1"/>
        <v>0</v>
      </c>
      <c r="O11" s="43">
        <f t="shared" si="2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>S13+T13</f>
        <v>0</v>
      </c>
      <c r="K13" s="44">
        <f t="shared" si="4"/>
        <v>0</v>
      </c>
      <c r="L13" s="45"/>
      <c r="M13" s="40"/>
      <c r="N13" s="43">
        <f>I13-J13-M13-R13</f>
        <v>0</v>
      </c>
      <c r="O13" s="43">
        <f>R13+S13+T13</f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3"/>
        <v>0</v>
      </c>
      <c r="K15" s="44">
        <f t="shared" si="4"/>
        <v>0</v>
      </c>
      <c r="L15" s="45"/>
      <c r="M15" s="40"/>
      <c r="N15" s="43">
        <f t="shared" si="1"/>
        <v>0</v>
      </c>
      <c r="O15" s="43">
        <f t="shared" si="2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3"/>
        <v>0</v>
      </c>
      <c r="K17" s="44">
        <f t="shared" si="4"/>
        <v>0</v>
      </c>
      <c r="L17" s="45"/>
      <c r="M17" s="40"/>
      <c r="N17" s="43">
        <f t="shared" si="1"/>
        <v>0</v>
      </c>
      <c r="O17" s="43">
        <f t="shared" si="2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3"/>
        <v>0</v>
      </c>
      <c r="K19" s="44">
        <f t="shared" si="4"/>
        <v>0</v>
      </c>
      <c r="L19" s="45"/>
      <c r="M19" s="40"/>
      <c r="N19" s="43">
        <f t="shared" si="1"/>
        <v>0</v>
      </c>
      <c r="O19" s="43">
        <f t="shared" si="2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3"/>
        <v>0</v>
      </c>
      <c r="K21" s="44">
        <f t="shared" si="4"/>
        <v>0</v>
      </c>
      <c r="L21" s="45"/>
      <c r="M21" s="40"/>
      <c r="N21" s="43">
        <f t="shared" si="1"/>
        <v>0</v>
      </c>
      <c r="O21" s="43">
        <f t="shared" si="2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3"/>
        <v>0</v>
      </c>
      <c r="K23" s="44">
        <f t="shared" si="4"/>
        <v>0</v>
      </c>
      <c r="L23" s="45"/>
      <c r="M23" s="40"/>
      <c r="N23" s="43">
        <f t="shared" si="1"/>
        <v>0</v>
      </c>
      <c r="O23" s="43">
        <f t="shared" si="2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3"/>
        <v>0</v>
      </c>
      <c r="K25" s="44">
        <f t="shared" si="4"/>
        <v>0</v>
      </c>
      <c r="L25" s="45"/>
      <c r="M25" s="40"/>
      <c r="N25" s="43">
        <f t="shared" si="1"/>
        <v>0</v>
      </c>
      <c r="O25" s="43">
        <f t="shared" si="2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3"/>
        <v>0</v>
      </c>
      <c r="K27" s="44">
        <f t="shared" si="4"/>
        <v>0</v>
      </c>
      <c r="L27" s="45"/>
      <c r="M27" s="40"/>
      <c r="N27" s="43">
        <f t="shared" si="1"/>
        <v>0</v>
      </c>
      <c r="O27" s="43">
        <f t="shared" si="2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3"/>
        <v>0</v>
      </c>
      <c r="K29" s="44">
        <f t="shared" si="4"/>
        <v>0</v>
      </c>
      <c r="L29" s="45"/>
      <c r="M29" s="40"/>
      <c r="N29" s="43">
        <f t="shared" si="1"/>
        <v>0</v>
      </c>
      <c r="O29" s="43">
        <f t="shared" si="2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3"/>
        <v>0</v>
      </c>
      <c r="K31" s="44">
        <f t="shared" si="4"/>
        <v>0</v>
      </c>
      <c r="L31" s="45"/>
      <c r="M31" s="40"/>
      <c r="N31" s="43">
        <f t="shared" si="1"/>
        <v>0</v>
      </c>
      <c r="O31" s="43">
        <f t="shared" si="2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3"/>
        <v>0</v>
      </c>
      <c r="K33" s="44">
        <f t="shared" si="4"/>
        <v>0</v>
      </c>
      <c r="L33" s="45"/>
      <c r="M33" s="40"/>
      <c r="N33" s="43">
        <f t="shared" si="1"/>
        <v>0</v>
      </c>
      <c r="O33" s="43">
        <f t="shared" si="2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3"/>
        <v>0</v>
      </c>
      <c r="K35" s="44">
        <f t="shared" si="4"/>
        <v>0</v>
      </c>
      <c r="L35" s="45"/>
      <c r="M35" s="40"/>
      <c r="N35" s="43">
        <f t="shared" si="1"/>
        <v>0</v>
      </c>
      <c r="O35" s="43">
        <f t="shared" si="2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3"/>
        <v>0</v>
      </c>
      <c r="K37" s="44">
        <f t="shared" si="4"/>
        <v>0</v>
      </c>
      <c r="L37" s="45"/>
      <c r="M37" s="40"/>
      <c r="N37" s="43">
        <f t="shared" si="1"/>
        <v>0</v>
      </c>
      <c r="O37" s="43">
        <f t="shared" si="2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50"/>
      <c r="B39" s="51"/>
      <c r="C39" s="52"/>
      <c r="D39" s="50"/>
      <c r="E39" s="50"/>
      <c r="F39" s="50"/>
      <c r="G39" s="43">
        <f>F39*6%</f>
        <v>0</v>
      </c>
      <c r="H39" s="53"/>
      <c r="I39" s="78">
        <f t="shared" si="0"/>
        <v>0</v>
      </c>
      <c r="J39" s="54">
        <f t="shared" si="3"/>
        <v>0</v>
      </c>
      <c r="K39" s="54">
        <f t="shared" si="4"/>
        <v>0</v>
      </c>
      <c r="L39" s="55"/>
      <c r="M39" s="50"/>
      <c r="N39" s="53">
        <f t="shared" si="1"/>
        <v>0</v>
      </c>
      <c r="O39" s="53">
        <f t="shared" si="2"/>
        <v>0</v>
      </c>
      <c r="P39" s="56"/>
      <c r="Q39" s="50"/>
      <c r="R39" s="50"/>
      <c r="S39" s="50"/>
      <c r="T39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628" priority="26" operator="containsText" text="SIN FACTURA ">
      <formula>NOT(ISERROR(SEARCH("SIN FACTURA ",A2)))</formula>
    </cfRule>
  </conditionalFormatting>
  <conditionalFormatting sqref="J39:T39 J37:T37 J35:T35 J33:T33 J31:T31 J29:T29 J27:T27 J25:T25 J23:T23 J21:T21 J19:T19 J9:T17 A9:H17 A19:H19 A21:H21 A23:H23 A25:H25 A27:H27 A29:H29 A31:H31 A33:H33 A35:H35 A37:H37 A39:H39 A4:T4 J5:T7 I5:I39 A5:H7">
    <cfRule type="containsText" dxfId="1627" priority="25" operator="containsText" text="SIN FACTURA">
      <formula>NOT(ISERROR(SEARCH("SIN FACTURA",A4)))</formula>
    </cfRule>
  </conditionalFormatting>
  <conditionalFormatting sqref="C8:H8 J8:V8">
    <cfRule type="containsText" dxfId="1626" priority="24" operator="containsText" text="SIN FACTURA">
      <formula>NOT(ISERROR(SEARCH("SIN FACTURA",C8)))</formula>
    </cfRule>
  </conditionalFormatting>
  <conditionalFormatting sqref="C18:H18 J18:V18">
    <cfRule type="containsText" dxfId="1625" priority="23" operator="containsText" text="SIN FACTURA">
      <formula>NOT(ISERROR(SEARCH("SIN FACTURA",C18)))</formula>
    </cfRule>
  </conditionalFormatting>
  <conditionalFormatting sqref="C20:H20 J20:V20">
    <cfRule type="containsText" dxfId="1624" priority="22" operator="containsText" text="SIN FACTURA">
      <formula>NOT(ISERROR(SEARCH("SIN FACTURA",C20)))</formula>
    </cfRule>
  </conditionalFormatting>
  <conditionalFormatting sqref="C22:H22 J22:V22">
    <cfRule type="containsText" dxfId="1623" priority="21" operator="containsText" text="SIN FACTURA">
      <formula>NOT(ISERROR(SEARCH("SIN FACTURA",C22)))</formula>
    </cfRule>
  </conditionalFormatting>
  <conditionalFormatting sqref="C24:H24 J24:V24">
    <cfRule type="containsText" dxfId="1622" priority="20" operator="containsText" text="SIN FACTURA">
      <formula>NOT(ISERROR(SEARCH("SIN FACTURA",C24)))</formula>
    </cfRule>
  </conditionalFormatting>
  <conditionalFormatting sqref="C26:H26 J26:V26">
    <cfRule type="containsText" dxfId="1621" priority="19" operator="containsText" text="SIN FACTURA">
      <formula>NOT(ISERROR(SEARCH("SIN FACTURA",C26)))</formula>
    </cfRule>
  </conditionalFormatting>
  <conditionalFormatting sqref="C28:H28 J28:V28">
    <cfRule type="containsText" dxfId="1620" priority="18" operator="containsText" text="SIN FACTURA">
      <formula>NOT(ISERROR(SEARCH("SIN FACTURA",C28)))</formula>
    </cfRule>
  </conditionalFormatting>
  <conditionalFormatting sqref="C30:H30 J30:V30">
    <cfRule type="containsText" dxfId="1619" priority="17" operator="containsText" text="SIN FACTURA">
      <formula>NOT(ISERROR(SEARCH("SIN FACTURA",C30)))</formula>
    </cfRule>
  </conditionalFormatting>
  <conditionalFormatting sqref="C32:H32 J32:V32">
    <cfRule type="containsText" dxfId="1618" priority="16" operator="containsText" text="SIN FACTURA">
      <formula>NOT(ISERROR(SEARCH("SIN FACTURA",C32)))</formula>
    </cfRule>
  </conditionalFormatting>
  <conditionalFormatting sqref="C34:H34 J34:V34">
    <cfRule type="containsText" dxfId="1617" priority="15" operator="containsText" text="SIN FACTURA">
      <formula>NOT(ISERROR(SEARCH("SIN FACTURA",C34)))</formula>
    </cfRule>
  </conditionalFormatting>
  <conditionalFormatting sqref="C36:H36 J36:V36">
    <cfRule type="containsText" dxfId="1616" priority="14" operator="containsText" text="SIN FACTURA">
      <formula>NOT(ISERROR(SEARCH("SIN FACTURA",C36)))</formula>
    </cfRule>
  </conditionalFormatting>
  <conditionalFormatting sqref="C38:H38 J38:V38">
    <cfRule type="containsText" dxfId="1615" priority="13" operator="containsText" text="SIN FACTURA">
      <formula>NOT(ISERROR(SEARCH("SIN FACTURA",C38)))</formula>
    </cfRule>
  </conditionalFormatting>
  <conditionalFormatting sqref="A8:B8">
    <cfRule type="containsText" dxfId="1614" priority="12" operator="containsText" text="SIN FACTURA">
      <formula>NOT(ISERROR(SEARCH("SIN FACTURA",A8)))</formula>
    </cfRule>
  </conditionalFormatting>
  <conditionalFormatting sqref="A18:B18">
    <cfRule type="containsText" dxfId="1613" priority="11" operator="containsText" text="SIN FACTURA">
      <formula>NOT(ISERROR(SEARCH("SIN FACTURA",A18)))</formula>
    </cfRule>
  </conditionalFormatting>
  <conditionalFormatting sqref="A20:B20">
    <cfRule type="containsText" dxfId="1612" priority="10" operator="containsText" text="SIN FACTURA">
      <formula>NOT(ISERROR(SEARCH("SIN FACTURA",A20)))</formula>
    </cfRule>
  </conditionalFormatting>
  <conditionalFormatting sqref="A22:B22">
    <cfRule type="containsText" dxfId="1611" priority="9" operator="containsText" text="SIN FACTURA">
      <formula>NOT(ISERROR(SEARCH("SIN FACTURA",A22)))</formula>
    </cfRule>
  </conditionalFormatting>
  <conditionalFormatting sqref="A24:B24">
    <cfRule type="containsText" dxfId="1610" priority="8" operator="containsText" text="SIN FACTURA">
      <formula>NOT(ISERROR(SEARCH("SIN FACTURA",A24)))</formula>
    </cfRule>
  </conditionalFormatting>
  <conditionalFormatting sqref="A26:B26">
    <cfRule type="containsText" dxfId="1609" priority="7" operator="containsText" text="SIN FACTURA">
      <formula>NOT(ISERROR(SEARCH("SIN FACTURA",A26)))</formula>
    </cfRule>
  </conditionalFormatting>
  <conditionalFormatting sqref="A38:B38">
    <cfRule type="containsText" dxfId="1608" priority="1" operator="containsText" text="SIN FACTURA">
      <formula>NOT(ISERROR(SEARCH("SIN FACTURA",A38)))</formula>
    </cfRule>
  </conditionalFormatting>
  <conditionalFormatting sqref="A28:B28">
    <cfRule type="containsText" dxfId="1607" priority="6" operator="containsText" text="SIN FACTURA">
      <formula>NOT(ISERROR(SEARCH("SIN FACTURA",A28)))</formula>
    </cfRule>
  </conditionalFormatting>
  <conditionalFormatting sqref="A30:B30">
    <cfRule type="containsText" dxfId="1606" priority="5" operator="containsText" text="SIN FACTURA">
      <formula>NOT(ISERROR(SEARCH("SIN FACTURA",A30)))</formula>
    </cfRule>
  </conditionalFormatting>
  <conditionalFormatting sqref="A32:B32">
    <cfRule type="containsText" dxfId="1605" priority="4" operator="containsText" text="SIN FACTURA">
      <formula>NOT(ISERROR(SEARCH("SIN FACTURA",A32)))</formula>
    </cfRule>
  </conditionalFormatting>
  <conditionalFormatting sqref="A34:B34">
    <cfRule type="containsText" dxfId="1604" priority="3" operator="containsText" text="SIN FACTURA">
      <formula>NOT(ISERROR(SEARCH("SIN FACTURA",A34)))</formula>
    </cfRule>
  </conditionalFormatting>
  <conditionalFormatting sqref="A36:B36">
    <cfRule type="containsText" dxfId="1603" priority="2" operator="containsText" text="SIN FACTURA">
      <formula>NOT(ISERROR(SEARCH("SIN FACTURA",A36)))</formula>
    </cfRule>
  </conditionalFormatting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>
  <sheetPr codeName="Hoja128"/>
  <dimension ref="A1:Y43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F26" sqref="F2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193</v>
      </c>
      <c r="B1" s="18"/>
      <c r="C1" s="20">
        <v>90017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78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602" priority="26" operator="containsText" text="SIN FACTURA ">
      <formula>NOT(ISERROR(SEARCH("SIN FACTURA ",A2)))</formula>
    </cfRule>
  </conditionalFormatting>
  <conditionalFormatting sqref="J43:T43 J41:T41 J39:T39 J37:T37 J35:T35 J33:T33 J31:T31 J29:T29 J27:T27 J25:T25 J23:T23 J13:T21 A13:H21 A23:H23 A25:H25 A27:H27 A29:H29 A31:H31 A33:H33 A35:H35 A37:H37 A39:H39 A41:H41 A43:H43 A4:T4 J5:T11 I5:I43 A5:H11">
    <cfRule type="containsText" dxfId="1601" priority="25" operator="containsText" text="SIN FACTURA">
      <formula>NOT(ISERROR(SEARCH("SIN FACTURA",A4)))</formula>
    </cfRule>
  </conditionalFormatting>
  <conditionalFormatting sqref="C12:H12 J12:V12">
    <cfRule type="containsText" dxfId="1600" priority="24" operator="containsText" text="SIN FACTURA">
      <formula>NOT(ISERROR(SEARCH("SIN FACTURA",C12)))</formula>
    </cfRule>
  </conditionalFormatting>
  <conditionalFormatting sqref="C22:H22 J22:V22">
    <cfRule type="containsText" dxfId="1599" priority="23" operator="containsText" text="SIN FACTURA">
      <formula>NOT(ISERROR(SEARCH("SIN FACTURA",C22)))</formula>
    </cfRule>
  </conditionalFormatting>
  <conditionalFormatting sqref="C24:H24 J24:V24">
    <cfRule type="containsText" dxfId="1598" priority="22" operator="containsText" text="SIN FACTURA">
      <formula>NOT(ISERROR(SEARCH("SIN FACTURA",C24)))</formula>
    </cfRule>
  </conditionalFormatting>
  <conditionalFormatting sqref="C26:H26 J26:V26">
    <cfRule type="containsText" dxfId="1597" priority="21" operator="containsText" text="SIN FACTURA">
      <formula>NOT(ISERROR(SEARCH("SIN FACTURA",C26)))</formula>
    </cfRule>
  </conditionalFormatting>
  <conditionalFormatting sqref="C28:H28 J28:V28">
    <cfRule type="containsText" dxfId="1596" priority="20" operator="containsText" text="SIN FACTURA">
      <formula>NOT(ISERROR(SEARCH("SIN FACTURA",C28)))</formula>
    </cfRule>
  </conditionalFormatting>
  <conditionalFormatting sqref="C30:H30 J30:V30">
    <cfRule type="containsText" dxfId="1595" priority="19" operator="containsText" text="SIN FACTURA">
      <formula>NOT(ISERROR(SEARCH("SIN FACTURA",C30)))</formula>
    </cfRule>
  </conditionalFormatting>
  <conditionalFormatting sqref="C32:H32 J32:V32">
    <cfRule type="containsText" dxfId="1594" priority="18" operator="containsText" text="SIN FACTURA">
      <formula>NOT(ISERROR(SEARCH("SIN FACTURA",C32)))</formula>
    </cfRule>
  </conditionalFormatting>
  <conditionalFormatting sqref="C34:H34 J34:V34">
    <cfRule type="containsText" dxfId="1593" priority="17" operator="containsText" text="SIN FACTURA">
      <formula>NOT(ISERROR(SEARCH("SIN FACTURA",C34)))</formula>
    </cfRule>
  </conditionalFormatting>
  <conditionalFormatting sqref="C36:H36 J36:V36">
    <cfRule type="containsText" dxfId="1592" priority="16" operator="containsText" text="SIN FACTURA">
      <formula>NOT(ISERROR(SEARCH("SIN FACTURA",C36)))</formula>
    </cfRule>
  </conditionalFormatting>
  <conditionalFormatting sqref="C38:H38 J38:V38">
    <cfRule type="containsText" dxfId="1591" priority="15" operator="containsText" text="SIN FACTURA">
      <formula>NOT(ISERROR(SEARCH("SIN FACTURA",C38)))</formula>
    </cfRule>
  </conditionalFormatting>
  <conditionalFormatting sqref="C40:H40 J40:V40">
    <cfRule type="containsText" dxfId="1590" priority="14" operator="containsText" text="SIN FACTURA">
      <formula>NOT(ISERROR(SEARCH("SIN FACTURA",C40)))</formula>
    </cfRule>
  </conditionalFormatting>
  <conditionalFormatting sqref="C42:H42 J42:V42">
    <cfRule type="containsText" dxfId="1589" priority="13" operator="containsText" text="SIN FACTURA">
      <formula>NOT(ISERROR(SEARCH("SIN FACTURA",C42)))</formula>
    </cfRule>
  </conditionalFormatting>
  <conditionalFormatting sqref="A12:B12">
    <cfRule type="containsText" dxfId="1588" priority="12" operator="containsText" text="SIN FACTURA">
      <formula>NOT(ISERROR(SEARCH("SIN FACTURA",A12)))</formula>
    </cfRule>
  </conditionalFormatting>
  <conditionalFormatting sqref="A22:B22">
    <cfRule type="containsText" dxfId="1587" priority="11" operator="containsText" text="SIN FACTURA">
      <formula>NOT(ISERROR(SEARCH("SIN FACTURA",A22)))</formula>
    </cfRule>
  </conditionalFormatting>
  <conditionalFormatting sqref="A24:B24">
    <cfRule type="containsText" dxfId="1586" priority="10" operator="containsText" text="SIN FACTURA">
      <formula>NOT(ISERROR(SEARCH("SIN FACTURA",A24)))</formula>
    </cfRule>
  </conditionalFormatting>
  <conditionalFormatting sqref="A26:B26">
    <cfRule type="containsText" dxfId="1585" priority="9" operator="containsText" text="SIN FACTURA">
      <formula>NOT(ISERROR(SEARCH("SIN FACTURA",A26)))</formula>
    </cfRule>
  </conditionalFormatting>
  <conditionalFormatting sqref="A28:B28">
    <cfRule type="containsText" dxfId="1584" priority="8" operator="containsText" text="SIN FACTURA">
      <formula>NOT(ISERROR(SEARCH("SIN FACTURA",A28)))</formula>
    </cfRule>
  </conditionalFormatting>
  <conditionalFormatting sqref="A30:B30">
    <cfRule type="containsText" dxfId="1583" priority="7" operator="containsText" text="SIN FACTURA">
      <formula>NOT(ISERROR(SEARCH("SIN FACTURA",A30)))</formula>
    </cfRule>
  </conditionalFormatting>
  <conditionalFormatting sqref="A42:B42">
    <cfRule type="containsText" dxfId="1582" priority="1" operator="containsText" text="SIN FACTURA">
      <formula>NOT(ISERROR(SEARCH("SIN FACTURA",A42)))</formula>
    </cfRule>
  </conditionalFormatting>
  <conditionalFormatting sqref="A32:B32">
    <cfRule type="containsText" dxfId="1581" priority="6" operator="containsText" text="SIN FACTURA">
      <formula>NOT(ISERROR(SEARCH("SIN FACTURA",A32)))</formula>
    </cfRule>
  </conditionalFormatting>
  <conditionalFormatting sqref="A34:B34">
    <cfRule type="containsText" dxfId="1580" priority="5" operator="containsText" text="SIN FACTURA">
      <formula>NOT(ISERROR(SEARCH("SIN FACTURA",A34)))</formula>
    </cfRule>
  </conditionalFormatting>
  <conditionalFormatting sqref="A36:B36">
    <cfRule type="containsText" dxfId="1579" priority="4" operator="containsText" text="SIN FACTURA">
      <formula>NOT(ISERROR(SEARCH("SIN FACTURA",A36)))</formula>
    </cfRule>
  </conditionalFormatting>
  <conditionalFormatting sqref="A38:B38">
    <cfRule type="containsText" dxfId="1578" priority="3" operator="containsText" text="SIN FACTURA">
      <formula>NOT(ISERROR(SEARCH("SIN FACTURA",A38)))</formula>
    </cfRule>
  </conditionalFormatting>
  <conditionalFormatting sqref="A40:B40">
    <cfRule type="containsText" dxfId="1577" priority="2" operator="containsText" text="SIN FACTURA">
      <formula>NOT(ISERROR(SEARCH("SIN FACTURA",A40)))</formula>
    </cfRule>
  </conditionalFormatting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>
  <sheetPr codeName="Hoja171">
    <tabColor rgb="FFFF0000"/>
  </sheetPr>
  <dimension ref="A1:Y38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G8" sqref="G8"/>
    </sheetView>
  </sheetViews>
  <sheetFormatPr baseColWidth="10" defaultColWidth="10.875" defaultRowHeight="15.75"/>
  <cols>
    <col min="1" max="1" width="22.375" style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167</v>
      </c>
      <c r="B1" s="18" t="s">
        <v>58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224"/>
      <c r="B5" s="223"/>
      <c r="C5" s="225"/>
      <c r="D5" s="224"/>
      <c r="E5" s="238" t="s">
        <v>258</v>
      </c>
      <c r="F5" s="238"/>
      <c r="G5" s="239"/>
      <c r="H5" s="239"/>
      <c r="I5" s="239"/>
      <c r="J5" s="227"/>
      <c r="K5" s="227"/>
      <c r="L5" s="228"/>
      <c r="M5" s="224"/>
      <c r="N5" s="226"/>
      <c r="O5" s="226"/>
      <c r="P5" s="236"/>
      <c r="Q5" s="224"/>
      <c r="R5" s="224"/>
      <c r="S5" s="224"/>
      <c r="T5" s="237"/>
    </row>
    <row r="6" spans="1:25" ht="15">
      <c r="A6" s="40"/>
      <c r="B6" s="41"/>
      <c r="C6" s="42"/>
      <c r="D6" s="40"/>
      <c r="E6" s="40"/>
      <c r="F6" s="40"/>
      <c r="G6" s="290" t="s">
        <v>300</v>
      </c>
      <c r="H6" s="290"/>
      <c r="I6" s="291"/>
      <c r="J6" s="291"/>
      <c r="K6" s="44"/>
      <c r="L6" s="45"/>
      <c r="M6" s="40"/>
      <c r="N6" s="43"/>
      <c r="O6" s="43"/>
      <c r="P6" s="133"/>
      <c r="Q6" s="137"/>
      <c r="R6" s="47"/>
      <c r="S6" s="47"/>
      <c r="T6" s="48"/>
    </row>
    <row r="7" spans="1:25" ht="15">
      <c r="A7" s="40" t="s">
        <v>305</v>
      </c>
      <c r="B7" s="41"/>
      <c r="C7" s="42"/>
      <c r="D7" s="40"/>
      <c r="E7" s="40"/>
      <c r="F7" s="40"/>
      <c r="G7" s="43" t="s">
        <v>306</v>
      </c>
      <c r="H7" s="43"/>
      <c r="I7" s="44"/>
      <c r="J7" s="44"/>
      <c r="K7" s="44"/>
      <c r="L7" s="45"/>
      <c r="M7" s="40"/>
      <c r="N7" s="43"/>
      <c r="O7" s="43"/>
      <c r="P7" s="133"/>
      <c r="Q7" s="137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ref="I9:I37" si="0">F9-G9-H9</f>
        <v>0</v>
      </c>
      <c r="J9" s="44">
        <f t="shared" ref="J9:J37" si="1">S9+T9</f>
        <v>0</v>
      </c>
      <c r="K9" s="44">
        <f t="shared" ref="K9:K37" si="2">I9-J9</f>
        <v>0</v>
      </c>
      <c r="L9" s="45"/>
      <c r="M9" s="40"/>
      <c r="N9" s="43">
        <f t="shared" ref="N9:N37" si="3">I9-J9-M9-R9</f>
        <v>0</v>
      </c>
      <c r="O9" s="43">
        <f t="shared" ref="O9:O37" si="4">R9+S9+T9</f>
        <v>0</v>
      </c>
      <c r="P9" s="46"/>
      <c r="Q9" s="40"/>
      <c r="R9" s="40"/>
      <c r="S9" s="40"/>
      <c r="T9" s="5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>S11+T11</f>
        <v>0</v>
      </c>
      <c r="K11" s="44">
        <f t="shared" si="2"/>
        <v>0</v>
      </c>
      <c r="L11" s="45"/>
      <c r="M11" s="40"/>
      <c r="N11" s="43">
        <f>I11-J11-M11-R11</f>
        <v>0</v>
      </c>
      <c r="O11" s="43">
        <f>R11+S11+T11</f>
        <v>0</v>
      </c>
      <c r="P11" s="133"/>
      <c r="Q11" s="137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69"/>
      <c r="B38" s="70"/>
      <c r="C38" s="71"/>
      <c r="D38" s="69"/>
      <c r="E38" s="69"/>
      <c r="F38" s="69"/>
      <c r="G38" s="69"/>
      <c r="H38" s="69"/>
      <c r="I38" s="72">
        <f t="shared" ref="I38" si="5">F38-G38</f>
        <v>0</v>
      </c>
      <c r="J38" s="72">
        <f t="shared" ref="J38" si="6">S38+T38</f>
        <v>0</v>
      </c>
      <c r="K38" s="72">
        <f t="shared" ref="K38" si="7">I38-J38</f>
        <v>0</v>
      </c>
      <c r="L38" s="73"/>
      <c r="M38" s="69"/>
      <c r="N38" s="74">
        <f t="shared" ref="N38" si="8">I38-J38-M38-R38</f>
        <v>0</v>
      </c>
      <c r="O38" s="74">
        <f t="shared" ref="O38" si="9">R38+S38+T38</f>
        <v>0</v>
      </c>
      <c r="P38" s="75"/>
      <c r="Q38" s="69"/>
      <c r="R38" s="69"/>
      <c r="S38" s="69"/>
      <c r="T38" s="76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1576" priority="28" operator="containsText" text="SIN FACTURA ">
      <formula>NOT(ISERROR(SEARCH("SIN FACTURA ",A2)))</formula>
    </cfRule>
  </conditionalFormatting>
  <conditionalFormatting sqref="A38:T38 J37:T37 J35:T35 J33:T33 J31:T31 J29:T29 J27:T27 J25:T25 J23:T23 J21:T21 J19:T19 J17:T17 J16:V16 J18:V18 J20:V20 J22:V22 J24:V24 J26:V26 J28:V28 J30:V30 J32:V32 J34:V34 J36:V36 J5:T15 A5:I37 A4:T4">
    <cfRule type="containsText" dxfId="1575" priority="27" operator="containsText" text="SIN FACTURA">
      <formula>NOT(ISERROR(SEARCH("SIN FACTURA",A4)))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111.xml><?xml version="1.0" encoding="utf-8"?>
<worksheet xmlns="http://schemas.openxmlformats.org/spreadsheetml/2006/main" xmlns:r="http://schemas.openxmlformats.org/officeDocument/2006/relationships">
  <sheetPr codeName="Hoja131"/>
  <dimension ref="A1:Y29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2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164</v>
      </c>
      <c r="B1" s="18"/>
      <c r="C1" s="20"/>
      <c r="D1" s="5">
        <v>467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29" si="0">F5-G5-H5</f>
        <v>0</v>
      </c>
      <c r="J5" s="44">
        <f t="shared" ref="J5:J29" si="1">S5+T5</f>
        <v>0</v>
      </c>
      <c r="K5" s="44">
        <f t="shared" ref="K5:K29" si="2">I5-J5</f>
        <v>0</v>
      </c>
      <c r="L5" s="45"/>
      <c r="M5" s="40"/>
      <c r="N5" s="43">
        <f t="shared" ref="N5:N29" si="3">I5-J5-M5-R5</f>
        <v>0</v>
      </c>
      <c r="O5" s="43">
        <f t="shared" ref="O5:O29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  <c r="U10" s="6"/>
      <c r="V10" s="6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50"/>
      <c r="B29" s="51"/>
      <c r="C29" s="52"/>
      <c r="D29" s="50"/>
      <c r="E29" s="50"/>
      <c r="F29" s="50"/>
      <c r="G29" s="43">
        <f>F29*6%</f>
        <v>0</v>
      </c>
      <c r="H29" s="53"/>
      <c r="I29" s="78">
        <f t="shared" si="0"/>
        <v>0</v>
      </c>
      <c r="J29" s="54">
        <f t="shared" si="1"/>
        <v>0</v>
      </c>
      <c r="K29" s="54">
        <f t="shared" si="2"/>
        <v>0</v>
      </c>
      <c r="L29" s="55"/>
      <c r="M29" s="50"/>
      <c r="N29" s="53">
        <f t="shared" si="3"/>
        <v>0</v>
      </c>
      <c r="O29" s="53">
        <f t="shared" si="4"/>
        <v>0</v>
      </c>
      <c r="P29" s="56"/>
      <c r="Q29" s="50"/>
      <c r="R29" s="50"/>
      <c r="S29" s="50"/>
      <c r="T29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574" priority="26" operator="containsText" text="SIN FACTURA ">
      <formula>NOT(ISERROR(SEARCH("SIN FACTURA ",A2)))</formula>
    </cfRule>
  </conditionalFormatting>
  <conditionalFormatting sqref="J29:T29 J27:T27 J25:T25 J23:T23 J21:T21 J19:T19 J17:T17 J15:T15 J13:T13 J11:T11 J9:T9 A9:H9 A11:H11 A13:H13 A15:H15 A17:H17 A19:H19 A21:H21 A23:H23 A25:H25 A27:H27 A29:H29 A4:T4 J5:T7 I5:I29 A5:H7">
    <cfRule type="containsText" dxfId="1573" priority="25" operator="containsText" text="SIN FACTURA">
      <formula>NOT(ISERROR(SEARCH("SIN FACTURA",A4)))</formula>
    </cfRule>
  </conditionalFormatting>
  <conditionalFormatting sqref="C8:H8 J8:V8">
    <cfRule type="containsText" dxfId="1572" priority="23" operator="containsText" text="SIN FACTURA">
      <formula>NOT(ISERROR(SEARCH("SIN FACTURA",C8)))</formula>
    </cfRule>
  </conditionalFormatting>
  <conditionalFormatting sqref="C10:H10 J10:V10">
    <cfRule type="containsText" dxfId="1571" priority="22" operator="containsText" text="SIN FACTURA">
      <formula>NOT(ISERROR(SEARCH("SIN FACTURA",C10)))</formula>
    </cfRule>
  </conditionalFormatting>
  <conditionalFormatting sqref="C12:H12 J12:V12">
    <cfRule type="containsText" dxfId="1570" priority="21" operator="containsText" text="SIN FACTURA">
      <formula>NOT(ISERROR(SEARCH("SIN FACTURA",C12)))</formula>
    </cfRule>
  </conditionalFormatting>
  <conditionalFormatting sqref="C14:H14 J14:V14">
    <cfRule type="containsText" dxfId="1569" priority="20" operator="containsText" text="SIN FACTURA">
      <formula>NOT(ISERROR(SEARCH("SIN FACTURA",C14)))</formula>
    </cfRule>
  </conditionalFormatting>
  <conditionalFormatting sqref="C16:H16 J16:V16">
    <cfRule type="containsText" dxfId="1568" priority="19" operator="containsText" text="SIN FACTURA">
      <formula>NOT(ISERROR(SEARCH("SIN FACTURA",C16)))</formula>
    </cfRule>
  </conditionalFormatting>
  <conditionalFormatting sqref="C18:H18 J18:V18">
    <cfRule type="containsText" dxfId="1567" priority="18" operator="containsText" text="SIN FACTURA">
      <formula>NOT(ISERROR(SEARCH("SIN FACTURA",C18)))</formula>
    </cfRule>
  </conditionalFormatting>
  <conditionalFormatting sqref="C20:H20 J20:V20">
    <cfRule type="containsText" dxfId="1566" priority="17" operator="containsText" text="SIN FACTURA">
      <formula>NOT(ISERROR(SEARCH("SIN FACTURA",C20)))</formula>
    </cfRule>
  </conditionalFormatting>
  <conditionalFormatting sqref="C22:H22 J22:V22">
    <cfRule type="containsText" dxfId="1565" priority="16" operator="containsText" text="SIN FACTURA">
      <formula>NOT(ISERROR(SEARCH("SIN FACTURA",C22)))</formula>
    </cfRule>
  </conditionalFormatting>
  <conditionalFormatting sqref="C24:H24 J24:V24">
    <cfRule type="containsText" dxfId="1564" priority="15" operator="containsText" text="SIN FACTURA">
      <formula>NOT(ISERROR(SEARCH("SIN FACTURA",C24)))</formula>
    </cfRule>
  </conditionalFormatting>
  <conditionalFormatting sqref="C26:H26 J26:V26">
    <cfRule type="containsText" dxfId="1563" priority="14" operator="containsText" text="SIN FACTURA">
      <formula>NOT(ISERROR(SEARCH("SIN FACTURA",C26)))</formula>
    </cfRule>
  </conditionalFormatting>
  <conditionalFormatting sqref="C28:H28 J28:V28">
    <cfRule type="containsText" dxfId="1562" priority="13" operator="containsText" text="SIN FACTURA">
      <formula>NOT(ISERROR(SEARCH("SIN FACTURA",C28)))</formula>
    </cfRule>
  </conditionalFormatting>
  <conditionalFormatting sqref="A8:B8">
    <cfRule type="containsText" dxfId="1561" priority="11" operator="containsText" text="SIN FACTURA">
      <formula>NOT(ISERROR(SEARCH("SIN FACTURA",A8)))</formula>
    </cfRule>
  </conditionalFormatting>
  <conditionalFormatting sqref="A10:B10">
    <cfRule type="containsText" dxfId="1560" priority="10" operator="containsText" text="SIN FACTURA">
      <formula>NOT(ISERROR(SEARCH("SIN FACTURA",A10)))</formula>
    </cfRule>
  </conditionalFormatting>
  <conditionalFormatting sqref="A12:B12">
    <cfRule type="containsText" dxfId="1559" priority="9" operator="containsText" text="SIN FACTURA">
      <formula>NOT(ISERROR(SEARCH("SIN FACTURA",A12)))</formula>
    </cfRule>
  </conditionalFormatting>
  <conditionalFormatting sqref="A14:B14">
    <cfRule type="containsText" dxfId="1558" priority="8" operator="containsText" text="SIN FACTURA">
      <formula>NOT(ISERROR(SEARCH("SIN FACTURA",A14)))</formula>
    </cfRule>
  </conditionalFormatting>
  <conditionalFormatting sqref="A16:B16">
    <cfRule type="containsText" dxfId="1557" priority="7" operator="containsText" text="SIN FACTURA">
      <formula>NOT(ISERROR(SEARCH("SIN FACTURA",A16)))</formula>
    </cfRule>
  </conditionalFormatting>
  <conditionalFormatting sqref="A28:B28">
    <cfRule type="containsText" dxfId="1556" priority="1" operator="containsText" text="SIN FACTURA">
      <formula>NOT(ISERROR(SEARCH("SIN FACTURA",A28)))</formula>
    </cfRule>
  </conditionalFormatting>
  <conditionalFormatting sqref="A18:B18">
    <cfRule type="containsText" dxfId="1555" priority="6" operator="containsText" text="SIN FACTURA">
      <formula>NOT(ISERROR(SEARCH("SIN FACTURA",A18)))</formula>
    </cfRule>
  </conditionalFormatting>
  <conditionalFormatting sqref="A20:B20">
    <cfRule type="containsText" dxfId="1554" priority="5" operator="containsText" text="SIN FACTURA">
      <formula>NOT(ISERROR(SEARCH("SIN FACTURA",A20)))</formula>
    </cfRule>
  </conditionalFormatting>
  <conditionalFormatting sqref="A22:B22">
    <cfRule type="containsText" dxfId="1553" priority="4" operator="containsText" text="SIN FACTURA">
      <formula>NOT(ISERROR(SEARCH("SIN FACTURA",A22)))</formula>
    </cfRule>
  </conditionalFormatting>
  <conditionalFormatting sqref="A24:B24">
    <cfRule type="containsText" dxfId="1552" priority="3" operator="containsText" text="SIN FACTURA">
      <formula>NOT(ISERROR(SEARCH("SIN FACTURA",A24)))</formula>
    </cfRule>
  </conditionalFormatting>
  <conditionalFormatting sqref="A26:B26">
    <cfRule type="containsText" dxfId="1551" priority="2" operator="containsText" text="SIN FACTURA">
      <formula>NOT(ISERROR(SEARCH("SIN FACTURA",A26)))</formula>
    </cfRule>
  </conditionalFormatting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>
  <sheetPr codeName="Hoja50"/>
  <dimension ref="A1:Y26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F19" sqref="F19"/>
    </sheetView>
  </sheetViews>
  <sheetFormatPr baseColWidth="10" defaultColWidth="10.875" defaultRowHeight="15.75"/>
  <cols>
    <col min="1" max="1" width="17.375" style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11.12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238</v>
      </c>
      <c r="B1" s="18" t="s">
        <v>50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25" si="0">F5-G5-H5</f>
        <v>0</v>
      </c>
      <c r="J5" s="44">
        <f t="shared" ref="J5:J25" si="1">S5+T5</f>
        <v>0</v>
      </c>
      <c r="K5" s="44">
        <f t="shared" ref="K5:K25" si="2">I5-J5</f>
        <v>0</v>
      </c>
      <c r="L5" s="45"/>
      <c r="M5" s="40"/>
      <c r="N5" s="43">
        <f t="shared" ref="N5:N25" si="3">I5-J5-M5-R5</f>
        <v>0</v>
      </c>
      <c r="O5" s="43">
        <f t="shared" ref="O5:O25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  <c r="U10" s="6"/>
      <c r="V10" s="6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1550" priority="61" operator="containsText" text="SIN FACTURA ">
      <formula>NOT(ISERROR(SEARCH("SIN FACTURA ",A2)))</formula>
    </cfRule>
  </conditionalFormatting>
  <conditionalFormatting sqref="A4:T18">
    <cfRule type="containsText" dxfId="1549" priority="60" operator="containsText" text="SIN FACTURA">
      <formula>NOT(ISERROR(SEARCH("SIN FACTURA",A4)))</formula>
    </cfRule>
  </conditionalFormatting>
  <conditionalFormatting sqref="J25:T25 J23:T23 J21:T21 J19:T19 J17:T17 J15:T15 J13:T13 J11:T11 J9:T9 A9:H9 A11:H11 A13:H13 A15:H15 A17:H17 A19:H19 A21:H21 A23:H23 A25:H25 J5:T7 I5:I26 A5:H7">
    <cfRule type="containsText" dxfId="1548" priority="21" operator="containsText" text="SIN FACTURA">
      <formula>NOT(ISERROR(SEARCH("SIN FACTURA",A5)))</formula>
    </cfRule>
  </conditionalFormatting>
  <conditionalFormatting sqref="C8:H8 J8:V8">
    <cfRule type="containsText" dxfId="1547" priority="20" operator="containsText" text="SIN FACTURA">
      <formula>NOT(ISERROR(SEARCH("SIN FACTURA",C8)))</formula>
    </cfRule>
  </conditionalFormatting>
  <conditionalFormatting sqref="C10:H10 J10:V10">
    <cfRule type="containsText" dxfId="1546" priority="19" operator="containsText" text="SIN FACTURA">
      <formula>NOT(ISERROR(SEARCH("SIN FACTURA",C10)))</formula>
    </cfRule>
  </conditionalFormatting>
  <conditionalFormatting sqref="C12:H12 J12:V12">
    <cfRule type="containsText" dxfId="1545" priority="18" operator="containsText" text="SIN FACTURA">
      <formula>NOT(ISERROR(SEARCH("SIN FACTURA",C12)))</formula>
    </cfRule>
  </conditionalFormatting>
  <conditionalFormatting sqref="C14:H14 J14:V14">
    <cfRule type="containsText" dxfId="1544" priority="17" operator="containsText" text="SIN FACTURA">
      <formula>NOT(ISERROR(SEARCH("SIN FACTURA",C14)))</formula>
    </cfRule>
  </conditionalFormatting>
  <conditionalFormatting sqref="C16:H16 J16:V16">
    <cfRule type="containsText" dxfId="1543" priority="16" operator="containsText" text="SIN FACTURA">
      <formula>NOT(ISERROR(SEARCH("SIN FACTURA",C16)))</formula>
    </cfRule>
  </conditionalFormatting>
  <conditionalFormatting sqref="C18:H18 J18:V18">
    <cfRule type="containsText" dxfId="1542" priority="15" operator="containsText" text="SIN FACTURA">
      <formula>NOT(ISERROR(SEARCH("SIN FACTURA",C18)))</formula>
    </cfRule>
  </conditionalFormatting>
  <conditionalFormatting sqref="C20:H20 J20:V20">
    <cfRule type="containsText" dxfId="1541" priority="14" operator="containsText" text="SIN FACTURA">
      <formula>NOT(ISERROR(SEARCH("SIN FACTURA",C20)))</formula>
    </cfRule>
  </conditionalFormatting>
  <conditionalFormatting sqref="C22:H22 J22:V22">
    <cfRule type="containsText" dxfId="1540" priority="13" operator="containsText" text="SIN FACTURA">
      <formula>NOT(ISERROR(SEARCH("SIN FACTURA",C22)))</formula>
    </cfRule>
  </conditionalFormatting>
  <conditionalFormatting sqref="C24:H24 J24:V24">
    <cfRule type="containsText" dxfId="1539" priority="12" operator="containsText" text="SIN FACTURA">
      <formula>NOT(ISERROR(SEARCH("SIN FACTURA",C24)))</formula>
    </cfRule>
  </conditionalFormatting>
  <conditionalFormatting sqref="C26:H26 J26:V26">
    <cfRule type="containsText" dxfId="1538" priority="11" operator="containsText" text="SIN FACTURA">
      <formula>NOT(ISERROR(SEARCH("SIN FACTURA",C26)))</formula>
    </cfRule>
  </conditionalFormatting>
  <conditionalFormatting sqref="A8:B8">
    <cfRule type="containsText" dxfId="1537" priority="10" operator="containsText" text="SIN FACTURA">
      <formula>NOT(ISERROR(SEARCH("SIN FACTURA",A8)))</formula>
    </cfRule>
  </conditionalFormatting>
  <conditionalFormatting sqref="A10:B10">
    <cfRule type="containsText" dxfId="1536" priority="9" operator="containsText" text="SIN FACTURA">
      <formula>NOT(ISERROR(SEARCH("SIN FACTURA",A10)))</formula>
    </cfRule>
  </conditionalFormatting>
  <conditionalFormatting sqref="A12:B12">
    <cfRule type="containsText" dxfId="1535" priority="8" operator="containsText" text="SIN FACTURA">
      <formula>NOT(ISERROR(SEARCH("SIN FACTURA",A12)))</formula>
    </cfRule>
  </conditionalFormatting>
  <conditionalFormatting sqref="A14:B14">
    <cfRule type="containsText" dxfId="1534" priority="7" operator="containsText" text="SIN FACTURA">
      <formula>NOT(ISERROR(SEARCH("SIN FACTURA",A14)))</formula>
    </cfRule>
  </conditionalFormatting>
  <conditionalFormatting sqref="A16:B16">
    <cfRule type="containsText" dxfId="1533" priority="6" operator="containsText" text="SIN FACTURA">
      <formula>NOT(ISERROR(SEARCH("SIN FACTURA",A16)))</formula>
    </cfRule>
  </conditionalFormatting>
  <conditionalFormatting sqref="A18:B18">
    <cfRule type="containsText" dxfId="1532" priority="5" operator="containsText" text="SIN FACTURA">
      <formula>NOT(ISERROR(SEARCH("SIN FACTURA",A18)))</formula>
    </cfRule>
  </conditionalFormatting>
  <conditionalFormatting sqref="A20:B20">
    <cfRule type="containsText" dxfId="1531" priority="4" operator="containsText" text="SIN FACTURA">
      <formula>NOT(ISERROR(SEARCH("SIN FACTURA",A20)))</formula>
    </cfRule>
  </conditionalFormatting>
  <conditionalFormatting sqref="A22:B22">
    <cfRule type="containsText" dxfId="1530" priority="3" operator="containsText" text="SIN FACTURA">
      <formula>NOT(ISERROR(SEARCH("SIN FACTURA",A22)))</formula>
    </cfRule>
  </conditionalFormatting>
  <conditionalFormatting sqref="A24:B24">
    <cfRule type="containsText" dxfId="1529" priority="2" operator="containsText" text="SIN FACTURA">
      <formula>NOT(ISERROR(SEARCH("SIN FACTURA",A24)))</formula>
    </cfRule>
  </conditionalFormatting>
  <conditionalFormatting sqref="A26:B26">
    <cfRule type="containsText" dxfId="1528" priority="1" operator="containsText" text="SIN FACTURA">
      <formula>NOT(ISERROR(SEARCH("SIN FACTURA",A26)))</formula>
    </cfRule>
  </conditionalFormatting>
  <pageMargins left="0.75" right="0.75" top="1" bottom="1" header="0.5" footer="0.5"/>
  <pageSetup paperSize="9" orientation="portrait"/>
</worksheet>
</file>

<file path=xl/worksheets/sheet113.xml><?xml version="1.0" encoding="utf-8"?>
<worksheet xmlns="http://schemas.openxmlformats.org/spreadsheetml/2006/main" xmlns:r="http://schemas.openxmlformats.org/officeDocument/2006/relationships">
  <sheetPr codeName="Hoja175"/>
  <dimension ref="A1:Y30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27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4">
        <v>245</v>
      </c>
      <c r="B1" s="15" t="s">
        <v>61</v>
      </c>
      <c r="C1" s="1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6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32"/>
      <c r="B5" s="33"/>
      <c r="C5" s="34"/>
      <c r="D5" s="32"/>
      <c r="E5" s="32"/>
      <c r="F5" s="32"/>
      <c r="G5" s="37"/>
      <c r="H5" s="37"/>
      <c r="I5" s="37"/>
      <c r="J5" s="35"/>
      <c r="K5" s="35"/>
      <c r="L5" s="36"/>
      <c r="M5" s="32"/>
      <c r="N5" s="37"/>
      <c r="O5" s="37"/>
      <c r="P5" s="38"/>
      <c r="Q5" s="32"/>
      <c r="R5" s="32"/>
      <c r="S5" s="32"/>
      <c r="T5" s="39"/>
    </row>
    <row r="6" spans="1:25" ht="15">
      <c r="A6" s="40"/>
      <c r="B6" s="41"/>
      <c r="C6" s="42"/>
      <c r="D6" s="40"/>
      <c r="E6" s="40"/>
      <c r="F6" s="40"/>
      <c r="G6" s="43">
        <f>F6*6%</f>
        <v>0</v>
      </c>
      <c r="H6" s="43"/>
      <c r="I6" s="44">
        <f t="shared" ref="I6:I30" si="0">F6-G6-H6</f>
        <v>0</v>
      </c>
      <c r="J6" s="44">
        <f t="shared" ref="J6:J30" si="1">S6+T6</f>
        <v>0</v>
      </c>
      <c r="K6" s="44">
        <f t="shared" ref="K6:K30" si="2">I6-J6</f>
        <v>0</v>
      </c>
      <c r="L6" s="45"/>
      <c r="M6" s="40"/>
      <c r="N6" s="43">
        <f t="shared" ref="N6:N30" si="3">I6-J6-M6-R6</f>
        <v>0</v>
      </c>
      <c r="O6" s="43">
        <f t="shared" ref="O6:O30" si="4">R6+S6+T6</f>
        <v>0</v>
      </c>
      <c r="P6" s="46"/>
      <c r="Q6" s="40"/>
      <c r="R6" s="47"/>
      <c r="S6" s="47"/>
      <c r="T6" s="48"/>
    </row>
    <row r="7" spans="1:25" ht="15">
      <c r="A7" s="32"/>
      <c r="B7" s="33"/>
      <c r="C7" s="34"/>
      <c r="D7" s="32"/>
      <c r="E7" s="32"/>
      <c r="F7" s="32"/>
      <c r="G7" s="37"/>
      <c r="H7" s="37"/>
      <c r="I7" s="37"/>
      <c r="J7" s="35"/>
      <c r="K7" s="35"/>
      <c r="L7" s="36"/>
      <c r="M7" s="32"/>
      <c r="N7" s="37"/>
      <c r="O7" s="37"/>
      <c r="P7" s="38"/>
      <c r="Q7" s="32"/>
      <c r="R7" s="32"/>
      <c r="S7" s="32"/>
      <c r="T7" s="39"/>
    </row>
    <row r="8" spans="1:25" ht="15">
      <c r="A8" s="40"/>
      <c r="B8" s="41"/>
      <c r="C8" s="42"/>
      <c r="D8" s="40"/>
      <c r="E8" s="40"/>
      <c r="F8" s="40"/>
      <c r="G8" s="43">
        <f>F8*6%</f>
        <v>0</v>
      </c>
      <c r="H8" s="43"/>
      <c r="I8" s="44">
        <f t="shared" si="0"/>
        <v>0</v>
      </c>
      <c r="J8" s="44">
        <f t="shared" si="1"/>
        <v>0</v>
      </c>
      <c r="K8" s="44">
        <f t="shared" si="2"/>
        <v>0</v>
      </c>
      <c r="L8" s="45"/>
      <c r="M8" s="40"/>
      <c r="N8" s="43">
        <f t="shared" si="3"/>
        <v>0</v>
      </c>
      <c r="O8" s="43">
        <f t="shared" si="4"/>
        <v>0</v>
      </c>
      <c r="P8" s="46"/>
      <c r="Q8" s="40"/>
      <c r="R8" s="40"/>
      <c r="S8" s="40"/>
      <c r="T8" s="5"/>
    </row>
    <row r="9" spans="1:25" ht="15">
      <c r="A9" s="32"/>
      <c r="B9" s="33"/>
      <c r="C9" s="32"/>
      <c r="D9" s="33"/>
      <c r="E9" s="34"/>
      <c r="F9" s="32"/>
      <c r="G9" s="32"/>
      <c r="H9" s="32"/>
      <c r="I9" s="37"/>
      <c r="J9" s="37"/>
      <c r="K9" s="35"/>
      <c r="L9" s="35"/>
      <c r="M9" s="35"/>
      <c r="N9" s="36"/>
      <c r="O9" s="32"/>
      <c r="P9" s="37"/>
      <c r="Q9" s="37"/>
      <c r="R9" s="38"/>
      <c r="S9" s="32"/>
      <c r="T9" s="39"/>
    </row>
    <row r="10" spans="1:25" ht="15">
      <c r="A10" s="40"/>
      <c r="B10" s="41"/>
      <c r="C10" s="42"/>
      <c r="D10" s="40"/>
      <c r="E10" s="40"/>
      <c r="F10" s="40"/>
      <c r="G10" s="43">
        <f>F10*6%</f>
        <v>0</v>
      </c>
      <c r="H10" s="43"/>
      <c r="I10" s="44">
        <f t="shared" si="0"/>
        <v>0</v>
      </c>
      <c r="J10" s="44">
        <f t="shared" si="1"/>
        <v>0</v>
      </c>
      <c r="K10" s="44">
        <f t="shared" si="2"/>
        <v>0</v>
      </c>
      <c r="L10" s="45"/>
      <c r="M10" s="40"/>
      <c r="N10" s="43">
        <f t="shared" si="3"/>
        <v>0</v>
      </c>
      <c r="O10" s="43">
        <f t="shared" si="4"/>
        <v>0</v>
      </c>
      <c r="P10" s="46"/>
      <c r="Q10" s="40"/>
      <c r="R10" s="40"/>
      <c r="S10" s="40"/>
      <c r="T10" s="5"/>
    </row>
    <row r="11" spans="1:25" ht="15">
      <c r="A11" s="32"/>
      <c r="B11" s="33"/>
      <c r="C11" s="32"/>
      <c r="D11" s="33"/>
      <c r="E11" s="34"/>
      <c r="F11" s="32"/>
      <c r="G11" s="32"/>
      <c r="H11" s="32"/>
      <c r="I11" s="37"/>
      <c r="J11" s="37"/>
      <c r="K11" s="35"/>
      <c r="L11" s="35"/>
      <c r="M11" s="35"/>
      <c r="N11" s="36"/>
      <c r="O11" s="32"/>
      <c r="P11" s="37"/>
      <c r="Q11" s="37"/>
      <c r="R11" s="38"/>
      <c r="S11" s="32"/>
      <c r="T11" s="39"/>
      <c r="U11" s="6"/>
      <c r="V11" s="6"/>
    </row>
    <row r="12" spans="1:25" ht="15">
      <c r="A12" s="40"/>
      <c r="B12" s="41"/>
      <c r="C12" s="42"/>
      <c r="D12" s="40"/>
      <c r="E12" s="40"/>
      <c r="F12" s="40"/>
      <c r="G12" s="43">
        <f>F12*6%</f>
        <v>0</v>
      </c>
      <c r="H12" s="43"/>
      <c r="I12" s="44">
        <f t="shared" si="0"/>
        <v>0</v>
      </c>
      <c r="J12" s="44">
        <f t="shared" si="1"/>
        <v>0</v>
      </c>
      <c r="K12" s="44">
        <f t="shared" si="2"/>
        <v>0</v>
      </c>
      <c r="L12" s="45"/>
      <c r="M12" s="40"/>
      <c r="N12" s="43">
        <f t="shared" si="3"/>
        <v>0</v>
      </c>
      <c r="O12" s="43">
        <f t="shared" si="4"/>
        <v>0</v>
      </c>
      <c r="P12" s="46"/>
      <c r="Q12" s="40"/>
      <c r="R12" s="40"/>
      <c r="S12" s="40"/>
      <c r="T12" s="5"/>
    </row>
    <row r="13" spans="1:25" ht="15">
      <c r="A13" s="32"/>
      <c r="B13" s="33"/>
      <c r="C13" s="32"/>
      <c r="D13" s="33"/>
      <c r="E13" s="34"/>
      <c r="F13" s="32"/>
      <c r="G13" s="32"/>
      <c r="H13" s="32"/>
      <c r="I13" s="37"/>
      <c r="J13" s="37"/>
      <c r="K13" s="35"/>
      <c r="L13" s="35"/>
      <c r="M13" s="35"/>
      <c r="N13" s="36"/>
      <c r="O13" s="32"/>
      <c r="P13" s="37"/>
      <c r="Q13" s="37"/>
      <c r="R13" s="38"/>
      <c r="S13" s="32"/>
      <c r="T13" s="39"/>
      <c r="U13" s="6"/>
      <c r="V13" s="6"/>
    </row>
    <row r="14" spans="1:25" ht="15">
      <c r="A14" s="40"/>
      <c r="B14" s="41"/>
      <c r="C14" s="42"/>
      <c r="D14" s="40"/>
      <c r="E14" s="40"/>
      <c r="F14" s="40"/>
      <c r="G14" s="43">
        <f>F14*6%</f>
        <v>0</v>
      </c>
      <c r="H14" s="43"/>
      <c r="I14" s="44">
        <f t="shared" si="0"/>
        <v>0</v>
      </c>
      <c r="J14" s="44">
        <f t="shared" si="1"/>
        <v>0</v>
      </c>
      <c r="K14" s="44">
        <f t="shared" si="2"/>
        <v>0</v>
      </c>
      <c r="L14" s="45"/>
      <c r="M14" s="40"/>
      <c r="N14" s="43">
        <f t="shared" si="3"/>
        <v>0</v>
      </c>
      <c r="O14" s="43">
        <f t="shared" si="4"/>
        <v>0</v>
      </c>
      <c r="P14" s="46"/>
      <c r="Q14" s="40"/>
      <c r="R14" s="40"/>
      <c r="S14" s="40"/>
      <c r="T14" s="5"/>
    </row>
    <row r="15" spans="1:25" ht="15">
      <c r="A15" s="32"/>
      <c r="B15" s="33"/>
      <c r="C15" s="32"/>
      <c r="D15" s="33"/>
      <c r="E15" s="34"/>
      <c r="F15" s="32"/>
      <c r="G15" s="32"/>
      <c r="H15" s="32"/>
      <c r="I15" s="37"/>
      <c r="J15" s="37"/>
      <c r="K15" s="35"/>
      <c r="L15" s="35"/>
      <c r="M15" s="35"/>
      <c r="N15" s="36"/>
      <c r="O15" s="32"/>
      <c r="P15" s="37"/>
      <c r="Q15" s="37"/>
      <c r="R15" s="38"/>
      <c r="S15" s="32"/>
      <c r="T15" s="39"/>
      <c r="U15" s="6"/>
      <c r="V15" s="6"/>
    </row>
    <row r="16" spans="1:25" ht="15">
      <c r="A16" s="40"/>
      <c r="B16" s="41"/>
      <c r="C16" s="42"/>
      <c r="D16" s="40"/>
      <c r="E16" s="40"/>
      <c r="F16" s="40"/>
      <c r="G16" s="43">
        <f>F16*6%</f>
        <v>0</v>
      </c>
      <c r="H16" s="43"/>
      <c r="I16" s="44">
        <f t="shared" si="0"/>
        <v>0</v>
      </c>
      <c r="J16" s="44">
        <f t="shared" si="1"/>
        <v>0</v>
      </c>
      <c r="K16" s="44">
        <f t="shared" si="2"/>
        <v>0</v>
      </c>
      <c r="L16" s="45"/>
      <c r="M16" s="40"/>
      <c r="N16" s="43">
        <f t="shared" si="3"/>
        <v>0</v>
      </c>
      <c r="O16" s="43">
        <f t="shared" si="4"/>
        <v>0</v>
      </c>
      <c r="P16" s="46"/>
      <c r="Q16" s="40"/>
      <c r="R16" s="40"/>
      <c r="S16" s="40"/>
      <c r="T16" s="5"/>
    </row>
    <row r="17" spans="1:22" ht="15">
      <c r="A17" s="32"/>
      <c r="B17" s="33"/>
      <c r="C17" s="32"/>
      <c r="D17" s="33"/>
      <c r="E17" s="34"/>
      <c r="F17" s="32"/>
      <c r="G17" s="32"/>
      <c r="H17" s="32"/>
      <c r="I17" s="37"/>
      <c r="J17" s="37"/>
      <c r="K17" s="35"/>
      <c r="L17" s="35"/>
      <c r="M17" s="35"/>
      <c r="N17" s="36"/>
      <c r="O17" s="32"/>
      <c r="P17" s="37"/>
      <c r="Q17" s="37"/>
      <c r="R17" s="38"/>
      <c r="S17" s="32"/>
      <c r="T17" s="39"/>
      <c r="U17" s="6"/>
      <c r="V17" s="6"/>
    </row>
    <row r="18" spans="1:22" ht="15">
      <c r="A18" s="40"/>
      <c r="B18" s="41"/>
      <c r="C18" s="42"/>
      <c r="D18" s="40"/>
      <c r="E18" s="40"/>
      <c r="F18" s="40"/>
      <c r="G18" s="43">
        <f>F18*6%</f>
        <v>0</v>
      </c>
      <c r="H18" s="43"/>
      <c r="I18" s="44">
        <f t="shared" si="0"/>
        <v>0</v>
      </c>
      <c r="J18" s="44">
        <f t="shared" si="1"/>
        <v>0</v>
      </c>
      <c r="K18" s="44">
        <f t="shared" si="2"/>
        <v>0</v>
      </c>
      <c r="L18" s="45"/>
      <c r="M18" s="40"/>
      <c r="N18" s="43">
        <f t="shared" si="3"/>
        <v>0</v>
      </c>
      <c r="O18" s="43">
        <f t="shared" si="4"/>
        <v>0</v>
      </c>
      <c r="P18" s="46"/>
      <c r="Q18" s="40"/>
      <c r="R18" s="40"/>
      <c r="S18" s="40"/>
      <c r="T18" s="5"/>
    </row>
    <row r="19" spans="1:22" ht="15">
      <c r="A19" s="32"/>
      <c r="B19" s="33"/>
      <c r="C19" s="32"/>
      <c r="D19" s="33"/>
      <c r="E19" s="34"/>
      <c r="F19" s="32"/>
      <c r="G19" s="32"/>
      <c r="H19" s="32"/>
      <c r="I19" s="37"/>
      <c r="J19" s="37"/>
      <c r="K19" s="35"/>
      <c r="L19" s="35"/>
      <c r="M19" s="35"/>
      <c r="N19" s="36"/>
      <c r="O19" s="32"/>
      <c r="P19" s="37"/>
      <c r="Q19" s="37"/>
      <c r="R19" s="38"/>
      <c r="S19" s="32"/>
      <c r="T19" s="39"/>
      <c r="U19" s="6"/>
      <c r="V19" s="6"/>
    </row>
    <row r="20" spans="1:22" ht="15">
      <c r="A20" s="40"/>
      <c r="B20" s="41"/>
      <c r="C20" s="42"/>
      <c r="D20" s="40"/>
      <c r="E20" s="40"/>
      <c r="F20" s="40"/>
      <c r="G20" s="43">
        <f>F20*6%</f>
        <v>0</v>
      </c>
      <c r="H20" s="43"/>
      <c r="I20" s="44">
        <f t="shared" si="0"/>
        <v>0</v>
      </c>
      <c r="J20" s="44">
        <f t="shared" si="1"/>
        <v>0</v>
      </c>
      <c r="K20" s="44">
        <f t="shared" si="2"/>
        <v>0</v>
      </c>
      <c r="L20" s="45"/>
      <c r="M20" s="40"/>
      <c r="N20" s="43">
        <f t="shared" si="3"/>
        <v>0</v>
      </c>
      <c r="O20" s="43">
        <f t="shared" si="4"/>
        <v>0</v>
      </c>
      <c r="P20" s="46"/>
      <c r="Q20" s="40"/>
      <c r="R20" s="40"/>
      <c r="S20" s="40"/>
      <c r="T20" s="5"/>
    </row>
    <row r="21" spans="1:22" ht="15">
      <c r="A21" s="32"/>
      <c r="B21" s="33"/>
      <c r="C21" s="32"/>
      <c r="D21" s="33"/>
      <c r="E21" s="34"/>
      <c r="F21" s="32"/>
      <c r="G21" s="32"/>
      <c r="H21" s="32"/>
      <c r="I21" s="37"/>
      <c r="J21" s="37"/>
      <c r="K21" s="35"/>
      <c r="L21" s="35"/>
      <c r="M21" s="35"/>
      <c r="N21" s="36"/>
      <c r="O21" s="32"/>
      <c r="P21" s="37"/>
      <c r="Q21" s="37"/>
      <c r="R21" s="38"/>
      <c r="S21" s="32"/>
      <c r="T21" s="39"/>
      <c r="U21" s="6"/>
      <c r="V21" s="6"/>
    </row>
    <row r="22" spans="1:22" ht="15">
      <c r="A22" s="40"/>
      <c r="B22" s="41"/>
      <c r="C22" s="42"/>
      <c r="D22" s="40"/>
      <c r="E22" s="40"/>
      <c r="F22" s="40"/>
      <c r="G22" s="43">
        <f>F22*6%</f>
        <v>0</v>
      </c>
      <c r="H22" s="43"/>
      <c r="I22" s="44">
        <f t="shared" si="0"/>
        <v>0</v>
      </c>
      <c r="J22" s="44">
        <f t="shared" si="1"/>
        <v>0</v>
      </c>
      <c r="K22" s="44">
        <f t="shared" si="2"/>
        <v>0</v>
      </c>
      <c r="L22" s="45"/>
      <c r="M22" s="40"/>
      <c r="N22" s="43">
        <f t="shared" si="3"/>
        <v>0</v>
      </c>
      <c r="O22" s="43">
        <f t="shared" si="4"/>
        <v>0</v>
      </c>
      <c r="P22" s="46"/>
      <c r="Q22" s="40"/>
      <c r="R22" s="40"/>
      <c r="S22" s="40"/>
      <c r="T22" s="5"/>
    </row>
    <row r="23" spans="1:22" ht="15">
      <c r="A23" s="32"/>
      <c r="B23" s="33"/>
      <c r="C23" s="32"/>
      <c r="D23" s="33"/>
      <c r="E23" s="34"/>
      <c r="F23" s="32"/>
      <c r="G23" s="32"/>
      <c r="H23" s="32"/>
      <c r="I23" s="37"/>
      <c r="J23" s="37"/>
      <c r="K23" s="35"/>
      <c r="L23" s="35"/>
      <c r="M23" s="35"/>
      <c r="N23" s="36"/>
      <c r="O23" s="32"/>
      <c r="P23" s="37"/>
      <c r="Q23" s="37"/>
      <c r="R23" s="38"/>
      <c r="S23" s="32"/>
      <c r="T23" s="39"/>
      <c r="U23" s="6"/>
      <c r="V23" s="6"/>
    </row>
    <row r="24" spans="1:22" ht="15">
      <c r="A24" s="40"/>
      <c r="B24" s="41"/>
      <c r="C24" s="42"/>
      <c r="D24" s="40"/>
      <c r="E24" s="40"/>
      <c r="F24" s="40"/>
      <c r="G24" s="43">
        <f>F24*6%</f>
        <v>0</v>
      </c>
      <c r="H24" s="43"/>
      <c r="I24" s="44">
        <f t="shared" si="0"/>
        <v>0</v>
      </c>
      <c r="J24" s="44">
        <f t="shared" si="1"/>
        <v>0</v>
      </c>
      <c r="K24" s="44">
        <f t="shared" si="2"/>
        <v>0</v>
      </c>
      <c r="L24" s="45"/>
      <c r="M24" s="40"/>
      <c r="N24" s="43">
        <f t="shared" si="3"/>
        <v>0</v>
      </c>
      <c r="O24" s="43">
        <f t="shared" si="4"/>
        <v>0</v>
      </c>
      <c r="P24" s="46"/>
      <c r="Q24" s="40"/>
      <c r="R24" s="40"/>
      <c r="S24" s="40"/>
      <c r="T24" s="5"/>
    </row>
    <row r="25" spans="1:22" ht="15">
      <c r="A25" s="32"/>
      <c r="B25" s="33"/>
      <c r="C25" s="32"/>
      <c r="D25" s="33"/>
      <c r="E25" s="34"/>
      <c r="F25" s="32"/>
      <c r="G25" s="32"/>
      <c r="H25" s="32"/>
      <c r="I25" s="37"/>
      <c r="J25" s="37"/>
      <c r="K25" s="35"/>
      <c r="L25" s="35"/>
      <c r="M25" s="35"/>
      <c r="N25" s="36"/>
      <c r="O25" s="32"/>
      <c r="P25" s="37"/>
      <c r="Q25" s="37"/>
      <c r="R25" s="38"/>
      <c r="S25" s="32"/>
      <c r="T25" s="39"/>
      <c r="U25" s="6"/>
      <c r="V25" s="6"/>
    </row>
    <row r="26" spans="1:22" ht="15">
      <c r="A26" s="40"/>
      <c r="B26" s="41"/>
      <c r="C26" s="42"/>
      <c r="D26" s="40"/>
      <c r="E26" s="40"/>
      <c r="F26" s="40"/>
      <c r="G26" s="43">
        <f>F26*6%</f>
        <v>0</v>
      </c>
      <c r="H26" s="43"/>
      <c r="I26" s="44">
        <f t="shared" si="0"/>
        <v>0</v>
      </c>
      <c r="J26" s="44">
        <f t="shared" si="1"/>
        <v>0</v>
      </c>
      <c r="K26" s="44">
        <f t="shared" si="2"/>
        <v>0</v>
      </c>
      <c r="L26" s="45"/>
      <c r="M26" s="40"/>
      <c r="N26" s="43">
        <f t="shared" si="3"/>
        <v>0</v>
      </c>
      <c r="O26" s="43">
        <f t="shared" si="4"/>
        <v>0</v>
      </c>
      <c r="P26" s="46"/>
      <c r="Q26" s="40"/>
      <c r="R26" s="40"/>
      <c r="S26" s="40"/>
      <c r="T26" s="5"/>
    </row>
    <row r="27" spans="1:22" ht="15">
      <c r="A27" s="32"/>
      <c r="B27" s="33"/>
      <c r="C27" s="32"/>
      <c r="D27" s="33"/>
      <c r="E27" s="34"/>
      <c r="F27" s="32"/>
      <c r="G27" s="32"/>
      <c r="H27" s="32"/>
      <c r="I27" s="37"/>
      <c r="J27" s="37"/>
      <c r="K27" s="35"/>
      <c r="L27" s="35"/>
      <c r="M27" s="35"/>
      <c r="N27" s="36"/>
      <c r="O27" s="32"/>
      <c r="P27" s="37"/>
      <c r="Q27" s="37"/>
      <c r="R27" s="38"/>
      <c r="S27" s="32"/>
      <c r="T27" s="39"/>
      <c r="U27" s="6"/>
      <c r="V27" s="6"/>
    </row>
    <row r="28" spans="1:22" ht="15">
      <c r="A28" s="40"/>
      <c r="B28" s="41"/>
      <c r="C28" s="42"/>
      <c r="D28" s="40"/>
      <c r="E28" s="40"/>
      <c r="F28" s="40"/>
      <c r="G28" s="43">
        <f>F28*6%</f>
        <v>0</v>
      </c>
      <c r="H28" s="43"/>
      <c r="I28" s="44">
        <f t="shared" si="0"/>
        <v>0</v>
      </c>
      <c r="J28" s="44">
        <f t="shared" si="1"/>
        <v>0</v>
      </c>
      <c r="K28" s="44">
        <f t="shared" si="2"/>
        <v>0</v>
      </c>
      <c r="L28" s="45"/>
      <c r="M28" s="40"/>
      <c r="N28" s="43">
        <f t="shared" si="3"/>
        <v>0</v>
      </c>
      <c r="O28" s="43">
        <f t="shared" si="4"/>
        <v>0</v>
      </c>
      <c r="P28" s="46"/>
      <c r="Q28" s="40"/>
      <c r="R28" s="40"/>
      <c r="S28" s="40"/>
      <c r="T28" s="5"/>
    </row>
    <row r="29" spans="1:22" ht="15">
      <c r="A29" s="32"/>
      <c r="B29" s="33"/>
      <c r="C29" s="32"/>
      <c r="D29" s="33"/>
      <c r="E29" s="34"/>
      <c r="F29" s="32"/>
      <c r="G29" s="32"/>
      <c r="H29" s="32"/>
      <c r="I29" s="37"/>
      <c r="J29" s="37"/>
      <c r="K29" s="35"/>
      <c r="L29" s="35"/>
      <c r="M29" s="35"/>
      <c r="N29" s="36"/>
      <c r="O29" s="32"/>
      <c r="P29" s="37"/>
      <c r="Q29" s="37"/>
      <c r="R29" s="38"/>
      <c r="S29" s="32"/>
      <c r="T29" s="39"/>
      <c r="U29" s="6"/>
      <c r="V29" s="6"/>
    </row>
    <row r="30" spans="1:22" ht="15">
      <c r="A30" s="50"/>
      <c r="B30" s="51"/>
      <c r="C30" s="52"/>
      <c r="D30" s="50"/>
      <c r="E30" s="50"/>
      <c r="F30" s="50"/>
      <c r="G30" s="43">
        <f>F30*6%</f>
        <v>0</v>
      </c>
      <c r="H30" s="53"/>
      <c r="I30" s="44">
        <f t="shared" si="0"/>
        <v>0</v>
      </c>
      <c r="J30" s="54">
        <f t="shared" si="1"/>
        <v>0</v>
      </c>
      <c r="K30" s="54">
        <f t="shared" si="2"/>
        <v>0</v>
      </c>
      <c r="L30" s="55"/>
      <c r="M30" s="50"/>
      <c r="N30" s="53">
        <f t="shared" si="3"/>
        <v>0</v>
      </c>
      <c r="O30" s="53">
        <f t="shared" si="4"/>
        <v>0</v>
      </c>
      <c r="P30" s="56"/>
      <c r="Q30" s="50"/>
      <c r="R30" s="50"/>
      <c r="S30" s="50"/>
      <c r="T30" s="5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1527" priority="31" operator="containsText" text="SIN FACTURA ">
      <formula>NOT(ISERROR(SEARCH("SIN FACTURA ",A2)))</formula>
    </cfRule>
  </conditionalFormatting>
  <conditionalFormatting sqref="A29:B29 I5:I30 A4:T4 J5:T8 A5:H8">
    <cfRule type="containsText" dxfId="1526" priority="5" operator="containsText" text="SIN FACTURA">
      <formula>NOT(ISERROR(SEARCH("SIN FACTURA",A4)))</formula>
    </cfRule>
  </conditionalFormatting>
  <conditionalFormatting sqref="J30:T30 J28:T28 J26:T26 J24:T24 J22:T22 J20:T20 J18:T18 J16:T16 J14:T14 J12:T12 J10:T10 A10:H10 A12:H12 A14:H14 A16:H16 A18:H18 A20:H20 A22:H22 A24:H24 A26:H26 A28:H28 A30:H30">
    <cfRule type="containsText" dxfId="1525" priority="29" operator="containsText" text="SIN FACTURA">
      <formula>NOT(ISERROR(SEARCH("SIN FACTURA",A10)))</formula>
    </cfRule>
  </conditionalFormatting>
  <conditionalFormatting sqref="C9:H9 J9:V9">
    <cfRule type="containsText" dxfId="1524" priority="27" operator="containsText" text="SIN FACTURA">
      <formula>NOT(ISERROR(SEARCH("SIN FACTURA",C9)))</formula>
    </cfRule>
  </conditionalFormatting>
  <conditionalFormatting sqref="C11:H11 J11:V11">
    <cfRule type="containsText" dxfId="1523" priority="26" operator="containsText" text="SIN FACTURA">
      <formula>NOT(ISERROR(SEARCH("SIN FACTURA",C11)))</formula>
    </cfRule>
  </conditionalFormatting>
  <conditionalFormatting sqref="C13:H13 J13:V13">
    <cfRule type="containsText" dxfId="1522" priority="25" operator="containsText" text="SIN FACTURA">
      <formula>NOT(ISERROR(SEARCH("SIN FACTURA",C13)))</formula>
    </cfRule>
  </conditionalFormatting>
  <conditionalFormatting sqref="C15:H15 J15:V15">
    <cfRule type="containsText" dxfId="1521" priority="24" operator="containsText" text="SIN FACTURA">
      <formula>NOT(ISERROR(SEARCH("SIN FACTURA",C15)))</formula>
    </cfRule>
  </conditionalFormatting>
  <conditionalFormatting sqref="C17:H17 J17:V17">
    <cfRule type="containsText" dxfId="1520" priority="23" operator="containsText" text="SIN FACTURA">
      <formula>NOT(ISERROR(SEARCH("SIN FACTURA",C17)))</formula>
    </cfRule>
  </conditionalFormatting>
  <conditionalFormatting sqref="C19:H19 J19:V19">
    <cfRule type="containsText" dxfId="1519" priority="22" operator="containsText" text="SIN FACTURA">
      <formula>NOT(ISERROR(SEARCH("SIN FACTURA",C19)))</formula>
    </cfRule>
  </conditionalFormatting>
  <conditionalFormatting sqref="C21:H21 J21:V21">
    <cfRule type="containsText" dxfId="1518" priority="21" operator="containsText" text="SIN FACTURA">
      <formula>NOT(ISERROR(SEARCH("SIN FACTURA",C21)))</formula>
    </cfRule>
  </conditionalFormatting>
  <conditionalFormatting sqref="C23:H23 J23:V23">
    <cfRule type="containsText" dxfId="1517" priority="20" operator="containsText" text="SIN FACTURA">
      <formula>NOT(ISERROR(SEARCH("SIN FACTURA",C23)))</formula>
    </cfRule>
  </conditionalFormatting>
  <conditionalFormatting sqref="C25:H25 J25:V25">
    <cfRule type="containsText" dxfId="1516" priority="19" operator="containsText" text="SIN FACTURA">
      <formula>NOT(ISERROR(SEARCH("SIN FACTURA",C25)))</formula>
    </cfRule>
  </conditionalFormatting>
  <conditionalFormatting sqref="C27:H27 J27:V27">
    <cfRule type="containsText" dxfId="1515" priority="18" operator="containsText" text="SIN FACTURA">
      <formula>NOT(ISERROR(SEARCH("SIN FACTURA",C27)))</formula>
    </cfRule>
  </conditionalFormatting>
  <conditionalFormatting sqref="C29:H29 J29:V29">
    <cfRule type="containsText" dxfId="1514" priority="17" operator="containsText" text="SIN FACTURA">
      <formula>NOT(ISERROR(SEARCH("SIN FACTURA",C29)))</formula>
    </cfRule>
  </conditionalFormatting>
  <conditionalFormatting sqref="A9:B9">
    <cfRule type="containsText" dxfId="1513" priority="15" operator="containsText" text="SIN FACTURA">
      <formula>NOT(ISERROR(SEARCH("SIN FACTURA",A9)))</formula>
    </cfRule>
  </conditionalFormatting>
  <conditionalFormatting sqref="A11:B11">
    <cfRule type="containsText" dxfId="1512" priority="14" operator="containsText" text="SIN FACTURA">
      <formula>NOT(ISERROR(SEARCH("SIN FACTURA",A11)))</formula>
    </cfRule>
  </conditionalFormatting>
  <conditionalFormatting sqref="A13:B13">
    <cfRule type="containsText" dxfId="1511" priority="13" operator="containsText" text="SIN FACTURA">
      <formula>NOT(ISERROR(SEARCH("SIN FACTURA",A13)))</formula>
    </cfRule>
  </conditionalFormatting>
  <conditionalFormatting sqref="A15:B15">
    <cfRule type="containsText" dxfId="1510" priority="12" operator="containsText" text="SIN FACTURA">
      <formula>NOT(ISERROR(SEARCH("SIN FACTURA",A15)))</formula>
    </cfRule>
  </conditionalFormatting>
  <conditionalFormatting sqref="A17:B17">
    <cfRule type="containsText" dxfId="1509" priority="11" operator="containsText" text="SIN FACTURA">
      <formula>NOT(ISERROR(SEARCH("SIN FACTURA",A17)))</formula>
    </cfRule>
  </conditionalFormatting>
  <conditionalFormatting sqref="A19:B19">
    <cfRule type="containsText" dxfId="1508" priority="10" operator="containsText" text="SIN FACTURA">
      <formula>NOT(ISERROR(SEARCH("SIN FACTURA",A19)))</formula>
    </cfRule>
  </conditionalFormatting>
  <conditionalFormatting sqref="A21:B21">
    <cfRule type="containsText" dxfId="1507" priority="9" operator="containsText" text="SIN FACTURA">
      <formula>NOT(ISERROR(SEARCH("SIN FACTURA",A21)))</formula>
    </cfRule>
  </conditionalFormatting>
  <conditionalFormatting sqref="A23:B23">
    <cfRule type="containsText" dxfId="1506" priority="8" operator="containsText" text="SIN FACTURA">
      <formula>NOT(ISERROR(SEARCH("SIN FACTURA",A23)))</formula>
    </cfRule>
  </conditionalFormatting>
  <conditionalFormatting sqref="A25:B25">
    <cfRule type="containsText" dxfId="1505" priority="7" operator="containsText" text="SIN FACTURA">
      <formula>NOT(ISERROR(SEARCH("SIN FACTURA",A25)))</formula>
    </cfRule>
  </conditionalFormatting>
  <conditionalFormatting sqref="A27:B27">
    <cfRule type="containsText" dxfId="1504" priority="6" operator="containsText" text="SIN FACTURA">
      <formula>NOT(ISERROR(SEARCH("SIN FACTURA",A27)))</formula>
    </cfRule>
  </conditionalFormatting>
  <pageMargins left="0.75" right="0.75" top="1" bottom="1" header="0.5" footer="0.5"/>
  <pageSetup paperSize="9" orientation="portrait"/>
</worksheet>
</file>

<file path=xl/worksheets/sheet114.xml><?xml version="1.0" encoding="utf-8"?>
<worksheet xmlns="http://schemas.openxmlformats.org/spreadsheetml/2006/main" xmlns:r="http://schemas.openxmlformats.org/officeDocument/2006/relationships">
  <sheetPr codeName="Hoja177"/>
  <dimension ref="A1:Y26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5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4">
        <v>296</v>
      </c>
      <c r="B1" s="15" t="s">
        <v>75</v>
      </c>
      <c r="C1" s="1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6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25" si="0">F5-G5-H5</f>
        <v>0</v>
      </c>
      <c r="J5" s="44">
        <f t="shared" ref="J5:J25" si="1">S5+T5</f>
        <v>0</v>
      </c>
      <c r="K5" s="44">
        <f t="shared" ref="K5:K25" si="2">I5-J5</f>
        <v>0</v>
      </c>
      <c r="L5" s="45"/>
      <c r="M5" s="40"/>
      <c r="N5" s="43">
        <f t="shared" ref="N5:N25" si="3">I5-J5-M5-R5</f>
        <v>0</v>
      </c>
      <c r="O5" s="43">
        <f t="shared" ref="O5:O25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  <c r="U10" s="6"/>
      <c r="V10" s="6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318" priority="55" operator="containsText" text="SIN FACTURA ">
      <formula>NOT(ISERROR(SEARCH("SIN FACTURA ",A2)))</formula>
    </cfRule>
  </conditionalFormatting>
  <conditionalFormatting sqref="A4:T4 I5:I26 J5:T7 A5:H7">
    <cfRule type="containsText" dxfId="1317" priority="54" operator="containsText" text="SIN FACTURA">
      <formula>NOT(ISERROR(SEARCH("SIN FACTURA",A4)))</formula>
    </cfRule>
  </conditionalFormatting>
  <conditionalFormatting sqref="J25:T25 J23:T23 J21:T21 J19:T19 J17:T17 J15:T15 J13:T13 J11:T11 J9:T9 A9:H9 A11:H11 A13:H13 A15:H15 A17:H17 A19:H19 A21:H21 A23:H23 A25:H25">
    <cfRule type="containsText" dxfId="1316" priority="21" operator="containsText" text="SIN FACTURA">
      <formula>NOT(ISERROR(SEARCH("SIN FACTURA",A9)))</formula>
    </cfRule>
  </conditionalFormatting>
  <conditionalFormatting sqref="C8:H8 J8:V8">
    <cfRule type="containsText" dxfId="1315" priority="20" operator="containsText" text="SIN FACTURA">
      <formula>NOT(ISERROR(SEARCH("SIN FACTURA",C8)))</formula>
    </cfRule>
  </conditionalFormatting>
  <conditionalFormatting sqref="C10:H10 J10:V10">
    <cfRule type="containsText" dxfId="1314" priority="19" operator="containsText" text="SIN FACTURA">
      <formula>NOT(ISERROR(SEARCH("SIN FACTURA",C10)))</formula>
    </cfRule>
  </conditionalFormatting>
  <conditionalFormatting sqref="C12:H12 J12:V12">
    <cfRule type="containsText" dxfId="1313" priority="18" operator="containsText" text="SIN FACTURA">
      <formula>NOT(ISERROR(SEARCH("SIN FACTURA",C12)))</formula>
    </cfRule>
  </conditionalFormatting>
  <conditionalFormatting sqref="C14:H14 J14:V14">
    <cfRule type="containsText" dxfId="1312" priority="17" operator="containsText" text="SIN FACTURA">
      <formula>NOT(ISERROR(SEARCH("SIN FACTURA",C14)))</formula>
    </cfRule>
  </conditionalFormatting>
  <conditionalFormatting sqref="C16:H16 J16:V16">
    <cfRule type="containsText" dxfId="1311" priority="16" operator="containsText" text="SIN FACTURA">
      <formula>NOT(ISERROR(SEARCH("SIN FACTURA",C16)))</formula>
    </cfRule>
  </conditionalFormatting>
  <conditionalFormatting sqref="C18:H18 J18:V18">
    <cfRule type="containsText" dxfId="1310" priority="15" operator="containsText" text="SIN FACTURA">
      <formula>NOT(ISERROR(SEARCH("SIN FACTURA",C18)))</formula>
    </cfRule>
  </conditionalFormatting>
  <conditionalFormatting sqref="C20:H20 J20:V20">
    <cfRule type="containsText" dxfId="1309" priority="14" operator="containsText" text="SIN FACTURA">
      <formula>NOT(ISERROR(SEARCH("SIN FACTURA",C20)))</formula>
    </cfRule>
  </conditionalFormatting>
  <conditionalFormatting sqref="C22:H22 J22:V22">
    <cfRule type="containsText" dxfId="1308" priority="13" operator="containsText" text="SIN FACTURA">
      <formula>NOT(ISERROR(SEARCH("SIN FACTURA",C22)))</formula>
    </cfRule>
  </conditionalFormatting>
  <conditionalFormatting sqref="C24:H24 J24:V24">
    <cfRule type="containsText" dxfId="1307" priority="12" operator="containsText" text="SIN FACTURA">
      <formula>NOT(ISERROR(SEARCH("SIN FACTURA",C24)))</formula>
    </cfRule>
  </conditionalFormatting>
  <conditionalFormatting sqref="C26:H26 J26:V26">
    <cfRule type="containsText" dxfId="1306" priority="11" operator="containsText" text="SIN FACTURA">
      <formula>NOT(ISERROR(SEARCH("SIN FACTURA",C26)))</formula>
    </cfRule>
  </conditionalFormatting>
  <conditionalFormatting sqref="A8:B8">
    <cfRule type="containsText" dxfId="1305" priority="10" operator="containsText" text="SIN FACTURA">
      <formula>NOT(ISERROR(SEARCH("SIN FACTURA",A8)))</formula>
    </cfRule>
  </conditionalFormatting>
  <conditionalFormatting sqref="A10:B10">
    <cfRule type="containsText" dxfId="1304" priority="9" operator="containsText" text="SIN FACTURA">
      <formula>NOT(ISERROR(SEARCH("SIN FACTURA",A10)))</formula>
    </cfRule>
  </conditionalFormatting>
  <conditionalFormatting sqref="A12:B12">
    <cfRule type="containsText" dxfId="1303" priority="8" operator="containsText" text="SIN FACTURA">
      <formula>NOT(ISERROR(SEARCH("SIN FACTURA",A12)))</formula>
    </cfRule>
  </conditionalFormatting>
  <conditionalFormatting sqref="A14:B14">
    <cfRule type="containsText" dxfId="1302" priority="7" operator="containsText" text="SIN FACTURA">
      <formula>NOT(ISERROR(SEARCH("SIN FACTURA",A14)))</formula>
    </cfRule>
  </conditionalFormatting>
  <conditionalFormatting sqref="A16:B16">
    <cfRule type="containsText" dxfId="1301" priority="6" operator="containsText" text="SIN FACTURA">
      <formula>NOT(ISERROR(SEARCH("SIN FACTURA",A16)))</formula>
    </cfRule>
  </conditionalFormatting>
  <conditionalFormatting sqref="A18:B18">
    <cfRule type="containsText" dxfId="1300" priority="5" operator="containsText" text="SIN FACTURA">
      <formula>NOT(ISERROR(SEARCH("SIN FACTURA",A18)))</formula>
    </cfRule>
  </conditionalFormatting>
  <conditionalFormatting sqref="A20:B20">
    <cfRule type="containsText" dxfId="1299" priority="4" operator="containsText" text="SIN FACTURA">
      <formula>NOT(ISERROR(SEARCH("SIN FACTURA",A20)))</formula>
    </cfRule>
  </conditionalFormatting>
  <conditionalFormatting sqref="A22:B22">
    <cfRule type="containsText" dxfId="1298" priority="3" operator="containsText" text="SIN FACTURA">
      <formula>NOT(ISERROR(SEARCH("SIN FACTURA",A22)))</formula>
    </cfRule>
  </conditionalFormatting>
  <conditionalFormatting sqref="A24:B24">
    <cfRule type="containsText" dxfId="1297" priority="2" operator="containsText" text="SIN FACTURA">
      <formula>NOT(ISERROR(SEARCH("SIN FACTURA",A24)))</formula>
    </cfRule>
  </conditionalFormatting>
  <conditionalFormatting sqref="A26:B26">
    <cfRule type="containsText" dxfId="1296" priority="1" operator="containsText" text="SIN FACTURA">
      <formula>NOT(ISERROR(SEARCH("SIN FACTURA",A26)))</formula>
    </cfRule>
  </conditionalFormatting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>
  <sheetPr codeName="Hoja137"/>
  <dimension ref="A1:Y35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/>
      <c r="B1" s="18" t="s">
        <v>145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5" si="0">F5-G5-H5</f>
        <v>0</v>
      </c>
      <c r="J5" s="44">
        <f t="shared" ref="J5:J35" si="1">S5+T5</f>
        <v>0</v>
      </c>
      <c r="K5" s="44">
        <f t="shared" ref="K5:K35" si="2">I5-J5</f>
        <v>0</v>
      </c>
      <c r="L5" s="45"/>
      <c r="M5" s="40"/>
      <c r="N5" s="43">
        <f t="shared" ref="N5:N35" si="3">I5-J5-M5-R5</f>
        <v>0</v>
      </c>
      <c r="O5" s="43">
        <f t="shared" ref="O5:O35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 t="shared" si="2"/>
        <v>0</v>
      </c>
      <c r="L9" s="45"/>
      <c r="M9" s="40"/>
      <c r="N9" s="43">
        <f>I9-J9-M9-R9</f>
        <v>0</v>
      </c>
      <c r="O9" s="43">
        <f>R9+S9+T9</f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50"/>
      <c r="B35" s="51"/>
      <c r="C35" s="52"/>
      <c r="D35" s="50"/>
      <c r="E35" s="50"/>
      <c r="F35" s="50"/>
      <c r="G35" s="43">
        <f>F35*6%</f>
        <v>0</v>
      </c>
      <c r="H35" s="53"/>
      <c r="I35" s="78">
        <f t="shared" si="0"/>
        <v>0</v>
      </c>
      <c r="J35" s="54">
        <f t="shared" si="1"/>
        <v>0</v>
      </c>
      <c r="K35" s="54">
        <f t="shared" si="2"/>
        <v>0</v>
      </c>
      <c r="L35" s="55"/>
      <c r="M35" s="50"/>
      <c r="N35" s="53">
        <f t="shared" si="3"/>
        <v>0</v>
      </c>
      <c r="O35" s="53">
        <f t="shared" si="4"/>
        <v>0</v>
      </c>
      <c r="P35" s="56"/>
      <c r="Q35" s="50"/>
      <c r="R35" s="50"/>
      <c r="S35" s="50"/>
      <c r="T35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295" priority="26" operator="containsText" text="SIN FACTURA ">
      <formula>NOT(ISERROR(SEARCH("SIN FACTURA ",A2)))</formula>
    </cfRule>
  </conditionalFormatting>
  <conditionalFormatting sqref="J35:T35 J33:T33 J31:T31 J29:T29 J27:T27 J25:T25 J23:T23 J21:T21 J19:T19 J17:T17 J15:T15 J5:T13 A5:H13 A15:H15 A17:H17 A19:H19 A21:H21 A23:H23 A25:H25 A27:H27 A29:H29 A31:H31 A33:H33 A35:H35 A4:T4 I5:I35">
    <cfRule type="containsText" dxfId="1294" priority="25" operator="containsText" text="SIN FACTURA">
      <formula>NOT(ISERROR(SEARCH("SIN FACTURA",A4)))</formula>
    </cfRule>
  </conditionalFormatting>
  <conditionalFormatting sqref="C14:H14 J14:V14">
    <cfRule type="containsText" dxfId="1293" priority="23" operator="containsText" text="SIN FACTURA">
      <formula>NOT(ISERROR(SEARCH("SIN FACTURA",C14)))</formula>
    </cfRule>
  </conditionalFormatting>
  <conditionalFormatting sqref="C16:H16 J16:V16">
    <cfRule type="containsText" dxfId="1292" priority="22" operator="containsText" text="SIN FACTURA">
      <formula>NOT(ISERROR(SEARCH("SIN FACTURA",C16)))</formula>
    </cfRule>
  </conditionalFormatting>
  <conditionalFormatting sqref="C18:H18 J18:V18">
    <cfRule type="containsText" dxfId="1291" priority="21" operator="containsText" text="SIN FACTURA">
      <formula>NOT(ISERROR(SEARCH("SIN FACTURA",C18)))</formula>
    </cfRule>
  </conditionalFormatting>
  <conditionalFormatting sqref="C20:H20 J20:V20">
    <cfRule type="containsText" dxfId="1290" priority="20" operator="containsText" text="SIN FACTURA">
      <formula>NOT(ISERROR(SEARCH("SIN FACTURA",C20)))</formula>
    </cfRule>
  </conditionalFormatting>
  <conditionalFormatting sqref="C22:H22 J22:V22">
    <cfRule type="containsText" dxfId="1289" priority="19" operator="containsText" text="SIN FACTURA">
      <formula>NOT(ISERROR(SEARCH("SIN FACTURA",C22)))</formula>
    </cfRule>
  </conditionalFormatting>
  <conditionalFormatting sqref="C24:H24 J24:V24">
    <cfRule type="containsText" dxfId="1288" priority="18" operator="containsText" text="SIN FACTURA">
      <formula>NOT(ISERROR(SEARCH("SIN FACTURA",C24)))</formula>
    </cfRule>
  </conditionalFormatting>
  <conditionalFormatting sqref="C26:H26 J26:V26">
    <cfRule type="containsText" dxfId="1287" priority="17" operator="containsText" text="SIN FACTURA">
      <formula>NOT(ISERROR(SEARCH("SIN FACTURA",C26)))</formula>
    </cfRule>
  </conditionalFormatting>
  <conditionalFormatting sqref="C28:H28 J28:V28">
    <cfRule type="containsText" dxfId="1286" priority="16" operator="containsText" text="SIN FACTURA">
      <formula>NOT(ISERROR(SEARCH("SIN FACTURA",C28)))</formula>
    </cfRule>
  </conditionalFormatting>
  <conditionalFormatting sqref="C30:H30 J30:V30">
    <cfRule type="containsText" dxfId="1285" priority="15" operator="containsText" text="SIN FACTURA">
      <formula>NOT(ISERROR(SEARCH("SIN FACTURA",C30)))</formula>
    </cfRule>
  </conditionalFormatting>
  <conditionalFormatting sqref="C32:H32 J32:V32">
    <cfRule type="containsText" dxfId="1284" priority="14" operator="containsText" text="SIN FACTURA">
      <formula>NOT(ISERROR(SEARCH("SIN FACTURA",C32)))</formula>
    </cfRule>
  </conditionalFormatting>
  <conditionalFormatting sqref="C34:H34 J34:V34">
    <cfRule type="containsText" dxfId="1283" priority="13" operator="containsText" text="SIN FACTURA">
      <formula>NOT(ISERROR(SEARCH("SIN FACTURA",C34)))</formula>
    </cfRule>
  </conditionalFormatting>
  <conditionalFormatting sqref="A14:B14">
    <cfRule type="containsText" dxfId="1282" priority="11" operator="containsText" text="SIN FACTURA">
      <formula>NOT(ISERROR(SEARCH("SIN FACTURA",A14)))</formula>
    </cfRule>
  </conditionalFormatting>
  <conditionalFormatting sqref="A16:B16">
    <cfRule type="containsText" dxfId="1281" priority="10" operator="containsText" text="SIN FACTURA">
      <formula>NOT(ISERROR(SEARCH("SIN FACTURA",A16)))</formula>
    </cfRule>
  </conditionalFormatting>
  <conditionalFormatting sqref="A18:B18">
    <cfRule type="containsText" dxfId="1280" priority="9" operator="containsText" text="SIN FACTURA">
      <formula>NOT(ISERROR(SEARCH("SIN FACTURA",A18)))</formula>
    </cfRule>
  </conditionalFormatting>
  <conditionalFormatting sqref="A20:B20">
    <cfRule type="containsText" dxfId="1279" priority="8" operator="containsText" text="SIN FACTURA">
      <formula>NOT(ISERROR(SEARCH("SIN FACTURA",A20)))</formula>
    </cfRule>
  </conditionalFormatting>
  <conditionalFormatting sqref="A22:B22">
    <cfRule type="containsText" dxfId="1278" priority="7" operator="containsText" text="SIN FACTURA">
      <formula>NOT(ISERROR(SEARCH("SIN FACTURA",A22)))</formula>
    </cfRule>
  </conditionalFormatting>
  <conditionalFormatting sqref="A34:B34">
    <cfRule type="containsText" dxfId="1277" priority="1" operator="containsText" text="SIN FACTURA">
      <formula>NOT(ISERROR(SEARCH("SIN FACTURA",A34)))</formula>
    </cfRule>
  </conditionalFormatting>
  <conditionalFormatting sqref="A24:B24">
    <cfRule type="containsText" dxfId="1276" priority="6" operator="containsText" text="SIN FACTURA">
      <formula>NOT(ISERROR(SEARCH("SIN FACTURA",A24)))</formula>
    </cfRule>
  </conditionalFormatting>
  <conditionalFormatting sqref="A26:B26">
    <cfRule type="containsText" dxfId="1275" priority="5" operator="containsText" text="SIN FACTURA">
      <formula>NOT(ISERROR(SEARCH("SIN FACTURA",A26)))</formula>
    </cfRule>
  </conditionalFormatting>
  <conditionalFormatting sqref="A28:B28">
    <cfRule type="containsText" dxfId="1274" priority="4" operator="containsText" text="SIN FACTURA">
      <formula>NOT(ISERROR(SEARCH("SIN FACTURA",A28)))</formula>
    </cfRule>
  </conditionalFormatting>
  <conditionalFormatting sqref="A30:B30">
    <cfRule type="containsText" dxfId="1273" priority="3" operator="containsText" text="SIN FACTURA">
      <formula>NOT(ISERROR(SEARCH("SIN FACTURA",A30)))</formula>
    </cfRule>
  </conditionalFormatting>
  <conditionalFormatting sqref="A32:B32">
    <cfRule type="containsText" dxfId="1272" priority="2" operator="containsText" text="SIN FACTURA">
      <formula>NOT(ISERROR(SEARCH("SIN FACTURA",A32)))</formula>
    </cfRule>
  </conditionalFormatting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>
  <sheetPr codeName="Hoja140"/>
  <dimension ref="A1:Y41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12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158</v>
      </c>
      <c r="B1" s="18"/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1" si="0">F5-G5-H5</f>
        <v>0</v>
      </c>
      <c r="J5" s="44">
        <f t="shared" ref="J5:J41" si="1">S5+T5</f>
        <v>0</v>
      </c>
      <c r="K5" s="44">
        <f t="shared" ref="K5:K41" si="2">I5-J5</f>
        <v>0</v>
      </c>
      <c r="L5" s="45"/>
      <c r="M5" s="40"/>
      <c r="N5" s="43">
        <f t="shared" ref="N5:N41" si="3">I5-J5-M5-R5</f>
        <v>0</v>
      </c>
      <c r="O5" s="43">
        <f t="shared" ref="O5:O41" si="4">R5+S5+T5</f>
        <v>0</v>
      </c>
      <c r="P5" s="46"/>
      <c r="Q5" s="40"/>
      <c r="R5" s="43"/>
      <c r="S5" s="43"/>
      <c r="T5" s="49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>I7-J7</f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>S15+T15</f>
        <v>0</v>
      </c>
      <c r="K15" s="44">
        <f t="shared" si="2"/>
        <v>0</v>
      </c>
      <c r="L15" s="45"/>
      <c r="M15" s="40"/>
      <c r="N15" s="43">
        <f>I15-J15-M15-R15</f>
        <v>0</v>
      </c>
      <c r="O15" s="43">
        <f>R15+S15+T15</f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50"/>
      <c r="B41" s="51"/>
      <c r="C41" s="52"/>
      <c r="D41" s="50"/>
      <c r="E41" s="50"/>
      <c r="F41" s="50"/>
      <c r="G41" s="43">
        <f>F41*6%</f>
        <v>0</v>
      </c>
      <c r="H41" s="53"/>
      <c r="I41" s="78">
        <f t="shared" si="0"/>
        <v>0</v>
      </c>
      <c r="J41" s="54">
        <f t="shared" si="1"/>
        <v>0</v>
      </c>
      <c r="K41" s="54">
        <f t="shared" si="2"/>
        <v>0</v>
      </c>
      <c r="L41" s="55"/>
      <c r="M41" s="50"/>
      <c r="N41" s="53">
        <f t="shared" si="3"/>
        <v>0</v>
      </c>
      <c r="O41" s="53">
        <f t="shared" si="4"/>
        <v>0</v>
      </c>
      <c r="P41" s="56"/>
      <c r="Q41" s="50"/>
      <c r="R41" s="50"/>
      <c r="S41" s="50"/>
      <c r="T41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271" priority="26" operator="containsText" text="SIN FACTURA ">
      <formula>NOT(ISERROR(SEARCH("SIN FACTURA ",A2)))</formula>
    </cfRule>
  </conditionalFormatting>
  <conditionalFormatting sqref="J41:T41 J39:T39 J37:T37 J35:T35 J33:T33 J31:T31 J29:T29 J27:T27 J25:T25 J23:T23 J21:T21 J11:T19 A11:H19 A21:H21 A23:H23 A25:H25 A27:H27 A29:H29 A31:H31 A33:H33 A35:H35 A37:H37 A39:H39 A41:H41 J5:T9 I5:I41 A5:H9 A4:T4">
    <cfRule type="containsText" dxfId="1270" priority="25" operator="containsText" text="SIN FACTURA">
      <formula>NOT(ISERROR(SEARCH("SIN FACTURA",A4)))</formula>
    </cfRule>
  </conditionalFormatting>
  <conditionalFormatting sqref="C10:H10 J10:V10">
    <cfRule type="containsText" dxfId="1269" priority="24" operator="containsText" text="SIN FACTURA">
      <formula>NOT(ISERROR(SEARCH("SIN FACTURA",C10)))</formula>
    </cfRule>
  </conditionalFormatting>
  <conditionalFormatting sqref="C20:H20 J20:V20">
    <cfRule type="containsText" dxfId="1268" priority="23" operator="containsText" text="SIN FACTURA">
      <formula>NOT(ISERROR(SEARCH("SIN FACTURA",C20)))</formula>
    </cfRule>
  </conditionalFormatting>
  <conditionalFormatting sqref="C22:H22 J22:V22">
    <cfRule type="containsText" dxfId="1267" priority="22" operator="containsText" text="SIN FACTURA">
      <formula>NOT(ISERROR(SEARCH("SIN FACTURA",C22)))</formula>
    </cfRule>
  </conditionalFormatting>
  <conditionalFormatting sqref="C24:H24 J24:V24">
    <cfRule type="containsText" dxfId="1266" priority="21" operator="containsText" text="SIN FACTURA">
      <formula>NOT(ISERROR(SEARCH("SIN FACTURA",C24)))</formula>
    </cfRule>
  </conditionalFormatting>
  <conditionalFormatting sqref="C26:H26 J26:V26">
    <cfRule type="containsText" dxfId="1265" priority="20" operator="containsText" text="SIN FACTURA">
      <formula>NOT(ISERROR(SEARCH("SIN FACTURA",C26)))</formula>
    </cfRule>
  </conditionalFormatting>
  <conditionalFormatting sqref="C28:H28 J28:V28">
    <cfRule type="containsText" dxfId="1264" priority="19" operator="containsText" text="SIN FACTURA">
      <formula>NOT(ISERROR(SEARCH("SIN FACTURA",C28)))</formula>
    </cfRule>
  </conditionalFormatting>
  <conditionalFormatting sqref="C30:H30 J30:V30">
    <cfRule type="containsText" dxfId="1263" priority="18" operator="containsText" text="SIN FACTURA">
      <formula>NOT(ISERROR(SEARCH("SIN FACTURA",C30)))</formula>
    </cfRule>
  </conditionalFormatting>
  <conditionalFormatting sqref="C32:H32 J32:V32">
    <cfRule type="containsText" dxfId="1262" priority="17" operator="containsText" text="SIN FACTURA">
      <formula>NOT(ISERROR(SEARCH("SIN FACTURA",C32)))</formula>
    </cfRule>
  </conditionalFormatting>
  <conditionalFormatting sqref="C34:H34 J34:V34">
    <cfRule type="containsText" dxfId="1261" priority="16" operator="containsText" text="SIN FACTURA">
      <formula>NOT(ISERROR(SEARCH("SIN FACTURA",C34)))</formula>
    </cfRule>
  </conditionalFormatting>
  <conditionalFormatting sqref="C36:H36 J36:V36">
    <cfRule type="containsText" dxfId="1260" priority="15" operator="containsText" text="SIN FACTURA">
      <formula>NOT(ISERROR(SEARCH("SIN FACTURA",C36)))</formula>
    </cfRule>
  </conditionalFormatting>
  <conditionalFormatting sqref="C38:H38 J38:V38">
    <cfRule type="containsText" dxfId="1259" priority="14" operator="containsText" text="SIN FACTURA">
      <formula>NOT(ISERROR(SEARCH("SIN FACTURA",C38)))</formula>
    </cfRule>
  </conditionalFormatting>
  <conditionalFormatting sqref="C40:H40 J40:V40">
    <cfRule type="containsText" dxfId="1258" priority="13" operator="containsText" text="SIN FACTURA">
      <formula>NOT(ISERROR(SEARCH("SIN FACTURA",C40)))</formula>
    </cfRule>
  </conditionalFormatting>
  <conditionalFormatting sqref="A10:B10">
    <cfRule type="containsText" dxfId="1257" priority="12" operator="containsText" text="SIN FACTURA">
      <formula>NOT(ISERROR(SEARCH("SIN FACTURA",A10)))</formula>
    </cfRule>
  </conditionalFormatting>
  <conditionalFormatting sqref="A20:B20">
    <cfRule type="containsText" dxfId="1256" priority="11" operator="containsText" text="SIN FACTURA">
      <formula>NOT(ISERROR(SEARCH("SIN FACTURA",A20)))</formula>
    </cfRule>
  </conditionalFormatting>
  <conditionalFormatting sqref="A22:B22">
    <cfRule type="containsText" dxfId="1255" priority="10" operator="containsText" text="SIN FACTURA">
      <formula>NOT(ISERROR(SEARCH("SIN FACTURA",A22)))</formula>
    </cfRule>
  </conditionalFormatting>
  <conditionalFormatting sqref="A24:B24">
    <cfRule type="containsText" dxfId="1254" priority="9" operator="containsText" text="SIN FACTURA">
      <formula>NOT(ISERROR(SEARCH("SIN FACTURA",A24)))</formula>
    </cfRule>
  </conditionalFormatting>
  <conditionalFormatting sqref="A26:B26">
    <cfRule type="containsText" dxfId="1253" priority="8" operator="containsText" text="SIN FACTURA">
      <formula>NOT(ISERROR(SEARCH("SIN FACTURA",A26)))</formula>
    </cfRule>
  </conditionalFormatting>
  <conditionalFormatting sqref="A28:B28">
    <cfRule type="containsText" dxfId="1252" priority="7" operator="containsText" text="SIN FACTURA">
      <formula>NOT(ISERROR(SEARCH("SIN FACTURA",A28)))</formula>
    </cfRule>
  </conditionalFormatting>
  <conditionalFormatting sqref="A40:B40">
    <cfRule type="containsText" dxfId="1251" priority="1" operator="containsText" text="SIN FACTURA">
      <formula>NOT(ISERROR(SEARCH("SIN FACTURA",A40)))</formula>
    </cfRule>
  </conditionalFormatting>
  <conditionalFormatting sqref="A30:B30">
    <cfRule type="containsText" dxfId="1250" priority="6" operator="containsText" text="SIN FACTURA">
      <formula>NOT(ISERROR(SEARCH("SIN FACTURA",A30)))</formula>
    </cfRule>
  </conditionalFormatting>
  <conditionalFormatting sqref="A32:B32">
    <cfRule type="containsText" dxfId="1249" priority="5" operator="containsText" text="SIN FACTURA">
      <formula>NOT(ISERROR(SEARCH("SIN FACTURA",A32)))</formula>
    </cfRule>
  </conditionalFormatting>
  <conditionalFormatting sqref="A34:B34">
    <cfRule type="containsText" dxfId="1248" priority="4" operator="containsText" text="SIN FACTURA">
      <formula>NOT(ISERROR(SEARCH("SIN FACTURA",A34)))</formula>
    </cfRule>
  </conditionalFormatting>
  <conditionalFormatting sqref="A36:B36">
    <cfRule type="containsText" dxfId="1247" priority="3" operator="containsText" text="SIN FACTURA">
      <formula>NOT(ISERROR(SEARCH("SIN FACTURA",A36)))</formula>
    </cfRule>
  </conditionalFormatting>
  <conditionalFormatting sqref="A38:B38">
    <cfRule type="containsText" dxfId="1246" priority="2" operator="containsText" text="SIN FACTURA">
      <formula>NOT(ISERROR(SEARCH("SIN FACTURA",A38)))</formula>
    </cfRule>
  </conditionalFormatting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>
  <sheetPr codeName="Hoja143"/>
  <dimension ref="A1:Y41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11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213</v>
      </c>
      <c r="B1" s="18"/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1" si="0">F5-G5-H5</f>
        <v>0</v>
      </c>
      <c r="J5" s="44">
        <f t="shared" ref="J5:J41" si="1">S5+T5</f>
        <v>0</v>
      </c>
      <c r="K5" s="44">
        <f t="shared" ref="K5:K41" si="2">I5-J5</f>
        <v>0</v>
      </c>
      <c r="L5" s="45"/>
      <c r="M5" s="40"/>
      <c r="N5" s="43">
        <f t="shared" ref="N5:N41" si="3">I5-J5-M5-R5</f>
        <v>0</v>
      </c>
      <c r="O5" s="43">
        <f t="shared" ref="O5:O41" si="4">R5+S5+T5</f>
        <v>0</v>
      </c>
      <c r="P5" s="46"/>
      <c r="Q5" s="40"/>
      <c r="R5" s="43"/>
      <c r="S5" s="43"/>
      <c r="T5" s="49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>I7-J7</f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>S15+T15</f>
        <v>0</v>
      </c>
      <c r="K15" s="44">
        <f t="shared" si="2"/>
        <v>0</v>
      </c>
      <c r="L15" s="45"/>
      <c r="M15" s="40"/>
      <c r="N15" s="43">
        <f>I15-J15-M15-R15</f>
        <v>0</v>
      </c>
      <c r="O15" s="43">
        <f>R15+S15+T15</f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50"/>
      <c r="B41" s="51"/>
      <c r="C41" s="52"/>
      <c r="D41" s="50"/>
      <c r="E41" s="50"/>
      <c r="F41" s="50"/>
      <c r="G41" s="43">
        <f>F41*6%</f>
        <v>0</v>
      </c>
      <c r="H41" s="53"/>
      <c r="I41" s="78">
        <f t="shared" si="0"/>
        <v>0</v>
      </c>
      <c r="J41" s="54">
        <f t="shared" si="1"/>
        <v>0</v>
      </c>
      <c r="K41" s="54">
        <f t="shared" si="2"/>
        <v>0</v>
      </c>
      <c r="L41" s="55"/>
      <c r="M41" s="50"/>
      <c r="N41" s="53">
        <f t="shared" si="3"/>
        <v>0</v>
      </c>
      <c r="O41" s="53">
        <f t="shared" si="4"/>
        <v>0</v>
      </c>
      <c r="P41" s="56"/>
      <c r="Q41" s="50"/>
      <c r="R41" s="50"/>
      <c r="S41" s="50"/>
      <c r="T41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245" priority="26" operator="containsText" text="SIN FACTURA ">
      <formula>NOT(ISERROR(SEARCH("SIN FACTURA ",A2)))</formula>
    </cfRule>
  </conditionalFormatting>
  <conditionalFormatting sqref="J41:T41 J39:T39 J37:T37 J35:T35 J33:T33 J31:T31 J29:T29 J27:T27 J25:T25 J23:T23 J21:T21 J11:T19 A11:H19 A21:H21 A23:H23 A25:H25 A27:H27 A29:H29 A31:H31 A33:H33 A35:H35 A37:H37 A39:H39 A41:H41 I5:I41 A4:T4 A5:H9 J5:T9">
    <cfRule type="containsText" dxfId="1244" priority="25" operator="containsText" text="SIN FACTURA">
      <formula>NOT(ISERROR(SEARCH("SIN FACTURA",A4)))</formula>
    </cfRule>
  </conditionalFormatting>
  <conditionalFormatting sqref="C10:H10 J10:V10">
    <cfRule type="containsText" dxfId="1243" priority="24" operator="containsText" text="SIN FACTURA">
      <formula>NOT(ISERROR(SEARCH("SIN FACTURA",C10)))</formula>
    </cfRule>
  </conditionalFormatting>
  <conditionalFormatting sqref="C20:H20 J20:V20">
    <cfRule type="containsText" dxfId="1242" priority="23" operator="containsText" text="SIN FACTURA">
      <formula>NOT(ISERROR(SEARCH("SIN FACTURA",C20)))</formula>
    </cfRule>
  </conditionalFormatting>
  <conditionalFormatting sqref="C22:H22 J22:V22">
    <cfRule type="containsText" dxfId="1241" priority="22" operator="containsText" text="SIN FACTURA">
      <formula>NOT(ISERROR(SEARCH("SIN FACTURA",C22)))</formula>
    </cfRule>
  </conditionalFormatting>
  <conditionalFormatting sqref="C24:H24 J24:V24">
    <cfRule type="containsText" dxfId="1240" priority="21" operator="containsText" text="SIN FACTURA">
      <formula>NOT(ISERROR(SEARCH("SIN FACTURA",C24)))</formula>
    </cfRule>
  </conditionalFormatting>
  <conditionalFormatting sqref="C26:H26 J26:V26">
    <cfRule type="containsText" dxfId="1239" priority="20" operator="containsText" text="SIN FACTURA">
      <formula>NOT(ISERROR(SEARCH("SIN FACTURA",C26)))</formula>
    </cfRule>
  </conditionalFormatting>
  <conditionalFormatting sqref="C28:H28 J28:V28">
    <cfRule type="containsText" dxfId="1238" priority="19" operator="containsText" text="SIN FACTURA">
      <formula>NOT(ISERROR(SEARCH("SIN FACTURA",C28)))</formula>
    </cfRule>
  </conditionalFormatting>
  <conditionalFormatting sqref="C30:H30 J30:V30">
    <cfRule type="containsText" dxfId="1237" priority="18" operator="containsText" text="SIN FACTURA">
      <formula>NOT(ISERROR(SEARCH("SIN FACTURA",C30)))</formula>
    </cfRule>
  </conditionalFormatting>
  <conditionalFormatting sqref="C32:H32 J32:V32">
    <cfRule type="containsText" dxfId="1236" priority="17" operator="containsText" text="SIN FACTURA">
      <formula>NOT(ISERROR(SEARCH("SIN FACTURA",C32)))</formula>
    </cfRule>
  </conditionalFormatting>
  <conditionalFormatting sqref="C34:H34 J34:V34">
    <cfRule type="containsText" dxfId="1235" priority="16" operator="containsText" text="SIN FACTURA">
      <formula>NOT(ISERROR(SEARCH("SIN FACTURA",C34)))</formula>
    </cfRule>
  </conditionalFormatting>
  <conditionalFormatting sqref="C36:H36 J36:V36">
    <cfRule type="containsText" dxfId="1234" priority="15" operator="containsText" text="SIN FACTURA">
      <formula>NOT(ISERROR(SEARCH("SIN FACTURA",C36)))</formula>
    </cfRule>
  </conditionalFormatting>
  <conditionalFormatting sqref="C38:H38 J38:V38">
    <cfRule type="containsText" dxfId="1233" priority="14" operator="containsText" text="SIN FACTURA">
      <formula>NOT(ISERROR(SEARCH("SIN FACTURA",C38)))</formula>
    </cfRule>
  </conditionalFormatting>
  <conditionalFormatting sqref="C40:H40 J40:V40">
    <cfRule type="containsText" dxfId="1232" priority="13" operator="containsText" text="SIN FACTURA">
      <formula>NOT(ISERROR(SEARCH("SIN FACTURA",C40)))</formula>
    </cfRule>
  </conditionalFormatting>
  <conditionalFormatting sqref="A10:B10">
    <cfRule type="containsText" dxfId="1231" priority="12" operator="containsText" text="SIN FACTURA">
      <formula>NOT(ISERROR(SEARCH("SIN FACTURA",A10)))</formula>
    </cfRule>
  </conditionalFormatting>
  <conditionalFormatting sqref="A20:B20">
    <cfRule type="containsText" dxfId="1230" priority="11" operator="containsText" text="SIN FACTURA">
      <formula>NOT(ISERROR(SEARCH("SIN FACTURA",A20)))</formula>
    </cfRule>
  </conditionalFormatting>
  <conditionalFormatting sqref="A22:B22">
    <cfRule type="containsText" dxfId="1229" priority="10" operator="containsText" text="SIN FACTURA">
      <formula>NOT(ISERROR(SEARCH("SIN FACTURA",A22)))</formula>
    </cfRule>
  </conditionalFormatting>
  <conditionalFormatting sqref="A24:B24">
    <cfRule type="containsText" dxfId="1228" priority="9" operator="containsText" text="SIN FACTURA">
      <formula>NOT(ISERROR(SEARCH("SIN FACTURA",A24)))</formula>
    </cfRule>
  </conditionalFormatting>
  <conditionalFormatting sqref="A26:B26">
    <cfRule type="containsText" dxfId="1227" priority="8" operator="containsText" text="SIN FACTURA">
      <formula>NOT(ISERROR(SEARCH("SIN FACTURA",A26)))</formula>
    </cfRule>
  </conditionalFormatting>
  <conditionalFormatting sqref="A28:B28">
    <cfRule type="containsText" dxfId="1226" priority="7" operator="containsText" text="SIN FACTURA">
      <formula>NOT(ISERROR(SEARCH("SIN FACTURA",A28)))</formula>
    </cfRule>
  </conditionalFormatting>
  <conditionalFormatting sqref="A40:B40">
    <cfRule type="containsText" dxfId="1225" priority="1" operator="containsText" text="SIN FACTURA">
      <formula>NOT(ISERROR(SEARCH("SIN FACTURA",A40)))</formula>
    </cfRule>
  </conditionalFormatting>
  <conditionalFormatting sqref="A30:B30">
    <cfRule type="containsText" dxfId="1224" priority="6" operator="containsText" text="SIN FACTURA">
      <formula>NOT(ISERROR(SEARCH("SIN FACTURA",A30)))</formula>
    </cfRule>
  </conditionalFormatting>
  <conditionalFormatting sqref="A32:B32">
    <cfRule type="containsText" dxfId="1223" priority="5" operator="containsText" text="SIN FACTURA">
      <formula>NOT(ISERROR(SEARCH("SIN FACTURA",A32)))</formula>
    </cfRule>
  </conditionalFormatting>
  <conditionalFormatting sqref="A34:B34">
    <cfRule type="containsText" dxfId="1222" priority="4" operator="containsText" text="SIN FACTURA">
      <formula>NOT(ISERROR(SEARCH("SIN FACTURA",A34)))</formula>
    </cfRule>
  </conditionalFormatting>
  <conditionalFormatting sqref="A36:B36">
    <cfRule type="containsText" dxfId="1221" priority="3" operator="containsText" text="SIN FACTURA">
      <formula>NOT(ISERROR(SEARCH("SIN FACTURA",A36)))</formula>
    </cfRule>
  </conditionalFormatting>
  <conditionalFormatting sqref="A38:B38">
    <cfRule type="containsText" dxfId="1220" priority="2" operator="containsText" text="SIN FACTURA">
      <formula>NOT(ISERROR(SEARCH("SIN FACTURA",A38)))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118.xml><?xml version="1.0" encoding="utf-8"?>
<worksheet xmlns="http://schemas.openxmlformats.org/spreadsheetml/2006/main" xmlns:r="http://schemas.openxmlformats.org/officeDocument/2006/relationships">
  <sheetPr codeName="Hoja52"/>
  <dimension ref="A1:Y37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10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69</v>
      </c>
      <c r="B1" s="18" t="s">
        <v>41</v>
      </c>
      <c r="C1" s="20"/>
      <c r="D1" s="4">
        <v>669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7" si="0">F5-G5-H5</f>
        <v>0</v>
      </c>
      <c r="J5" s="44">
        <f t="shared" ref="J5:J37" si="1">S5+T5</f>
        <v>0</v>
      </c>
      <c r="K5" s="44">
        <f t="shared" ref="K5:K37" si="2">I5-J5</f>
        <v>0</v>
      </c>
      <c r="L5" s="45"/>
      <c r="M5" s="40"/>
      <c r="N5" s="43">
        <f t="shared" ref="N5:N37" si="3">I5-J5-M5-R5</f>
        <v>0</v>
      </c>
      <c r="O5" s="43">
        <f t="shared" ref="O5:O37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2"/>
      <c r="D6" s="33"/>
      <c r="E6" s="34"/>
      <c r="F6" s="32"/>
      <c r="G6" s="32"/>
      <c r="H6" s="32"/>
      <c r="I6" s="37"/>
      <c r="J6" s="37"/>
      <c r="K6" s="35"/>
      <c r="L6" s="35"/>
      <c r="M6" s="35"/>
      <c r="N6" s="36"/>
      <c r="O6" s="32"/>
      <c r="P6" s="37"/>
      <c r="Q6" s="37"/>
      <c r="R6" s="38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>S11+T11</f>
        <v>0</v>
      </c>
      <c r="K11" s="44">
        <f t="shared" si="2"/>
        <v>0</v>
      </c>
      <c r="L11" s="45"/>
      <c r="M11" s="40"/>
      <c r="N11" s="43">
        <f>I11-J11-M11-R11</f>
        <v>0</v>
      </c>
      <c r="O11" s="43">
        <f>R11+S11+T11</f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50"/>
      <c r="B37" s="51"/>
      <c r="C37" s="52"/>
      <c r="D37" s="50"/>
      <c r="E37" s="50"/>
      <c r="F37" s="50"/>
      <c r="G37" s="43">
        <f>F37*6%</f>
        <v>0</v>
      </c>
      <c r="H37" s="53"/>
      <c r="I37" s="44">
        <f t="shared" si="0"/>
        <v>0</v>
      </c>
      <c r="J37" s="54">
        <f t="shared" si="1"/>
        <v>0</v>
      </c>
      <c r="K37" s="54">
        <f t="shared" si="2"/>
        <v>0</v>
      </c>
      <c r="L37" s="55"/>
      <c r="M37" s="50"/>
      <c r="N37" s="53">
        <f t="shared" si="3"/>
        <v>0</v>
      </c>
      <c r="O37" s="53">
        <f t="shared" si="4"/>
        <v>0</v>
      </c>
      <c r="P37" s="56"/>
      <c r="Q37" s="50"/>
      <c r="R37" s="50"/>
      <c r="S37" s="50"/>
      <c r="T37" s="5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1219" priority="28" operator="containsText" text="SIN FACTURA ">
      <formula>NOT(ISERROR(SEARCH("SIN FACTURA ",A2)))</formula>
    </cfRule>
  </conditionalFormatting>
  <conditionalFormatting sqref="J37:T37 J35:T35 J33:T33 J31:T31 J29:T29 J27:T27 J25:T25 J23:T23 J21:T21 J19:T19 J17:T17 J7:T15 J6:V6 J16:V16 J18:V18 J20:V20 J22:V22 J24:V24 J26:V26 J28:V28 J30:V30 J32:V32 J34:V34 J36:V36 A4:T4 J5:T5 A5:I37">
    <cfRule type="containsText" dxfId="1218" priority="2" operator="containsText" text="SIN FACTURA">
      <formula>NOT(ISERROR(SEARCH("SIN FACTURA",A4)))</formula>
    </cfRule>
  </conditionalFormatting>
  <pageMargins left="0.75" right="0.75" top="1" bottom="1" header="0.5" footer="0.5"/>
  <pageSetup paperSize="9" orientation="portrait"/>
</worksheet>
</file>

<file path=xl/worksheets/sheet119.xml><?xml version="1.0" encoding="utf-8"?>
<worksheet xmlns="http://schemas.openxmlformats.org/spreadsheetml/2006/main" xmlns:r="http://schemas.openxmlformats.org/officeDocument/2006/relationships">
  <sheetPr codeName="Hoja182"/>
  <dimension ref="A1:Y81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23"/>
    </sheetView>
  </sheetViews>
  <sheetFormatPr baseColWidth="10" defaultColWidth="10.875" defaultRowHeight="15.75"/>
  <cols>
    <col min="1" max="1" width="17.625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4">
        <v>340</v>
      </c>
      <c r="B1" s="15" t="s">
        <v>85</v>
      </c>
      <c r="C1" s="1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6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>F5-G5-H5</f>
        <v>0</v>
      </c>
      <c r="J5" s="44">
        <f>S5+T5</f>
        <v>0</v>
      </c>
      <c r="K5" s="44">
        <f t="shared" ref="K5:K23" si="0">I5-J5</f>
        <v>0</v>
      </c>
      <c r="L5" s="45"/>
      <c r="M5" s="40"/>
      <c r="N5" s="43">
        <f>I5-J5-M5-R5</f>
        <v>0</v>
      </c>
      <c r="O5" s="43">
        <f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>F7-G7-H7</f>
        <v>0</v>
      </c>
      <c r="J7" s="44">
        <f t="shared" ref="J7:J23" si="1">S7+T7</f>
        <v>0</v>
      </c>
      <c r="K7" s="44">
        <f t="shared" si="0"/>
        <v>0</v>
      </c>
      <c r="L7" s="45"/>
      <c r="M7" s="40"/>
      <c r="N7" s="43">
        <f t="shared" ref="N7:N23" si="2">I7-J7-M7-R7</f>
        <v>0</v>
      </c>
      <c r="O7" s="43">
        <f t="shared" ref="O7:O23" si="3">R7+S7+T7</f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>F9-G9-H9</f>
        <v>0</v>
      </c>
      <c r="J9" s="44">
        <f t="shared" si="1"/>
        <v>0</v>
      </c>
      <c r="K9" s="44">
        <f t="shared" si="0"/>
        <v>0</v>
      </c>
      <c r="L9" s="45"/>
      <c r="M9" s="40"/>
      <c r="N9" s="43">
        <f t="shared" si="2"/>
        <v>0</v>
      </c>
      <c r="O9" s="43">
        <f t="shared" si="3"/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  <c r="U10" s="6"/>
      <c r="V10" s="6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>F11-G11-H11</f>
        <v>0</v>
      </c>
      <c r="J11" s="44">
        <f t="shared" si="1"/>
        <v>0</v>
      </c>
      <c r="K11" s="44">
        <f t="shared" si="0"/>
        <v>0</v>
      </c>
      <c r="L11" s="45"/>
      <c r="M11" s="40"/>
      <c r="N11" s="43">
        <f t="shared" si="2"/>
        <v>0</v>
      </c>
      <c r="O11" s="43">
        <f t="shared" si="3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>F13-G13-H13</f>
        <v>0</v>
      </c>
      <c r="J13" s="44">
        <f t="shared" si="1"/>
        <v>0</v>
      </c>
      <c r="K13" s="44">
        <f t="shared" si="0"/>
        <v>0</v>
      </c>
      <c r="L13" s="45"/>
      <c r="M13" s="40"/>
      <c r="N13" s="43">
        <f t="shared" si="2"/>
        <v>0</v>
      </c>
      <c r="O13" s="43">
        <f t="shared" si="3"/>
        <v>0</v>
      </c>
      <c r="P13" s="128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>F15-G15-H15</f>
        <v>0</v>
      </c>
      <c r="J15" s="44">
        <f t="shared" si="1"/>
        <v>0</v>
      </c>
      <c r="K15" s="44">
        <f t="shared" si="0"/>
        <v>0</v>
      </c>
      <c r="L15" s="45"/>
      <c r="M15" s="40"/>
      <c r="N15" s="43">
        <f t="shared" si="2"/>
        <v>0</v>
      </c>
      <c r="O15" s="43">
        <f t="shared" si="3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>F17-G17-H17</f>
        <v>0</v>
      </c>
      <c r="J17" s="44">
        <f t="shared" si="1"/>
        <v>0</v>
      </c>
      <c r="K17" s="44">
        <f t="shared" si="0"/>
        <v>0</v>
      </c>
      <c r="L17" s="45"/>
      <c r="M17" s="40"/>
      <c r="N17" s="43">
        <f t="shared" si="2"/>
        <v>0</v>
      </c>
      <c r="O17" s="43">
        <f t="shared" si="3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3"/>
      <c r="E19" s="43"/>
      <c r="F19" s="43"/>
      <c r="G19" s="43">
        <f>F19*6%</f>
        <v>0</v>
      </c>
      <c r="H19" s="43"/>
      <c r="I19" s="44">
        <f>F19-G19-H19</f>
        <v>0</v>
      </c>
      <c r="J19" s="44">
        <f t="shared" si="1"/>
        <v>0</v>
      </c>
      <c r="K19" s="44">
        <f t="shared" si="0"/>
        <v>0</v>
      </c>
      <c r="L19" s="45"/>
      <c r="M19" s="40"/>
      <c r="N19" s="43">
        <f t="shared" si="2"/>
        <v>0</v>
      </c>
      <c r="O19" s="43">
        <f t="shared" si="3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3"/>
      <c r="E21" s="43"/>
      <c r="F21" s="43"/>
      <c r="G21" s="43">
        <f>F21*6%</f>
        <v>0</v>
      </c>
      <c r="H21" s="43"/>
      <c r="I21" s="44">
        <f>F21-G21-H21</f>
        <v>0</v>
      </c>
      <c r="J21" s="44">
        <f t="shared" si="1"/>
        <v>0</v>
      </c>
      <c r="K21" s="44">
        <f t="shared" si="0"/>
        <v>0</v>
      </c>
      <c r="L21" s="45"/>
      <c r="M21" s="40"/>
      <c r="N21" s="43">
        <f t="shared" si="2"/>
        <v>0</v>
      </c>
      <c r="O21" s="43">
        <f t="shared" si="3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7"/>
      <c r="E22" s="35"/>
      <c r="F22" s="37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50"/>
      <c r="B23" s="51"/>
      <c r="C23" s="52"/>
      <c r="D23" s="53"/>
      <c r="E23" s="53"/>
      <c r="F23" s="53"/>
      <c r="G23" s="43">
        <f>F23*6%</f>
        <v>0</v>
      </c>
      <c r="H23" s="53"/>
      <c r="I23" s="44">
        <f>F23-G23-H23</f>
        <v>0</v>
      </c>
      <c r="J23" s="54">
        <f t="shared" si="1"/>
        <v>0</v>
      </c>
      <c r="K23" s="54">
        <f t="shared" si="0"/>
        <v>0</v>
      </c>
      <c r="L23" s="55"/>
      <c r="M23" s="50"/>
      <c r="N23" s="53">
        <f t="shared" si="2"/>
        <v>0</v>
      </c>
      <c r="O23" s="53">
        <f t="shared" si="3"/>
        <v>0</v>
      </c>
      <c r="P23" s="56"/>
      <c r="Q23" s="50"/>
      <c r="R23" s="50"/>
      <c r="S23" s="50"/>
      <c r="T23" s="57"/>
    </row>
    <row r="24" spans="1:22" ht="15">
      <c r="A24" s="32"/>
      <c r="B24" s="33"/>
      <c r="C24" s="32"/>
      <c r="D24" s="37"/>
      <c r="E24" s="35"/>
      <c r="F24" s="37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50"/>
      <c r="B25" s="51"/>
      <c r="C25" s="52"/>
      <c r="D25" s="53"/>
      <c r="E25" s="53"/>
      <c r="F25" s="53"/>
      <c r="G25" s="43">
        <f>F25*6%</f>
        <v>0</v>
      </c>
      <c r="H25" s="53"/>
      <c r="I25" s="44">
        <f>F25-G25-H25</f>
        <v>0</v>
      </c>
      <c r="J25" s="54">
        <f t="shared" ref="J25" si="4">S25+T25</f>
        <v>0</v>
      </c>
      <c r="K25" s="54">
        <f t="shared" ref="K25" si="5">I25-J25</f>
        <v>0</v>
      </c>
      <c r="L25" s="55"/>
      <c r="M25" s="50"/>
      <c r="N25" s="53">
        <f t="shared" ref="N25" si="6">I25-J25-M25-R25</f>
        <v>0</v>
      </c>
      <c r="O25" s="53">
        <f t="shared" ref="O25" si="7">R25+S25+T25</f>
        <v>0</v>
      </c>
      <c r="P25" s="56"/>
      <c r="Q25" s="50"/>
      <c r="R25" s="50"/>
      <c r="S25" s="50"/>
      <c r="T25" s="57"/>
    </row>
    <row r="26" spans="1:22" ht="15">
      <c r="A26" s="32"/>
      <c r="B26" s="33"/>
      <c r="C26" s="32"/>
      <c r="D26" s="37"/>
      <c r="E26" s="35"/>
      <c r="F26" s="37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50"/>
      <c r="B27" s="51"/>
      <c r="C27" s="52"/>
      <c r="D27" s="53"/>
      <c r="E27" s="53"/>
      <c r="F27" s="53"/>
      <c r="G27" s="43">
        <f>F27*6%</f>
        <v>0</v>
      </c>
      <c r="H27" s="53"/>
      <c r="I27" s="44">
        <f>F27-G27-H27</f>
        <v>0</v>
      </c>
      <c r="J27" s="54">
        <f t="shared" ref="J27" si="8">S27+T27</f>
        <v>0</v>
      </c>
      <c r="K27" s="54">
        <f t="shared" ref="K27" si="9">I27-J27</f>
        <v>0</v>
      </c>
      <c r="L27" s="55"/>
      <c r="M27" s="50"/>
      <c r="N27" s="53">
        <f t="shared" ref="N27" si="10">I27-J27-M27-R27</f>
        <v>0</v>
      </c>
      <c r="O27" s="53">
        <f t="shared" ref="O27" si="11">R27+S27+T27</f>
        <v>0</v>
      </c>
      <c r="P27" s="56"/>
      <c r="Q27" s="50"/>
      <c r="R27" s="50"/>
      <c r="S27" s="50"/>
      <c r="T27" s="57"/>
    </row>
    <row r="28" spans="1:22" ht="15">
      <c r="A28" s="32"/>
      <c r="B28" s="33"/>
      <c r="C28" s="32"/>
      <c r="D28" s="37"/>
      <c r="E28" s="35"/>
      <c r="F28" s="37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50"/>
      <c r="B29" s="51"/>
      <c r="C29" s="52"/>
      <c r="D29" s="53"/>
      <c r="E29" s="53"/>
      <c r="F29" s="53"/>
      <c r="G29" s="43">
        <f>F29*6%</f>
        <v>0</v>
      </c>
      <c r="H29" s="53"/>
      <c r="I29" s="44">
        <f>F29-G29-H29</f>
        <v>0</v>
      </c>
      <c r="J29" s="54">
        <f t="shared" ref="J29" si="12">S29+T29</f>
        <v>0</v>
      </c>
      <c r="K29" s="54">
        <f t="shared" ref="K29" si="13">I29-J29</f>
        <v>0</v>
      </c>
      <c r="L29" s="55"/>
      <c r="M29" s="50"/>
      <c r="N29" s="53">
        <f t="shared" ref="N29" si="14">I29-J29-M29-R29</f>
        <v>0</v>
      </c>
      <c r="O29" s="53">
        <f t="shared" ref="O29" si="15">R29+S29+T29</f>
        <v>0</v>
      </c>
      <c r="P29" s="56"/>
      <c r="Q29" s="50"/>
      <c r="R29" s="50"/>
      <c r="S29" s="50"/>
      <c r="T29" s="57"/>
    </row>
    <row r="30" spans="1:22" ht="15">
      <c r="A30" s="32"/>
      <c r="B30" s="33"/>
      <c r="C30" s="32"/>
      <c r="D30" s="37"/>
      <c r="E30" s="35"/>
      <c r="F30" s="37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50"/>
      <c r="B31" s="51"/>
      <c r="C31" s="52"/>
      <c r="D31" s="53"/>
      <c r="E31" s="53"/>
      <c r="F31" s="53"/>
      <c r="G31" s="43">
        <f>F31*6%</f>
        <v>0</v>
      </c>
      <c r="H31" s="53"/>
      <c r="I31" s="44">
        <f>F31-G31-H31</f>
        <v>0</v>
      </c>
      <c r="J31" s="54">
        <f t="shared" ref="J31" si="16">S31+T31</f>
        <v>0</v>
      </c>
      <c r="K31" s="54">
        <f t="shared" ref="K31" si="17">I31-J31</f>
        <v>0</v>
      </c>
      <c r="L31" s="55"/>
      <c r="M31" s="50"/>
      <c r="N31" s="53">
        <f t="shared" ref="N31" si="18">I31-J31-M31-R31</f>
        <v>0</v>
      </c>
      <c r="O31" s="53">
        <f t="shared" ref="O31" si="19">R31+S31+T31</f>
        <v>0</v>
      </c>
      <c r="P31" s="56"/>
      <c r="Q31" s="50"/>
      <c r="R31" s="50"/>
      <c r="S31" s="50"/>
      <c r="T31" s="57"/>
    </row>
    <row r="32" spans="1:22" ht="15">
      <c r="A32" s="32"/>
      <c r="B32" s="33"/>
      <c r="C32" s="32"/>
      <c r="D32" s="37"/>
      <c r="E32" s="35"/>
      <c r="F32" s="37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50"/>
      <c r="B33" s="51"/>
      <c r="C33" s="52"/>
      <c r="D33" s="53"/>
      <c r="E33" s="53"/>
      <c r="F33" s="53"/>
      <c r="G33" s="43">
        <f>F33*6%</f>
        <v>0</v>
      </c>
      <c r="H33" s="53"/>
      <c r="I33" s="44">
        <f>F33-G33-H33</f>
        <v>0</v>
      </c>
      <c r="J33" s="54">
        <v>43.04</v>
      </c>
      <c r="K33" s="54">
        <f t="shared" ref="K33" si="20">I33-J33</f>
        <v>-43.04</v>
      </c>
      <c r="L33" s="55"/>
      <c r="M33" s="50"/>
      <c r="N33" s="53"/>
      <c r="O33" s="53"/>
      <c r="P33" s="56"/>
      <c r="Q33" s="50"/>
      <c r="R33" s="50"/>
      <c r="S33" s="50"/>
      <c r="T33" s="57"/>
    </row>
    <row r="34" spans="1:22" ht="15">
      <c r="A34" s="32"/>
      <c r="B34" s="33"/>
      <c r="C34" s="32"/>
      <c r="D34" s="37"/>
      <c r="E34" s="35"/>
      <c r="F34" s="37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50"/>
      <c r="B35" s="51"/>
      <c r="C35" s="52"/>
      <c r="D35" s="53"/>
      <c r="E35" s="53"/>
      <c r="F35" s="53"/>
      <c r="G35" s="43">
        <f>F35*6%</f>
        <v>0</v>
      </c>
      <c r="H35" s="53"/>
      <c r="I35" s="44">
        <f>F35-G35-H35</f>
        <v>0</v>
      </c>
      <c r="J35" s="54">
        <f t="shared" ref="J35" si="21">S35+T35</f>
        <v>0</v>
      </c>
      <c r="K35" s="54">
        <f t="shared" ref="K35" si="22">I35-J35</f>
        <v>0</v>
      </c>
      <c r="L35" s="55"/>
      <c r="M35" s="50"/>
      <c r="N35" s="53">
        <f t="shared" ref="N35" si="23">I35-J35-M35-R35</f>
        <v>0</v>
      </c>
      <c r="O35" s="53">
        <f t="shared" ref="O35" si="24">R35+S35+T35</f>
        <v>0</v>
      </c>
      <c r="P35" s="56"/>
      <c r="Q35" s="50"/>
      <c r="R35" s="50"/>
      <c r="S35" s="50"/>
      <c r="T35" s="57"/>
    </row>
    <row r="36" spans="1:22" ht="15">
      <c r="A36" s="32"/>
      <c r="B36" s="33"/>
      <c r="C36" s="32"/>
      <c r="D36" s="37"/>
      <c r="E36" s="35"/>
      <c r="F36" s="37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50"/>
      <c r="B37" s="51"/>
      <c r="C37" s="52"/>
      <c r="D37" s="50"/>
      <c r="E37" s="50"/>
      <c r="F37" s="50"/>
      <c r="G37" s="43">
        <f>F37*6%</f>
        <v>0</v>
      </c>
      <c r="H37" s="53"/>
      <c r="I37" s="44">
        <f>F37-G37-H37</f>
        <v>0</v>
      </c>
      <c r="J37" s="54">
        <f t="shared" ref="J37" si="25">S37+T37</f>
        <v>0</v>
      </c>
      <c r="K37" s="54">
        <f t="shared" ref="K37" si="26">I37-J37</f>
        <v>0</v>
      </c>
      <c r="L37" s="55"/>
      <c r="M37" s="50"/>
      <c r="N37" s="53">
        <f t="shared" ref="N37" si="27">I37-J37-M37-R37</f>
        <v>0</v>
      </c>
      <c r="O37" s="53">
        <f t="shared" ref="O37" si="28">R37+S37+T37</f>
        <v>0</v>
      </c>
      <c r="P37" s="56"/>
      <c r="Q37" s="50"/>
      <c r="R37" s="50"/>
      <c r="S37" s="50"/>
      <c r="T37" s="57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50"/>
      <c r="B39" s="51"/>
      <c r="C39" s="52"/>
      <c r="D39" s="50"/>
      <c r="E39" s="50"/>
      <c r="F39" s="50"/>
      <c r="G39" s="43">
        <f>F39*6%</f>
        <v>0</v>
      </c>
      <c r="H39" s="53"/>
      <c r="I39" s="44">
        <f>F39-G39-H39</f>
        <v>0</v>
      </c>
      <c r="J39" s="54">
        <f t="shared" ref="J39" si="29">S39+T39</f>
        <v>0</v>
      </c>
      <c r="K39" s="54">
        <f t="shared" ref="K39" si="30">I39-J39</f>
        <v>0</v>
      </c>
      <c r="L39" s="55"/>
      <c r="M39" s="50"/>
      <c r="N39" s="53">
        <f t="shared" ref="N39" si="31">I39-J39-M39-R39</f>
        <v>0</v>
      </c>
      <c r="O39" s="53">
        <f t="shared" ref="O39" si="32">R39+S39+T39</f>
        <v>0</v>
      </c>
      <c r="P39" s="56"/>
      <c r="Q39" s="50"/>
      <c r="R39" s="50"/>
      <c r="S39" s="50"/>
      <c r="T39" s="57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50"/>
      <c r="B41" s="51"/>
      <c r="C41" s="52"/>
      <c r="D41" s="50"/>
      <c r="E41" s="50"/>
      <c r="F41" s="50"/>
      <c r="G41" s="43">
        <f>F41*6%</f>
        <v>0</v>
      </c>
      <c r="H41" s="53"/>
      <c r="I41" s="44">
        <f>F41-G41-H41</f>
        <v>0</v>
      </c>
      <c r="J41" s="54">
        <f t="shared" ref="J41" si="33">S41+T41</f>
        <v>0</v>
      </c>
      <c r="K41" s="54">
        <f t="shared" ref="K41" si="34">I41-J41</f>
        <v>0</v>
      </c>
      <c r="L41" s="55"/>
      <c r="M41" s="50"/>
      <c r="N41" s="53">
        <f t="shared" ref="N41" si="35">I41-J41-M41-R41</f>
        <v>0</v>
      </c>
      <c r="O41" s="53">
        <f t="shared" ref="O41" si="36">R41+S41+T41</f>
        <v>0</v>
      </c>
      <c r="P41" s="56"/>
      <c r="Q41" s="50"/>
      <c r="R41" s="50"/>
      <c r="S41" s="50"/>
      <c r="T41" s="57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44">
        <f>F43-G43-H43</f>
        <v>0</v>
      </c>
      <c r="J43" s="54">
        <f t="shared" ref="J43" si="37">S43+T43</f>
        <v>0</v>
      </c>
      <c r="K43" s="54">
        <f t="shared" ref="K43" si="38">I43-J43</f>
        <v>0</v>
      </c>
      <c r="L43" s="55"/>
      <c r="M43" s="50"/>
      <c r="N43" s="53">
        <f t="shared" ref="N43" si="39">I43-J43-M43-R43</f>
        <v>0</v>
      </c>
      <c r="O43" s="53">
        <f t="shared" ref="O43" si="40">R43+S43+T43</f>
        <v>0</v>
      </c>
      <c r="P43" s="56"/>
      <c r="Q43" s="50"/>
      <c r="R43" s="50"/>
      <c r="S43" s="50"/>
      <c r="T43" s="57"/>
    </row>
    <row r="44" spans="1:22" ht="15">
      <c r="A44" s="32"/>
      <c r="B44" s="33"/>
      <c r="C44" s="32"/>
      <c r="D44" s="33"/>
      <c r="E44" s="34"/>
      <c r="F44" s="32"/>
      <c r="G44" s="32"/>
      <c r="H44" s="32"/>
      <c r="I44" s="37"/>
      <c r="J44" s="37"/>
      <c r="K44" s="35"/>
      <c r="L44" s="35"/>
      <c r="M44" s="35"/>
      <c r="N44" s="36"/>
      <c r="O44" s="32"/>
      <c r="P44" s="37"/>
      <c r="Q44" s="37"/>
      <c r="R44" s="38"/>
      <c r="S44" s="32"/>
      <c r="T44" s="39"/>
      <c r="U44" s="6"/>
      <c r="V44" s="6"/>
    </row>
    <row r="45" spans="1:22" ht="15">
      <c r="A45" s="50"/>
      <c r="B45" s="51"/>
      <c r="C45" s="52"/>
      <c r="D45" s="50"/>
      <c r="E45" s="50"/>
      <c r="F45" s="50"/>
      <c r="G45" s="43">
        <f>F45*6%</f>
        <v>0</v>
      </c>
      <c r="H45" s="53"/>
      <c r="I45" s="44">
        <f>F45-G45-H45</f>
        <v>0</v>
      </c>
      <c r="J45" s="54">
        <f t="shared" ref="J45" si="41">S45+T45</f>
        <v>0</v>
      </c>
      <c r="K45" s="54">
        <f t="shared" ref="K45" si="42">I45-J45</f>
        <v>0</v>
      </c>
      <c r="L45" s="55"/>
      <c r="M45" s="50"/>
      <c r="N45" s="53">
        <f t="shared" ref="N45" si="43">I45-J45-M45-R45</f>
        <v>0</v>
      </c>
      <c r="O45" s="53">
        <f t="shared" ref="O45" si="44">R45+S45+T45</f>
        <v>0</v>
      </c>
      <c r="P45" s="56"/>
      <c r="Q45" s="50"/>
      <c r="R45" s="50"/>
      <c r="S45" s="50"/>
      <c r="T45" s="57"/>
    </row>
    <row r="46" spans="1:22" ht="15">
      <c r="A46" s="32"/>
      <c r="B46" s="33"/>
      <c r="C46" s="32"/>
      <c r="D46" s="33"/>
      <c r="E46" s="34"/>
      <c r="F46" s="32"/>
      <c r="G46" s="32"/>
      <c r="H46" s="32"/>
      <c r="I46" s="37"/>
      <c r="J46" s="37"/>
      <c r="K46" s="35"/>
      <c r="L46" s="35"/>
      <c r="M46" s="35"/>
      <c r="N46" s="36"/>
      <c r="O46" s="32"/>
      <c r="P46" s="37"/>
      <c r="Q46" s="37"/>
      <c r="R46" s="38"/>
      <c r="S46" s="32"/>
      <c r="T46" s="39"/>
      <c r="U46" s="6"/>
      <c r="V46" s="6"/>
    </row>
    <row r="47" spans="1:22" ht="15">
      <c r="A47" s="50"/>
      <c r="B47" s="51"/>
      <c r="C47" s="52"/>
      <c r="D47" s="50"/>
      <c r="E47" s="50"/>
      <c r="F47" s="50"/>
      <c r="G47" s="43">
        <f>F47*6%</f>
        <v>0</v>
      </c>
      <c r="H47" s="53"/>
      <c r="I47" s="44">
        <f>F47-G47-H47</f>
        <v>0</v>
      </c>
      <c r="J47" s="54">
        <f t="shared" ref="J47" si="45">S47+T47</f>
        <v>0</v>
      </c>
      <c r="K47" s="54">
        <f t="shared" ref="K47" si="46">I47-J47</f>
        <v>0</v>
      </c>
      <c r="L47" s="55"/>
      <c r="M47" s="50"/>
      <c r="N47" s="53">
        <f t="shared" ref="N47" si="47">I47-J47-M47-R47</f>
        <v>0</v>
      </c>
      <c r="O47" s="53">
        <f t="shared" ref="O47" si="48">R47+S47+T47</f>
        <v>0</v>
      </c>
      <c r="P47" s="56"/>
      <c r="Q47" s="50"/>
      <c r="R47" s="50"/>
      <c r="S47" s="50"/>
      <c r="T47" s="57"/>
    </row>
    <row r="48" spans="1:22" ht="15">
      <c r="A48" s="32"/>
      <c r="B48" s="33"/>
      <c r="C48" s="32"/>
      <c r="D48" s="33"/>
      <c r="E48" s="34"/>
      <c r="F48" s="32"/>
      <c r="G48" s="32"/>
      <c r="H48" s="32"/>
      <c r="I48" s="37"/>
      <c r="J48" s="37"/>
      <c r="K48" s="35"/>
      <c r="L48" s="35"/>
      <c r="M48" s="35"/>
      <c r="N48" s="36"/>
      <c r="O48" s="32"/>
      <c r="P48" s="37"/>
      <c r="Q48" s="37"/>
      <c r="R48" s="38"/>
      <c r="S48" s="32"/>
      <c r="T48" s="39"/>
      <c r="U48" s="6"/>
      <c r="V48" s="6"/>
    </row>
    <row r="49" spans="1:22" ht="17.25" customHeight="1">
      <c r="A49" s="50"/>
      <c r="B49" s="51"/>
      <c r="C49" s="52"/>
      <c r="D49" s="50"/>
      <c r="E49" s="50"/>
      <c r="F49" s="50"/>
      <c r="G49" s="43">
        <f>F49*6%</f>
        <v>0</v>
      </c>
      <c r="H49" s="53"/>
      <c r="I49" s="44">
        <f>F49-G49-H49</f>
        <v>0</v>
      </c>
      <c r="J49" s="54">
        <f t="shared" ref="J49" si="49">S49+T49</f>
        <v>0</v>
      </c>
      <c r="K49" s="54">
        <f t="shared" ref="K49" si="50">I49-J49</f>
        <v>0</v>
      </c>
      <c r="L49" s="55"/>
      <c r="M49" s="50"/>
      <c r="N49" s="53">
        <f t="shared" ref="N49" si="51">I49-J49-M49-R49</f>
        <v>0</v>
      </c>
      <c r="O49" s="53">
        <f t="shared" ref="O49" si="52">R49+S49+T49</f>
        <v>0</v>
      </c>
      <c r="P49" s="56"/>
      <c r="Q49" s="50"/>
      <c r="R49" s="50"/>
      <c r="S49" s="50"/>
      <c r="T49" s="57"/>
    </row>
    <row r="50" spans="1:22" ht="15">
      <c r="A50" s="32"/>
      <c r="B50" s="33"/>
      <c r="C50" s="32"/>
      <c r="D50" s="33"/>
      <c r="E50" s="34"/>
      <c r="F50" s="32"/>
      <c r="G50" s="32"/>
      <c r="H50" s="32"/>
      <c r="I50" s="37"/>
      <c r="J50" s="37"/>
      <c r="K50" s="35"/>
      <c r="L50" s="35"/>
      <c r="M50" s="35"/>
      <c r="N50" s="36"/>
      <c r="O50" s="32"/>
      <c r="P50" s="37"/>
      <c r="Q50" s="37"/>
      <c r="R50" s="38"/>
      <c r="S50" s="32"/>
      <c r="T50" s="39"/>
      <c r="U50" s="6"/>
      <c r="V50" s="6"/>
    </row>
    <row r="51" spans="1:22" ht="15">
      <c r="A51" s="50"/>
      <c r="B51" s="51"/>
      <c r="C51" s="52"/>
      <c r="D51" s="50"/>
      <c r="E51" s="50"/>
      <c r="F51" s="50"/>
      <c r="G51" s="43">
        <f>F51*6%</f>
        <v>0</v>
      </c>
      <c r="H51" s="53"/>
      <c r="I51" s="44">
        <f>F51-G51-H51</f>
        <v>0</v>
      </c>
      <c r="J51" s="54">
        <f t="shared" ref="J51" si="53">S51+T51</f>
        <v>0</v>
      </c>
      <c r="K51" s="54">
        <f t="shared" ref="K51" si="54">I51-J51</f>
        <v>0</v>
      </c>
      <c r="L51" s="55"/>
      <c r="M51" s="50"/>
      <c r="N51" s="53">
        <f t="shared" ref="N51" si="55">I51-J51-M51-R51</f>
        <v>0</v>
      </c>
      <c r="O51" s="53">
        <f t="shared" ref="O51" si="56">R51+S51+T51</f>
        <v>0</v>
      </c>
      <c r="P51" s="56"/>
      <c r="Q51" s="50"/>
      <c r="R51" s="50"/>
      <c r="S51" s="50"/>
      <c r="T51" s="57"/>
    </row>
    <row r="52" spans="1:22" ht="15">
      <c r="A52" s="32"/>
      <c r="B52" s="33"/>
      <c r="C52" s="32"/>
      <c r="D52" s="33"/>
      <c r="E52" s="34"/>
      <c r="F52" s="32"/>
      <c r="G52" s="32"/>
      <c r="H52" s="32"/>
      <c r="I52" s="37"/>
      <c r="J52" s="37"/>
      <c r="K52" s="35"/>
      <c r="L52" s="35"/>
      <c r="M52" s="35"/>
      <c r="N52" s="36"/>
      <c r="O52" s="32"/>
      <c r="P52" s="37"/>
      <c r="Q52" s="37"/>
      <c r="R52" s="38"/>
      <c r="S52" s="32"/>
      <c r="T52" s="39"/>
      <c r="U52" s="6"/>
      <c r="V52" s="6"/>
    </row>
    <row r="53" spans="1:22" ht="15">
      <c r="A53" s="50"/>
      <c r="B53" s="51"/>
      <c r="C53" s="52"/>
      <c r="D53" s="50"/>
      <c r="E53" s="50"/>
      <c r="F53" s="50"/>
      <c r="G53" s="43">
        <f>F53*6%</f>
        <v>0</v>
      </c>
      <c r="H53" s="53"/>
      <c r="I53" s="44">
        <f>F53-G53-H53</f>
        <v>0</v>
      </c>
      <c r="J53" s="54">
        <f t="shared" ref="J53" si="57">S53+T53</f>
        <v>0</v>
      </c>
      <c r="K53" s="54">
        <f t="shared" ref="K53" si="58">I53-J53</f>
        <v>0</v>
      </c>
      <c r="L53" s="141"/>
      <c r="M53" s="50"/>
      <c r="N53" s="53">
        <f t="shared" ref="N53" si="59">I53-J53-M53-R53</f>
        <v>0</v>
      </c>
      <c r="O53" s="53">
        <f t="shared" ref="O53" si="60">R53+S53+T53</f>
        <v>0</v>
      </c>
      <c r="P53" s="56"/>
      <c r="Q53" s="50"/>
      <c r="R53" s="50"/>
      <c r="S53" s="50"/>
      <c r="T53" s="57"/>
    </row>
    <row r="54" spans="1:22" ht="15">
      <c r="A54" s="32"/>
      <c r="B54" s="33"/>
      <c r="C54" s="32"/>
      <c r="D54" s="33"/>
      <c r="E54" s="34"/>
      <c r="F54" s="32"/>
      <c r="G54" s="32"/>
      <c r="H54" s="32"/>
      <c r="I54" s="37"/>
      <c r="J54" s="37"/>
      <c r="K54" s="35"/>
      <c r="L54" s="35"/>
      <c r="M54" s="35"/>
      <c r="N54" s="36"/>
      <c r="O54" s="32"/>
      <c r="P54" s="37"/>
      <c r="Q54" s="37"/>
      <c r="R54" s="38"/>
      <c r="S54" s="32"/>
      <c r="T54" s="39"/>
      <c r="U54" s="6"/>
      <c r="V54" s="6"/>
    </row>
    <row r="55" spans="1:22" ht="15">
      <c r="A55" s="50"/>
      <c r="B55" s="51"/>
      <c r="C55" s="52"/>
      <c r="D55" s="50"/>
      <c r="E55" s="50"/>
      <c r="F55" s="50"/>
      <c r="G55" s="43">
        <f>F55*6%</f>
        <v>0</v>
      </c>
      <c r="H55" s="53"/>
      <c r="I55" s="44">
        <f>F55-G55-H55</f>
        <v>0</v>
      </c>
      <c r="J55" s="54">
        <f t="shared" ref="J55" si="61">S55+T55</f>
        <v>0</v>
      </c>
      <c r="K55" s="54">
        <f t="shared" ref="K55" si="62">I55-J55</f>
        <v>0</v>
      </c>
      <c r="L55" s="55"/>
      <c r="M55" s="50"/>
      <c r="N55" s="53">
        <f t="shared" ref="N55" si="63">I55-J55-M55-R55</f>
        <v>0</v>
      </c>
      <c r="O55" s="53">
        <f t="shared" ref="O55" si="64">R55+S55+T55</f>
        <v>0</v>
      </c>
      <c r="P55" s="56"/>
      <c r="Q55" s="50"/>
      <c r="R55" s="50"/>
      <c r="S55" s="50"/>
      <c r="T55" s="57"/>
    </row>
    <row r="56" spans="1:22" ht="15">
      <c r="A56" s="32"/>
      <c r="B56" s="33"/>
      <c r="C56" s="32"/>
      <c r="D56" s="33"/>
      <c r="E56" s="34"/>
      <c r="F56" s="32"/>
      <c r="G56" s="32"/>
      <c r="H56" s="32"/>
      <c r="I56" s="37"/>
      <c r="J56" s="37"/>
      <c r="K56" s="35"/>
      <c r="L56" s="35"/>
      <c r="M56" s="35"/>
      <c r="N56" s="36"/>
      <c r="O56" s="32"/>
      <c r="P56" s="37"/>
      <c r="Q56" s="37"/>
      <c r="R56" s="38"/>
      <c r="S56" s="32"/>
      <c r="T56" s="39"/>
      <c r="U56" s="6"/>
      <c r="V56" s="6"/>
    </row>
    <row r="57" spans="1:22" ht="15">
      <c r="A57" s="50"/>
      <c r="B57" s="51"/>
      <c r="C57" s="52"/>
      <c r="D57" s="50"/>
      <c r="E57" s="50"/>
      <c r="F57" s="50"/>
      <c r="G57" s="43">
        <f>F57*6%</f>
        <v>0</v>
      </c>
      <c r="H57" s="53"/>
      <c r="I57" s="44">
        <f>F57-G57-H57</f>
        <v>0</v>
      </c>
      <c r="J57" s="54">
        <f t="shared" ref="J57" si="65">S57+T57</f>
        <v>0</v>
      </c>
      <c r="K57" s="54">
        <f t="shared" ref="K57" si="66">I57-J57</f>
        <v>0</v>
      </c>
      <c r="L57" s="55"/>
      <c r="M57" s="50"/>
      <c r="N57" s="53">
        <f t="shared" ref="N57" si="67">I57-J57-M57-R57</f>
        <v>0</v>
      </c>
      <c r="O57" s="53">
        <f t="shared" ref="O57" si="68">R57+S57+T57</f>
        <v>0</v>
      </c>
      <c r="P57" s="56"/>
      <c r="Q57" s="50"/>
      <c r="R57" s="50"/>
      <c r="S57" s="50"/>
      <c r="T57" s="57"/>
    </row>
    <row r="58" spans="1:22" ht="15">
      <c r="A58" s="32"/>
      <c r="B58" s="33"/>
      <c r="C58" s="32"/>
      <c r="D58" s="33"/>
      <c r="E58" s="34"/>
      <c r="F58" s="32"/>
      <c r="G58" s="32"/>
      <c r="H58" s="32"/>
      <c r="I58" s="37"/>
      <c r="J58" s="37"/>
      <c r="K58" s="35"/>
      <c r="L58" s="35"/>
      <c r="M58" s="35"/>
      <c r="N58" s="36"/>
      <c r="O58" s="32"/>
      <c r="P58" s="37"/>
      <c r="Q58" s="37"/>
      <c r="R58" s="38"/>
      <c r="S58" s="32"/>
      <c r="T58" s="39"/>
      <c r="U58" s="6"/>
      <c r="V58" s="6"/>
    </row>
    <row r="59" spans="1:22" ht="15">
      <c r="A59" s="50"/>
      <c r="B59" s="51"/>
      <c r="C59" s="52"/>
      <c r="D59" s="50"/>
      <c r="E59" s="50"/>
      <c r="F59" s="50"/>
      <c r="G59" s="43">
        <f>F59*6%</f>
        <v>0</v>
      </c>
      <c r="H59" s="53"/>
      <c r="I59" s="44">
        <f>F59-G59-H59</f>
        <v>0</v>
      </c>
      <c r="J59" s="54">
        <f t="shared" ref="J59" si="69">S59+T59</f>
        <v>0</v>
      </c>
      <c r="K59" s="54">
        <f t="shared" ref="K59" si="70">I59-J59</f>
        <v>0</v>
      </c>
      <c r="L59" s="55"/>
      <c r="M59" s="50"/>
      <c r="N59" s="53">
        <f t="shared" ref="N59" si="71">I59-J59-M59-R59</f>
        <v>0</v>
      </c>
      <c r="O59" s="53">
        <f t="shared" ref="O59" si="72">R59+S59+T59</f>
        <v>0</v>
      </c>
      <c r="P59" s="56"/>
      <c r="Q59" s="50"/>
      <c r="R59" s="50"/>
      <c r="S59" s="50"/>
      <c r="T59" s="57"/>
    </row>
    <row r="60" spans="1:22" ht="15">
      <c r="A60" s="32"/>
      <c r="B60" s="33"/>
      <c r="C60" s="32"/>
      <c r="D60" s="33"/>
      <c r="E60" s="34"/>
      <c r="F60" s="32"/>
      <c r="G60" s="32"/>
      <c r="H60" s="32"/>
      <c r="I60" s="37"/>
      <c r="J60" s="37"/>
      <c r="K60" s="35"/>
      <c r="L60" s="35"/>
      <c r="M60" s="35"/>
      <c r="N60" s="36"/>
      <c r="O60" s="32"/>
      <c r="P60" s="37"/>
      <c r="Q60" s="37"/>
      <c r="R60" s="38"/>
      <c r="S60" s="32"/>
      <c r="T60" s="39"/>
      <c r="U60" s="6"/>
      <c r="V60" s="6"/>
    </row>
    <row r="61" spans="1:22" ht="15">
      <c r="A61" s="50"/>
      <c r="B61" s="51"/>
      <c r="C61" s="52"/>
      <c r="D61" s="50"/>
      <c r="E61" s="50"/>
      <c r="F61" s="50"/>
      <c r="G61" s="43">
        <f>F61*6%</f>
        <v>0</v>
      </c>
      <c r="H61" s="53"/>
      <c r="I61" s="44">
        <f>F61-G61-H61</f>
        <v>0</v>
      </c>
      <c r="J61" s="54">
        <f t="shared" ref="J61" si="73">S61+T61</f>
        <v>0</v>
      </c>
      <c r="K61" s="54">
        <f t="shared" ref="K61" si="74">I61-J61</f>
        <v>0</v>
      </c>
      <c r="L61" s="55"/>
      <c r="M61" s="50"/>
      <c r="N61" s="53">
        <f t="shared" ref="N61" si="75">I61-J61-M61-R61</f>
        <v>0</v>
      </c>
      <c r="O61" s="53">
        <f t="shared" ref="O61" si="76">R61+S61+T61</f>
        <v>0</v>
      </c>
      <c r="P61" s="56"/>
      <c r="Q61" s="50"/>
      <c r="R61" s="50"/>
      <c r="S61" s="50"/>
      <c r="T61" s="57"/>
    </row>
    <row r="62" spans="1:22" ht="15">
      <c r="A62" s="32"/>
      <c r="B62" s="33"/>
      <c r="C62" s="32"/>
      <c r="D62" s="33"/>
      <c r="E62" s="34"/>
      <c r="F62" s="32"/>
      <c r="G62" s="32"/>
      <c r="H62" s="32"/>
      <c r="I62" s="37"/>
      <c r="J62" s="37"/>
      <c r="K62" s="35"/>
      <c r="L62" s="35"/>
      <c r="M62" s="35"/>
      <c r="N62" s="36"/>
      <c r="O62" s="32"/>
      <c r="P62" s="37"/>
      <c r="Q62" s="37"/>
      <c r="R62" s="38"/>
      <c r="S62" s="32"/>
      <c r="T62" s="39"/>
      <c r="U62" s="6"/>
      <c r="V62" s="6"/>
    </row>
    <row r="63" spans="1:22" ht="15">
      <c r="A63" s="50"/>
      <c r="B63" s="51"/>
      <c r="C63" s="52"/>
      <c r="D63" s="50"/>
      <c r="E63" s="50"/>
      <c r="F63" s="50"/>
      <c r="G63" s="43">
        <f>F63*6%</f>
        <v>0</v>
      </c>
      <c r="H63" s="53"/>
      <c r="I63" s="44">
        <f>F63-G63-H63</f>
        <v>0</v>
      </c>
      <c r="J63" s="54">
        <f t="shared" ref="J63" si="77">S63+T63</f>
        <v>0</v>
      </c>
      <c r="K63" s="54">
        <f t="shared" ref="K63" si="78">I63-J63</f>
        <v>0</v>
      </c>
      <c r="L63" s="55"/>
      <c r="M63" s="50"/>
      <c r="N63" s="53">
        <f t="shared" ref="N63" si="79">I63-J63-M63-R63</f>
        <v>0</v>
      </c>
      <c r="O63" s="53">
        <f t="shared" ref="O63" si="80">R63+S63+T63</f>
        <v>0</v>
      </c>
      <c r="P63" s="56"/>
      <c r="Q63" s="50"/>
      <c r="R63" s="50"/>
      <c r="S63" s="50"/>
      <c r="T63" s="57"/>
    </row>
    <row r="64" spans="1:22" ht="15">
      <c r="A64" s="32"/>
      <c r="B64" s="33"/>
      <c r="C64" s="32"/>
      <c r="D64" s="33"/>
      <c r="E64" s="34"/>
      <c r="F64" s="32"/>
      <c r="G64" s="32"/>
      <c r="H64" s="32"/>
      <c r="I64" s="37"/>
      <c r="J64" s="37"/>
      <c r="K64" s="35"/>
      <c r="L64" s="35"/>
      <c r="M64" s="35"/>
      <c r="N64" s="36"/>
      <c r="O64" s="32"/>
      <c r="P64" s="37"/>
      <c r="Q64" s="37"/>
      <c r="R64" s="38"/>
      <c r="S64" s="32"/>
      <c r="T64" s="39"/>
      <c r="U64" s="6"/>
      <c r="V64" s="6"/>
    </row>
    <row r="65" spans="1:22" ht="15">
      <c r="A65" s="50"/>
      <c r="B65" s="51"/>
      <c r="C65" s="52"/>
      <c r="D65" s="50"/>
      <c r="E65" s="50"/>
      <c r="F65" s="50"/>
      <c r="G65" s="43">
        <f>F65*6%</f>
        <v>0</v>
      </c>
      <c r="H65" s="53"/>
      <c r="I65" s="44">
        <f>F65-G65-H65</f>
        <v>0</v>
      </c>
      <c r="J65" s="54">
        <f t="shared" ref="J65" si="81">S65+T65</f>
        <v>0</v>
      </c>
      <c r="K65" s="54">
        <f t="shared" ref="K65" si="82">I65-J65</f>
        <v>0</v>
      </c>
      <c r="L65" s="55"/>
      <c r="M65" s="50"/>
      <c r="N65" s="53">
        <f t="shared" ref="N65" si="83">I65-J65-M65-R65</f>
        <v>0</v>
      </c>
      <c r="O65" s="53">
        <f t="shared" ref="O65" si="84">R65+S65+T65</f>
        <v>0</v>
      </c>
      <c r="P65" s="56"/>
      <c r="Q65" s="50"/>
      <c r="R65" s="50"/>
      <c r="S65" s="50"/>
      <c r="T65" s="57"/>
    </row>
    <row r="66" spans="1:22" ht="15">
      <c r="A66" s="32"/>
      <c r="B66" s="33"/>
      <c r="C66" s="32"/>
      <c r="D66" s="33"/>
      <c r="E66" s="34"/>
      <c r="F66" s="32"/>
      <c r="G66" s="32"/>
      <c r="H66" s="32"/>
      <c r="I66" s="37"/>
      <c r="J66" s="37"/>
      <c r="K66" s="35"/>
      <c r="L66" s="35"/>
      <c r="M66" s="35"/>
      <c r="N66" s="36"/>
      <c r="O66" s="32"/>
      <c r="P66" s="37"/>
      <c r="Q66" s="37"/>
      <c r="R66" s="38"/>
      <c r="S66" s="32"/>
      <c r="T66" s="39"/>
      <c r="U66" s="6"/>
      <c r="V66" s="6"/>
    </row>
    <row r="67" spans="1:22" ht="15">
      <c r="A67" s="50"/>
      <c r="B67" s="51"/>
      <c r="C67" s="52"/>
      <c r="D67" s="50"/>
      <c r="E67" s="50"/>
      <c r="F67" s="50"/>
      <c r="G67" s="43">
        <f>F67*6%</f>
        <v>0</v>
      </c>
      <c r="H67" s="53"/>
      <c r="I67" s="44">
        <f>F67-G67-H67</f>
        <v>0</v>
      </c>
      <c r="J67" s="54">
        <f t="shared" ref="J67" si="85">S67+T67</f>
        <v>0</v>
      </c>
      <c r="K67" s="54">
        <f t="shared" ref="K67" si="86">I67-J67</f>
        <v>0</v>
      </c>
      <c r="L67" s="55"/>
      <c r="M67" s="50"/>
      <c r="N67" s="53">
        <f t="shared" ref="N67" si="87">I67-J67-M67-R67</f>
        <v>0</v>
      </c>
      <c r="O67" s="53">
        <f t="shared" ref="O67" si="88">R67+S67+T67</f>
        <v>0</v>
      </c>
      <c r="P67" s="56"/>
      <c r="Q67" s="50"/>
      <c r="R67" s="50"/>
      <c r="S67" s="50"/>
      <c r="T67" s="57"/>
    </row>
    <row r="68" spans="1:22" ht="15">
      <c r="A68" s="32"/>
      <c r="B68" s="33"/>
      <c r="C68" s="32"/>
      <c r="D68" s="33"/>
      <c r="E68" s="34"/>
      <c r="F68" s="32"/>
      <c r="G68" s="32"/>
      <c r="H68" s="32"/>
      <c r="I68" s="37"/>
      <c r="J68" s="37"/>
      <c r="K68" s="35"/>
      <c r="L68" s="35"/>
      <c r="M68" s="35"/>
      <c r="N68" s="36"/>
      <c r="O68" s="32"/>
      <c r="P68" s="37"/>
      <c r="Q68" s="37"/>
      <c r="R68" s="38"/>
      <c r="S68" s="32"/>
      <c r="T68" s="39"/>
      <c r="U68" s="6"/>
      <c r="V68" s="6"/>
    </row>
    <row r="69" spans="1:22" ht="15">
      <c r="A69" s="50"/>
      <c r="B69" s="51"/>
      <c r="C69" s="52"/>
      <c r="D69" s="50"/>
      <c r="E69" s="50"/>
      <c r="F69" s="50"/>
      <c r="G69" s="43">
        <f>F69*6%</f>
        <v>0</v>
      </c>
      <c r="H69" s="53"/>
      <c r="I69" s="44">
        <f>F69-G69-H69</f>
        <v>0</v>
      </c>
      <c r="J69" s="54">
        <f t="shared" ref="J69" si="89">S69+T69</f>
        <v>0</v>
      </c>
      <c r="K69" s="54">
        <f t="shared" ref="K69" si="90">I69-J69</f>
        <v>0</v>
      </c>
      <c r="L69" s="55"/>
      <c r="M69" s="50"/>
      <c r="N69" s="53">
        <f t="shared" ref="N69" si="91">I69-J69-M69-R69</f>
        <v>0</v>
      </c>
      <c r="O69" s="53">
        <f t="shared" ref="O69" si="92">R69+S69+T69</f>
        <v>0</v>
      </c>
      <c r="P69" s="56"/>
      <c r="Q69" s="50"/>
      <c r="R69" s="50"/>
      <c r="S69" s="50"/>
      <c r="T69" s="57"/>
    </row>
    <row r="70" spans="1:22" ht="15">
      <c r="A70" s="32"/>
      <c r="B70" s="33"/>
      <c r="C70" s="32"/>
      <c r="D70" s="33"/>
      <c r="E70" s="34"/>
      <c r="F70" s="32"/>
      <c r="G70" s="32"/>
      <c r="H70" s="32"/>
      <c r="I70" s="37"/>
      <c r="J70" s="37"/>
      <c r="K70" s="35"/>
      <c r="L70" s="35"/>
      <c r="M70" s="35"/>
      <c r="N70" s="36"/>
      <c r="O70" s="32"/>
      <c r="P70" s="37"/>
      <c r="Q70" s="37"/>
      <c r="R70" s="38"/>
      <c r="S70" s="32"/>
      <c r="T70" s="39"/>
      <c r="U70" s="6"/>
      <c r="V70" s="6"/>
    </row>
    <row r="71" spans="1:22" ht="15">
      <c r="A71" s="50"/>
      <c r="B71" s="51"/>
      <c r="C71" s="52"/>
      <c r="D71" s="50"/>
      <c r="E71" s="50"/>
      <c r="F71" s="50"/>
      <c r="G71" s="43">
        <f>F71*6%</f>
        <v>0</v>
      </c>
      <c r="H71" s="53"/>
      <c r="I71" s="44">
        <f>F71-G71-H71</f>
        <v>0</v>
      </c>
      <c r="J71" s="54">
        <f t="shared" ref="J71" si="93">S71+T71</f>
        <v>0</v>
      </c>
      <c r="K71" s="54">
        <f t="shared" ref="K71" si="94">I71-J71</f>
        <v>0</v>
      </c>
      <c r="L71" s="55"/>
      <c r="M71" s="50"/>
      <c r="N71" s="53">
        <f t="shared" ref="N71" si="95">I71-J71-M71-R71</f>
        <v>0</v>
      </c>
      <c r="O71" s="53">
        <f t="shared" ref="O71" si="96">R71+S71+T71</f>
        <v>0</v>
      </c>
      <c r="P71" s="56"/>
      <c r="Q71" s="50"/>
      <c r="R71" s="50"/>
      <c r="S71" s="50"/>
      <c r="T71" s="57"/>
    </row>
    <row r="72" spans="1:22" ht="15">
      <c r="A72" s="32"/>
      <c r="B72" s="33"/>
      <c r="C72" s="32"/>
      <c r="D72" s="33"/>
      <c r="E72" s="34"/>
      <c r="F72" s="32"/>
      <c r="G72" s="32"/>
      <c r="H72" s="32"/>
      <c r="I72" s="37"/>
      <c r="J72" s="37"/>
      <c r="K72" s="35"/>
      <c r="L72" s="35"/>
      <c r="M72" s="35"/>
      <c r="N72" s="36"/>
      <c r="O72" s="32"/>
      <c r="P72" s="37"/>
      <c r="Q72" s="37"/>
      <c r="R72" s="38"/>
      <c r="S72" s="32"/>
      <c r="T72" s="39"/>
      <c r="U72" s="6"/>
      <c r="V72" s="6"/>
    </row>
    <row r="73" spans="1:22" ht="15">
      <c r="A73" s="50"/>
      <c r="B73" s="51"/>
      <c r="C73" s="52"/>
      <c r="D73" s="50"/>
      <c r="E73" s="50"/>
      <c r="F73" s="50"/>
      <c r="G73" s="43">
        <f>F73*6%</f>
        <v>0</v>
      </c>
      <c r="H73" s="53"/>
      <c r="I73" s="44">
        <f>F73-G73-H73</f>
        <v>0</v>
      </c>
      <c r="J73" s="54">
        <f t="shared" ref="J73" si="97">S73+T73</f>
        <v>0</v>
      </c>
      <c r="K73" s="54">
        <f t="shared" ref="K73" si="98">I73-J73</f>
        <v>0</v>
      </c>
      <c r="L73" s="55"/>
      <c r="M73" s="50"/>
      <c r="N73" s="53">
        <f t="shared" ref="N73" si="99">I73-J73-M73-R73</f>
        <v>0</v>
      </c>
      <c r="O73" s="53">
        <f t="shared" ref="O73" si="100">R73+S73+T73</f>
        <v>0</v>
      </c>
      <c r="P73" s="56"/>
      <c r="Q73" s="50"/>
      <c r="R73" s="50"/>
      <c r="S73" s="50"/>
      <c r="T73" s="57"/>
    </row>
    <row r="74" spans="1:22" ht="15">
      <c r="A74" s="32"/>
      <c r="B74" s="33"/>
      <c r="C74" s="32"/>
      <c r="D74" s="33"/>
      <c r="E74" s="34"/>
      <c r="F74" s="32"/>
      <c r="G74" s="32"/>
      <c r="H74" s="32"/>
      <c r="I74" s="37"/>
      <c r="J74" s="37"/>
      <c r="K74" s="35"/>
      <c r="L74" s="35"/>
      <c r="M74" s="35"/>
      <c r="N74" s="36"/>
      <c r="O74" s="32"/>
      <c r="P74" s="37"/>
      <c r="Q74" s="37"/>
      <c r="R74" s="38"/>
      <c r="S74" s="32"/>
      <c r="T74" s="39"/>
      <c r="U74" s="6"/>
      <c r="V74" s="6"/>
    </row>
    <row r="75" spans="1:22" ht="15">
      <c r="A75" s="50"/>
      <c r="B75" s="51"/>
      <c r="C75" s="52"/>
      <c r="D75" s="50"/>
      <c r="E75" s="50"/>
      <c r="F75" s="50"/>
      <c r="G75" s="43">
        <f>F75*6%</f>
        <v>0</v>
      </c>
      <c r="H75" s="53"/>
      <c r="I75" s="44">
        <f>F75-G75-H75</f>
        <v>0</v>
      </c>
      <c r="J75" s="54">
        <f t="shared" ref="J75" si="101">S75+T75</f>
        <v>0</v>
      </c>
      <c r="K75" s="54">
        <f t="shared" ref="K75" si="102">I75-J75</f>
        <v>0</v>
      </c>
      <c r="L75" s="55"/>
      <c r="M75" s="50"/>
      <c r="N75" s="53">
        <f t="shared" ref="N75" si="103">I75-J75-M75-R75</f>
        <v>0</v>
      </c>
      <c r="O75" s="53">
        <f t="shared" ref="O75" si="104">R75+S75+T75</f>
        <v>0</v>
      </c>
      <c r="P75" s="56"/>
      <c r="Q75" s="50"/>
      <c r="R75" s="50"/>
      <c r="S75" s="50"/>
      <c r="T75" s="57"/>
    </row>
    <row r="76" spans="1:22" ht="15">
      <c r="A76" s="32"/>
      <c r="B76" s="33"/>
      <c r="C76" s="32"/>
      <c r="D76" s="33"/>
      <c r="E76" s="34"/>
      <c r="F76" s="32"/>
      <c r="G76" s="32"/>
      <c r="H76" s="32"/>
      <c r="I76" s="37"/>
      <c r="J76" s="37"/>
      <c r="K76" s="35"/>
      <c r="L76" s="35"/>
      <c r="M76" s="35"/>
      <c r="N76" s="36"/>
      <c r="O76" s="32"/>
      <c r="P76" s="37"/>
      <c r="Q76" s="37"/>
      <c r="R76" s="38"/>
      <c r="S76" s="32"/>
      <c r="T76" s="39"/>
      <c r="U76" s="6"/>
      <c r="V76" s="6"/>
    </row>
    <row r="77" spans="1:22" ht="15">
      <c r="A77" s="50"/>
      <c r="B77" s="51"/>
      <c r="C77" s="52"/>
      <c r="D77" s="50"/>
      <c r="E77" s="50"/>
      <c r="F77" s="50"/>
      <c r="G77" s="43">
        <f>F77*6%</f>
        <v>0</v>
      </c>
      <c r="H77" s="53"/>
      <c r="I77" s="44">
        <f>F77-G77-H77</f>
        <v>0</v>
      </c>
      <c r="J77" s="54">
        <f t="shared" ref="J77" si="105">S77+T77</f>
        <v>0</v>
      </c>
      <c r="K77" s="54">
        <f t="shared" ref="K77" si="106">I77-J77</f>
        <v>0</v>
      </c>
      <c r="L77" s="55"/>
      <c r="M77" s="50"/>
      <c r="N77" s="53">
        <f t="shared" ref="N77" si="107">I77-J77-M77-R77</f>
        <v>0</v>
      </c>
      <c r="O77" s="53">
        <f t="shared" ref="O77" si="108">R77+S77+T77</f>
        <v>0</v>
      </c>
      <c r="P77" s="56"/>
      <c r="Q77" s="50"/>
      <c r="R77" s="50"/>
      <c r="S77" s="50"/>
      <c r="T77" s="57"/>
    </row>
    <row r="78" spans="1:22" ht="15">
      <c r="A78" s="32"/>
      <c r="B78" s="33"/>
      <c r="C78" s="32"/>
      <c r="D78" s="33"/>
      <c r="E78" s="34"/>
      <c r="F78" s="32"/>
      <c r="G78" s="32"/>
      <c r="H78" s="32"/>
      <c r="I78" s="37"/>
      <c r="J78" s="37"/>
      <c r="K78" s="35"/>
      <c r="L78" s="35"/>
      <c r="M78" s="35"/>
      <c r="N78" s="36"/>
      <c r="O78" s="32"/>
      <c r="P78" s="37"/>
      <c r="Q78" s="37"/>
      <c r="R78" s="38"/>
      <c r="S78" s="32"/>
      <c r="T78" s="39"/>
      <c r="U78" s="6"/>
      <c r="V78" s="6"/>
    </row>
    <row r="79" spans="1:22" ht="15">
      <c r="A79" s="50"/>
      <c r="B79" s="51"/>
      <c r="C79" s="52"/>
      <c r="D79" s="50"/>
      <c r="E79" s="50"/>
      <c r="F79" s="50"/>
      <c r="G79" s="43">
        <f>F79*6%</f>
        <v>0</v>
      </c>
      <c r="H79" s="53"/>
      <c r="I79" s="44">
        <f>F79-G79-H79</f>
        <v>0</v>
      </c>
      <c r="J79" s="54">
        <f t="shared" ref="J79" si="109">S79+T79</f>
        <v>0</v>
      </c>
      <c r="K79" s="54">
        <f t="shared" ref="K79" si="110">I79-J79</f>
        <v>0</v>
      </c>
      <c r="L79" s="55"/>
      <c r="M79" s="50"/>
      <c r="N79" s="53">
        <f t="shared" ref="N79" si="111">I79-J79-M79-R79</f>
        <v>0</v>
      </c>
      <c r="O79" s="53">
        <f t="shared" ref="O79" si="112">R79+S79+T79</f>
        <v>0</v>
      </c>
      <c r="P79" s="56"/>
      <c r="Q79" s="50"/>
      <c r="R79" s="50"/>
      <c r="S79" s="50"/>
      <c r="T79" s="57"/>
    </row>
    <row r="80" spans="1:22" ht="15">
      <c r="A80" s="32"/>
      <c r="B80" s="33"/>
      <c r="C80" s="32"/>
      <c r="D80" s="33"/>
      <c r="E80" s="34"/>
      <c r="F80" s="32"/>
      <c r="G80" s="32"/>
      <c r="H80" s="32"/>
      <c r="I80" s="37"/>
      <c r="J80" s="37"/>
      <c r="K80" s="35"/>
      <c r="L80" s="35"/>
      <c r="M80" s="35"/>
      <c r="N80" s="36"/>
      <c r="O80" s="32"/>
      <c r="P80" s="37"/>
      <c r="Q80" s="37"/>
      <c r="R80" s="38"/>
      <c r="S80" s="32"/>
      <c r="T80" s="39"/>
      <c r="U80" s="6"/>
      <c r="V80" s="6"/>
    </row>
    <row r="81" spans="1:20" ht="15">
      <c r="A81" s="50"/>
      <c r="B81" s="51"/>
      <c r="C81" s="52"/>
      <c r="D81" s="50"/>
      <c r="E81" s="50"/>
      <c r="F81" s="50"/>
      <c r="G81" s="43">
        <f>F81*6%</f>
        <v>0</v>
      </c>
      <c r="H81" s="53"/>
      <c r="I81" s="44">
        <f>F81-G81-H81</f>
        <v>0</v>
      </c>
      <c r="J81" s="54">
        <f t="shared" ref="J81" si="113">S81+T81</f>
        <v>0</v>
      </c>
      <c r="K81" s="54">
        <f t="shared" ref="K81" si="114">I81-J81</f>
        <v>0</v>
      </c>
      <c r="L81" s="55"/>
      <c r="M81" s="50"/>
      <c r="N81" s="53">
        <f t="shared" ref="N81" si="115">I81-J81-M81-R81</f>
        <v>0</v>
      </c>
      <c r="O81" s="53">
        <f t="shared" ref="O81" si="116">R81+S81+T81</f>
        <v>0</v>
      </c>
      <c r="P81" s="56"/>
      <c r="Q81" s="50"/>
      <c r="R81" s="50"/>
      <c r="S81" s="50"/>
      <c r="T81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217" priority="119" operator="containsText" text="SIN FACTURA ">
      <formula>NOT(ISERROR(SEARCH("SIN FACTURA ",A2)))</formula>
    </cfRule>
  </conditionalFormatting>
  <conditionalFormatting sqref="J23:T23 J21:T21 J19:T19 J17:T17 J15:T15 J13:T13 J11:T11 J10:V10 J12:V12 J14:V14 J16:V16 J18:V18 J20:V20 J22:V22 J25:T25 J24:V24 J27:T27 J26:V26 J29:T29 J28:V28 J31:T31 J30:V30 J33:T33 J32:V32 J35:T35 J34:V34 A36:V36 J37:T37 A37:I81 J39:T39 J38:V38 J41:T41 J40:V40 J43:T43 J42:V42 J45:T45 J44:V44 J47:T47 J46:V46 J49:T49 J48:V48 J51:T51 J50:V50 J53:T53 J52:V52 J55:T55 J54:V54 J57:T57 J56:V56 J59:T59 J58:V58 J61:T61 J60:V60 J63:T63 J62:V62 J65:T65 J64:V64 J67:T67 J66:V66 J69:T69 J68:V68 J71:T71 J70:V70 J73:T73 J72:V72 J75:T75 J74:V74 J77:T77 J76:V76 J79:T79 J78:V78 J81:T81 J80:V80 A4:T4 J5:T9 A5:I35">
    <cfRule type="containsText" dxfId="1216" priority="93" operator="containsText" text="SIN FACTURA">
      <formula>NOT(ISERROR(SEARCH("SIN FACTURA",A4)))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120.xml><?xml version="1.0" encoding="utf-8"?>
<worksheet xmlns="http://schemas.openxmlformats.org/spreadsheetml/2006/main" xmlns:r="http://schemas.openxmlformats.org/officeDocument/2006/relationships">
  <sheetPr codeName="Hoja184"/>
  <dimension ref="A1:Y44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12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317</v>
      </c>
      <c r="B1" s="18" t="s">
        <v>94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7" si="0">F5-G5-H5</f>
        <v>0</v>
      </c>
      <c r="J5" s="44">
        <f t="shared" ref="J5:J37" si="1">S5+T5</f>
        <v>0</v>
      </c>
      <c r="K5" s="44">
        <f t="shared" ref="K5:K37" si="2">I5-J5</f>
        <v>0</v>
      </c>
      <c r="L5" s="45"/>
      <c r="M5" s="40"/>
      <c r="N5" s="43">
        <f t="shared" ref="N5:N37" si="3">I5-J5-M5-R5</f>
        <v>0</v>
      </c>
      <c r="O5" s="43">
        <f t="shared" ref="O5:O37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2"/>
      <c r="D6" s="33"/>
      <c r="E6" s="34"/>
      <c r="F6" s="32"/>
      <c r="G6" s="32"/>
      <c r="H6" s="32"/>
      <c r="I6" s="37"/>
      <c r="J6" s="37"/>
      <c r="K6" s="35"/>
      <c r="L6" s="35"/>
      <c r="M6" s="35"/>
      <c r="N6" s="36"/>
      <c r="O6" s="32"/>
      <c r="P6" s="37"/>
      <c r="Q6" s="37"/>
      <c r="R6" s="38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>S11+T11</f>
        <v>0</v>
      </c>
      <c r="K11" s="44">
        <f t="shared" si="2"/>
        <v>0</v>
      </c>
      <c r="L11" s="45"/>
      <c r="M11" s="40"/>
      <c r="N11" s="43">
        <f>I11-J11-M11-R11</f>
        <v>0</v>
      </c>
      <c r="O11" s="43">
        <f>R11+S11+T11</f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58"/>
      <c r="B38" s="59"/>
      <c r="C38" s="60"/>
      <c r="D38" s="58"/>
      <c r="E38" s="58"/>
      <c r="F38" s="58"/>
      <c r="G38" s="58"/>
      <c r="H38" s="58"/>
      <c r="I38" s="61">
        <f t="shared" ref="I38:I43" si="5">F38-G38</f>
        <v>0</v>
      </c>
      <c r="J38" s="61">
        <f t="shared" ref="J38:J43" si="6">S38+T38</f>
        <v>0</v>
      </c>
      <c r="K38" s="61">
        <f t="shared" ref="K38:K43" si="7">I38-J38</f>
        <v>0</v>
      </c>
      <c r="L38" s="62"/>
      <c r="M38" s="58"/>
      <c r="N38" s="63">
        <f t="shared" ref="N38:N43" si="8">I38-J38-M38-R38</f>
        <v>0</v>
      </c>
      <c r="O38" s="63">
        <f t="shared" ref="O38:O43" si="9">R38+S38+T38</f>
        <v>0</v>
      </c>
      <c r="P38" s="64"/>
      <c r="Q38" s="58"/>
      <c r="R38" s="58"/>
      <c r="S38" s="58"/>
      <c r="T38" s="68"/>
    </row>
    <row r="39" spans="1:22" ht="15">
      <c r="A39" s="40"/>
      <c r="B39" s="41"/>
      <c r="C39" s="42"/>
      <c r="D39" s="40"/>
      <c r="E39" s="40"/>
      <c r="F39" s="40"/>
      <c r="G39" s="40"/>
      <c r="H39" s="40"/>
      <c r="I39" s="44">
        <f t="shared" si="5"/>
        <v>0</v>
      </c>
      <c r="J39" s="44">
        <f t="shared" si="6"/>
        <v>0</v>
      </c>
      <c r="K39" s="44">
        <f t="shared" si="7"/>
        <v>0</v>
      </c>
      <c r="L39" s="45"/>
      <c r="M39" s="40"/>
      <c r="N39" s="43">
        <f t="shared" si="8"/>
        <v>0</v>
      </c>
      <c r="O39" s="43">
        <f t="shared" si="9"/>
        <v>0</v>
      </c>
      <c r="P39" s="46"/>
      <c r="Q39" s="40"/>
      <c r="R39" s="40"/>
      <c r="S39" s="40"/>
      <c r="T39" s="5"/>
    </row>
    <row r="40" spans="1:22" ht="15">
      <c r="A40" s="58"/>
      <c r="B40" s="59"/>
      <c r="C40" s="60"/>
      <c r="D40" s="58"/>
      <c r="E40" s="58"/>
      <c r="F40" s="58"/>
      <c r="G40" s="58"/>
      <c r="H40" s="58"/>
      <c r="I40" s="61">
        <f t="shared" si="5"/>
        <v>0</v>
      </c>
      <c r="J40" s="61">
        <f t="shared" si="6"/>
        <v>0</v>
      </c>
      <c r="K40" s="61">
        <f t="shared" si="7"/>
        <v>0</v>
      </c>
      <c r="L40" s="62"/>
      <c r="M40" s="58"/>
      <c r="N40" s="63">
        <f t="shared" si="8"/>
        <v>0</v>
      </c>
      <c r="O40" s="63">
        <f t="shared" si="9"/>
        <v>0</v>
      </c>
      <c r="P40" s="64"/>
      <c r="Q40" s="58"/>
      <c r="R40" s="58"/>
      <c r="S40" s="58"/>
      <c r="T40" s="68"/>
    </row>
    <row r="41" spans="1:22" ht="15">
      <c r="A41" s="40"/>
      <c r="B41" s="41"/>
      <c r="C41" s="42"/>
      <c r="D41" s="40"/>
      <c r="E41" s="40"/>
      <c r="F41" s="40"/>
      <c r="G41" s="40"/>
      <c r="H41" s="40"/>
      <c r="I41" s="44">
        <f t="shared" si="5"/>
        <v>0</v>
      </c>
      <c r="J41" s="44">
        <f t="shared" si="6"/>
        <v>0</v>
      </c>
      <c r="K41" s="44">
        <f t="shared" si="7"/>
        <v>0</v>
      </c>
      <c r="L41" s="45"/>
      <c r="M41" s="40"/>
      <c r="N41" s="43">
        <f t="shared" si="8"/>
        <v>0</v>
      </c>
      <c r="O41" s="43">
        <f t="shared" si="9"/>
        <v>0</v>
      </c>
      <c r="P41" s="46"/>
      <c r="Q41" s="40"/>
      <c r="R41" s="40"/>
      <c r="S41" s="40"/>
      <c r="T41" s="5"/>
    </row>
    <row r="42" spans="1:22" ht="15">
      <c r="A42" s="58"/>
      <c r="B42" s="59"/>
      <c r="C42" s="60"/>
      <c r="D42" s="58"/>
      <c r="E42" s="58"/>
      <c r="F42" s="58"/>
      <c r="G42" s="58"/>
      <c r="H42" s="58"/>
      <c r="I42" s="61">
        <f t="shared" si="5"/>
        <v>0</v>
      </c>
      <c r="J42" s="61">
        <f t="shared" si="6"/>
        <v>0</v>
      </c>
      <c r="K42" s="61">
        <f t="shared" si="7"/>
        <v>0</v>
      </c>
      <c r="L42" s="62"/>
      <c r="M42" s="58"/>
      <c r="N42" s="63">
        <f t="shared" si="8"/>
        <v>0</v>
      </c>
      <c r="O42" s="63">
        <f t="shared" si="9"/>
        <v>0</v>
      </c>
      <c r="P42" s="64"/>
      <c r="Q42" s="58"/>
      <c r="R42" s="58"/>
      <c r="S42" s="58"/>
      <c r="T42" s="68"/>
    </row>
    <row r="43" spans="1:22" ht="15">
      <c r="A43" s="40"/>
      <c r="B43" s="41"/>
      <c r="C43" s="42"/>
      <c r="D43" s="40"/>
      <c r="E43" s="40"/>
      <c r="F43" s="40"/>
      <c r="G43" s="40"/>
      <c r="H43" s="40"/>
      <c r="I43" s="44">
        <f t="shared" si="5"/>
        <v>0</v>
      </c>
      <c r="J43" s="44">
        <f t="shared" si="6"/>
        <v>0</v>
      </c>
      <c r="K43" s="44">
        <f t="shared" si="7"/>
        <v>0</v>
      </c>
      <c r="L43" s="45"/>
      <c r="M43" s="40"/>
      <c r="N43" s="43">
        <f t="shared" si="8"/>
        <v>0</v>
      </c>
      <c r="O43" s="43">
        <f t="shared" si="9"/>
        <v>0</v>
      </c>
      <c r="P43" s="46"/>
      <c r="Q43" s="40"/>
      <c r="R43" s="40"/>
      <c r="S43" s="40"/>
      <c r="T43" s="5"/>
    </row>
    <row r="44" spans="1:22">
      <c r="A44" s="93" t="s">
        <v>113</v>
      </c>
      <c r="B44" s="93"/>
      <c r="C44" s="94"/>
      <c r="D44" s="93"/>
      <c r="E44" s="93"/>
      <c r="F44" s="93"/>
      <c r="G44" s="93"/>
      <c r="H44" s="94"/>
      <c r="I44" s="94"/>
      <c r="J44" s="94"/>
      <c r="K44" s="93"/>
      <c r="L44" s="93"/>
      <c r="M44" s="93"/>
      <c r="N44" s="93"/>
      <c r="O44" s="81"/>
      <c r="P44" s="79"/>
      <c r="Q44" s="79"/>
      <c r="R44" s="79"/>
      <c r="S44" s="79">
        <f>SUBTOTAL(103,MARVILL!$S$4:$S$43)</f>
        <v>0</v>
      </c>
      <c r="T44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215" priority="27" operator="containsText" text="SIN FACTURA ">
      <formula>NOT(ISERROR(SEARCH("SIN FACTURA ",A2)))</formula>
    </cfRule>
  </conditionalFormatting>
  <conditionalFormatting sqref="A38:T43 A4:T4 J5:T5 I5:I37 A5:H5">
    <cfRule type="containsText" dxfId="1214" priority="26" operator="containsText" text="SIN FACTURA">
      <formula>NOT(ISERROR(SEARCH("SIN FACTURA",A4)))</formula>
    </cfRule>
  </conditionalFormatting>
  <conditionalFormatting sqref="J37:T37 J35:T35 J33:T33 J31:T31 J29:T29 J27:T27 J25:T25 J23:T23 J21:T21 J19:T19 J17:T17 J7:T15 A7:H15 A17:H17 A19:H19 A21:H21 A23:H23 A25:H25 A27:H27 A29:H29 A31:H31 A33:H33 A35:H35 A37:H37">
    <cfRule type="containsText" dxfId="1213" priority="25" operator="containsText" text="SIN FACTURA">
      <formula>NOT(ISERROR(SEARCH("SIN FACTURA",A7)))</formula>
    </cfRule>
  </conditionalFormatting>
  <conditionalFormatting sqref="C6:H6 J6:V6">
    <cfRule type="containsText" dxfId="1212" priority="24" operator="containsText" text="SIN FACTURA">
      <formula>NOT(ISERROR(SEARCH("SIN FACTURA",C6)))</formula>
    </cfRule>
  </conditionalFormatting>
  <conditionalFormatting sqref="C16:H16 J16:V16">
    <cfRule type="containsText" dxfId="1211" priority="23" operator="containsText" text="SIN FACTURA">
      <formula>NOT(ISERROR(SEARCH("SIN FACTURA",C16)))</formula>
    </cfRule>
  </conditionalFormatting>
  <conditionalFormatting sqref="C18:H18 J18:V18">
    <cfRule type="containsText" dxfId="1210" priority="22" operator="containsText" text="SIN FACTURA">
      <formula>NOT(ISERROR(SEARCH("SIN FACTURA",C18)))</formula>
    </cfRule>
  </conditionalFormatting>
  <conditionalFormatting sqref="C20:H20 J20:V20">
    <cfRule type="containsText" dxfId="1209" priority="21" operator="containsText" text="SIN FACTURA">
      <formula>NOT(ISERROR(SEARCH("SIN FACTURA",C20)))</formula>
    </cfRule>
  </conditionalFormatting>
  <conditionalFormatting sqref="C22:H22 J22:V22">
    <cfRule type="containsText" dxfId="1208" priority="20" operator="containsText" text="SIN FACTURA">
      <formula>NOT(ISERROR(SEARCH("SIN FACTURA",C22)))</formula>
    </cfRule>
  </conditionalFormatting>
  <conditionalFormatting sqref="C24:H24 J24:V24">
    <cfRule type="containsText" dxfId="1207" priority="19" operator="containsText" text="SIN FACTURA">
      <formula>NOT(ISERROR(SEARCH("SIN FACTURA",C24)))</formula>
    </cfRule>
  </conditionalFormatting>
  <conditionalFormatting sqref="C26:H26 J26:V26">
    <cfRule type="containsText" dxfId="1206" priority="18" operator="containsText" text="SIN FACTURA">
      <formula>NOT(ISERROR(SEARCH("SIN FACTURA",C26)))</formula>
    </cfRule>
  </conditionalFormatting>
  <conditionalFormatting sqref="C28:H28 J28:V28">
    <cfRule type="containsText" dxfId="1205" priority="17" operator="containsText" text="SIN FACTURA">
      <formula>NOT(ISERROR(SEARCH("SIN FACTURA",C28)))</formula>
    </cfRule>
  </conditionalFormatting>
  <conditionalFormatting sqref="C30:H30 J30:V30">
    <cfRule type="containsText" dxfId="1204" priority="16" operator="containsText" text="SIN FACTURA">
      <formula>NOT(ISERROR(SEARCH("SIN FACTURA",C30)))</formula>
    </cfRule>
  </conditionalFormatting>
  <conditionalFormatting sqref="C32:H32 J32:V32">
    <cfRule type="containsText" dxfId="1203" priority="15" operator="containsText" text="SIN FACTURA">
      <formula>NOT(ISERROR(SEARCH("SIN FACTURA",C32)))</formula>
    </cfRule>
  </conditionalFormatting>
  <conditionalFormatting sqref="C34:H34 J34:V34">
    <cfRule type="containsText" dxfId="1202" priority="14" operator="containsText" text="SIN FACTURA">
      <formula>NOT(ISERROR(SEARCH("SIN FACTURA",C34)))</formula>
    </cfRule>
  </conditionalFormatting>
  <conditionalFormatting sqref="C36:H36 J36:V36">
    <cfRule type="containsText" dxfId="1201" priority="13" operator="containsText" text="SIN FACTURA">
      <formula>NOT(ISERROR(SEARCH("SIN FACTURA",C36)))</formula>
    </cfRule>
  </conditionalFormatting>
  <conditionalFormatting sqref="A6:B6">
    <cfRule type="containsText" dxfId="1200" priority="12" operator="containsText" text="SIN FACTURA">
      <formula>NOT(ISERROR(SEARCH("SIN FACTURA",A6)))</formula>
    </cfRule>
  </conditionalFormatting>
  <conditionalFormatting sqref="A16:B16">
    <cfRule type="containsText" dxfId="1199" priority="11" operator="containsText" text="SIN FACTURA">
      <formula>NOT(ISERROR(SEARCH("SIN FACTURA",A16)))</formula>
    </cfRule>
  </conditionalFormatting>
  <conditionalFormatting sqref="A18:B18">
    <cfRule type="containsText" dxfId="1198" priority="10" operator="containsText" text="SIN FACTURA">
      <formula>NOT(ISERROR(SEARCH("SIN FACTURA",A18)))</formula>
    </cfRule>
  </conditionalFormatting>
  <conditionalFormatting sqref="A20:B20">
    <cfRule type="containsText" dxfId="1197" priority="9" operator="containsText" text="SIN FACTURA">
      <formula>NOT(ISERROR(SEARCH("SIN FACTURA",A20)))</formula>
    </cfRule>
  </conditionalFormatting>
  <conditionalFormatting sqref="A22:B22">
    <cfRule type="containsText" dxfId="1196" priority="8" operator="containsText" text="SIN FACTURA">
      <formula>NOT(ISERROR(SEARCH("SIN FACTURA",A22)))</formula>
    </cfRule>
  </conditionalFormatting>
  <conditionalFormatting sqref="A24:B24">
    <cfRule type="containsText" dxfId="1195" priority="7" operator="containsText" text="SIN FACTURA">
      <formula>NOT(ISERROR(SEARCH("SIN FACTURA",A24)))</formula>
    </cfRule>
  </conditionalFormatting>
  <conditionalFormatting sqref="A36:B36">
    <cfRule type="containsText" dxfId="1194" priority="1" operator="containsText" text="SIN FACTURA">
      <formula>NOT(ISERROR(SEARCH("SIN FACTURA",A36)))</formula>
    </cfRule>
  </conditionalFormatting>
  <conditionalFormatting sqref="A26:B26">
    <cfRule type="containsText" dxfId="1193" priority="6" operator="containsText" text="SIN FACTURA">
      <formula>NOT(ISERROR(SEARCH("SIN FACTURA",A26)))</formula>
    </cfRule>
  </conditionalFormatting>
  <conditionalFormatting sqref="A28:B28">
    <cfRule type="containsText" dxfId="1192" priority="5" operator="containsText" text="SIN FACTURA">
      <formula>NOT(ISERROR(SEARCH("SIN FACTURA",A28)))</formula>
    </cfRule>
  </conditionalFormatting>
  <conditionalFormatting sqref="A30:B30">
    <cfRule type="containsText" dxfId="1191" priority="4" operator="containsText" text="SIN FACTURA">
      <formula>NOT(ISERROR(SEARCH("SIN FACTURA",A30)))</formula>
    </cfRule>
  </conditionalFormatting>
  <conditionalFormatting sqref="A32:B32">
    <cfRule type="containsText" dxfId="1190" priority="3" operator="containsText" text="SIN FACTURA">
      <formula>NOT(ISERROR(SEARCH("SIN FACTURA",A32)))</formula>
    </cfRule>
  </conditionalFormatting>
  <conditionalFormatting sqref="A34:B34">
    <cfRule type="containsText" dxfId="1189" priority="2" operator="containsText" text="SIN FACTURA">
      <formula>NOT(ISERROR(SEARCH("SIN FACTURA",A34)))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121.xml><?xml version="1.0" encoding="utf-8"?>
<worksheet xmlns="http://schemas.openxmlformats.org/spreadsheetml/2006/main" xmlns:r="http://schemas.openxmlformats.org/officeDocument/2006/relationships">
  <sheetPr codeName="Hoja187"/>
  <dimension ref="A1:Y27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24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4">
        <v>156</v>
      </c>
      <c r="B1" s="15" t="s">
        <v>66</v>
      </c>
      <c r="C1" s="1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6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27" si="0">F5-G5-H5</f>
        <v>0</v>
      </c>
      <c r="J5" s="44">
        <f t="shared" ref="J5:J27" si="1">S5+T5</f>
        <v>0</v>
      </c>
      <c r="K5" s="44">
        <f t="shared" ref="K5:K27" si="2">I5-J5</f>
        <v>0</v>
      </c>
      <c r="L5" s="45"/>
      <c r="M5" s="40"/>
      <c r="N5" s="43">
        <f t="shared" ref="N5:N27" si="3">I5-J5-M5-R5</f>
        <v>0</v>
      </c>
      <c r="O5" s="43">
        <f t="shared" ref="O5:O27" si="4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2"/>
      <c r="D6" s="33"/>
      <c r="E6" s="34"/>
      <c r="F6" s="32"/>
      <c r="G6" s="37"/>
      <c r="H6" s="32"/>
      <c r="I6" s="37"/>
      <c r="J6" s="37"/>
      <c r="K6" s="35"/>
      <c r="L6" s="35"/>
      <c r="M6" s="35"/>
      <c r="N6" s="36"/>
      <c r="O6" s="32"/>
      <c r="P6" s="37"/>
      <c r="Q6" s="37"/>
      <c r="R6" s="38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  <c r="U8" s="6"/>
      <c r="V8" s="6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  <c r="U10" s="6"/>
      <c r="V10" s="6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50"/>
      <c r="B27" s="51"/>
      <c r="C27" s="52"/>
      <c r="D27" s="50"/>
      <c r="E27" s="50"/>
      <c r="F27" s="50"/>
      <c r="G27" s="43">
        <f>F27*6%</f>
        <v>0</v>
      </c>
      <c r="H27" s="53"/>
      <c r="I27" s="44">
        <f t="shared" si="0"/>
        <v>0</v>
      </c>
      <c r="J27" s="54">
        <f t="shared" si="1"/>
        <v>0</v>
      </c>
      <c r="K27" s="54">
        <f t="shared" si="2"/>
        <v>0</v>
      </c>
      <c r="L27" s="55"/>
      <c r="M27" s="50"/>
      <c r="N27" s="53">
        <f t="shared" si="3"/>
        <v>0</v>
      </c>
      <c r="O27" s="53">
        <f t="shared" si="4"/>
        <v>0</v>
      </c>
      <c r="P27" s="56"/>
      <c r="Q27" s="50"/>
      <c r="R27" s="50"/>
      <c r="S27" s="50"/>
      <c r="T27" s="5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1188" priority="40" operator="containsText" text="SIN FACTURA ">
      <formula>NOT(ISERROR(SEARCH("SIN FACTURA ",A2)))</formula>
    </cfRule>
  </conditionalFormatting>
  <conditionalFormatting sqref="A4:T4 J5:T5 I5:I27 A5:H5">
    <cfRule type="containsText" dxfId="1187" priority="14" operator="containsText" text="SIN FACTURA">
      <formula>NOT(ISERROR(SEARCH("SIN FACTURA",A4)))</formula>
    </cfRule>
  </conditionalFormatting>
  <conditionalFormatting sqref="A6:B6">
    <cfRule type="containsText" dxfId="1186" priority="13" operator="containsText" text="SIN FACTURA">
      <formula>NOT(ISERROR(SEARCH("SIN FACTURA",A6)))</formula>
    </cfRule>
  </conditionalFormatting>
  <conditionalFormatting sqref="A8:B8">
    <cfRule type="containsText" dxfId="1185" priority="12" operator="containsText" text="SIN FACTURA">
      <formula>NOT(ISERROR(SEARCH("SIN FACTURA",A8)))</formula>
    </cfRule>
  </conditionalFormatting>
  <conditionalFormatting sqref="A10:B10">
    <cfRule type="containsText" dxfId="1184" priority="11" operator="containsText" text="SIN FACTURA">
      <formula>NOT(ISERROR(SEARCH("SIN FACTURA",A10)))</formula>
    </cfRule>
  </conditionalFormatting>
  <conditionalFormatting sqref="A12:B12">
    <cfRule type="containsText" dxfId="1183" priority="10" operator="containsText" text="SIN FACTURA">
      <formula>NOT(ISERROR(SEARCH("SIN FACTURA",A12)))</formula>
    </cfRule>
  </conditionalFormatting>
  <conditionalFormatting sqref="A14:B14">
    <cfRule type="containsText" dxfId="1182" priority="9" operator="containsText" text="SIN FACTURA">
      <formula>NOT(ISERROR(SEARCH("SIN FACTURA",A14)))</formula>
    </cfRule>
  </conditionalFormatting>
  <conditionalFormatting sqref="A16:B16">
    <cfRule type="containsText" dxfId="1181" priority="8" operator="containsText" text="SIN FACTURA">
      <formula>NOT(ISERROR(SEARCH("SIN FACTURA",A16)))</formula>
    </cfRule>
  </conditionalFormatting>
  <conditionalFormatting sqref="A18:B18">
    <cfRule type="containsText" dxfId="1180" priority="7" operator="containsText" text="SIN FACTURA">
      <formula>NOT(ISERROR(SEARCH("SIN FACTURA",A18)))</formula>
    </cfRule>
  </conditionalFormatting>
  <conditionalFormatting sqref="A20:B20">
    <cfRule type="containsText" dxfId="1179" priority="6" operator="containsText" text="SIN FACTURA">
      <formula>NOT(ISERROR(SEARCH("SIN FACTURA",A20)))</formula>
    </cfRule>
  </conditionalFormatting>
  <conditionalFormatting sqref="A22:B22">
    <cfRule type="containsText" dxfId="1178" priority="5" operator="containsText" text="SIN FACTURA">
      <formula>NOT(ISERROR(SEARCH("SIN FACTURA",A22)))</formula>
    </cfRule>
  </conditionalFormatting>
  <conditionalFormatting sqref="A24:B24">
    <cfRule type="containsText" dxfId="1177" priority="4" operator="containsText" text="SIN FACTURA">
      <formula>NOT(ISERROR(SEARCH("SIN FACTURA",A24)))</formula>
    </cfRule>
  </conditionalFormatting>
  <conditionalFormatting sqref="A26:B26">
    <cfRule type="containsText" dxfId="1176" priority="3" operator="containsText" text="SIN FACTURA">
      <formula>NOT(ISERROR(SEARCH("SIN FACTURA",A26)))</formula>
    </cfRule>
  </conditionalFormatting>
  <conditionalFormatting sqref="J27:T27 J25:T25 J23:T23 J21:T21 J19:T19 J17:T17 J15:T15 J13:T13 J11:T11 J9:T9 J7:T7 A7:H7 A9:H9 A11:H11 A13:H13 A15:H15 A17:H17 A19:H19 A21:H21 A23:H23 A25:H25 A27:H27">
    <cfRule type="containsText" dxfId="1175" priority="27" operator="containsText" text="SIN FACTURA">
      <formula>NOT(ISERROR(SEARCH("SIN FACTURA",A7)))</formula>
    </cfRule>
  </conditionalFormatting>
  <conditionalFormatting sqref="C6:H6 J6:V6">
    <cfRule type="containsText" dxfId="1174" priority="25" operator="containsText" text="SIN FACTURA">
      <formula>NOT(ISERROR(SEARCH("SIN FACTURA",C6)))</formula>
    </cfRule>
  </conditionalFormatting>
  <conditionalFormatting sqref="C8:H8 J8:V8">
    <cfRule type="containsText" dxfId="1173" priority="24" operator="containsText" text="SIN FACTURA">
      <formula>NOT(ISERROR(SEARCH("SIN FACTURA",C8)))</formula>
    </cfRule>
  </conditionalFormatting>
  <conditionalFormatting sqref="C10:H10 J10:V10">
    <cfRule type="containsText" dxfId="1172" priority="23" operator="containsText" text="SIN FACTURA">
      <formula>NOT(ISERROR(SEARCH("SIN FACTURA",C10)))</formula>
    </cfRule>
  </conditionalFormatting>
  <conditionalFormatting sqref="C12:H12 J12:V12">
    <cfRule type="containsText" dxfId="1171" priority="22" operator="containsText" text="SIN FACTURA">
      <formula>NOT(ISERROR(SEARCH("SIN FACTURA",C12)))</formula>
    </cfRule>
  </conditionalFormatting>
  <conditionalFormatting sqref="C14:H14 J14:V14">
    <cfRule type="containsText" dxfId="1170" priority="21" operator="containsText" text="SIN FACTURA">
      <formula>NOT(ISERROR(SEARCH("SIN FACTURA",C14)))</formula>
    </cfRule>
  </conditionalFormatting>
  <conditionalFormatting sqref="C16:H16 J16:V16">
    <cfRule type="containsText" dxfId="1169" priority="20" operator="containsText" text="SIN FACTURA">
      <formula>NOT(ISERROR(SEARCH("SIN FACTURA",C16)))</formula>
    </cfRule>
  </conditionalFormatting>
  <conditionalFormatting sqref="C18:H18 J18:V18">
    <cfRule type="containsText" dxfId="1168" priority="19" operator="containsText" text="SIN FACTURA">
      <formula>NOT(ISERROR(SEARCH("SIN FACTURA",C18)))</formula>
    </cfRule>
  </conditionalFormatting>
  <conditionalFormatting sqref="C20:H20 J20:V20">
    <cfRule type="containsText" dxfId="1167" priority="18" operator="containsText" text="SIN FACTURA">
      <formula>NOT(ISERROR(SEARCH("SIN FACTURA",C20)))</formula>
    </cfRule>
  </conditionalFormatting>
  <conditionalFormatting sqref="C22:H22 J22:V22">
    <cfRule type="containsText" dxfId="1166" priority="17" operator="containsText" text="SIN FACTURA">
      <formula>NOT(ISERROR(SEARCH("SIN FACTURA",C22)))</formula>
    </cfRule>
  </conditionalFormatting>
  <conditionalFormatting sqref="C24:H24 J24:V24">
    <cfRule type="containsText" dxfId="1165" priority="16" operator="containsText" text="SIN FACTURA">
      <formula>NOT(ISERROR(SEARCH("SIN FACTURA",C24)))</formula>
    </cfRule>
  </conditionalFormatting>
  <conditionalFormatting sqref="C26:H26 J26:V26">
    <cfRule type="containsText" dxfId="1164" priority="15" operator="containsText" text="SIN FACTURA">
      <formula>NOT(ISERROR(SEARCH("SIN FACTURA",C26)))</formula>
    </cfRule>
  </conditionalFormatting>
  <pageMargins left="0.75" right="0.75" top="1" bottom="1" header="0.5" footer="0.5"/>
  <pageSetup paperSize="9" orientation="portrait" horizontalDpi="4294967292" verticalDpi="4294967292"/>
</worksheet>
</file>

<file path=xl/worksheets/sheet122.xml><?xml version="1.0" encoding="utf-8"?>
<worksheet xmlns="http://schemas.openxmlformats.org/spreadsheetml/2006/main" xmlns:r="http://schemas.openxmlformats.org/officeDocument/2006/relationships">
  <sheetPr codeName="Hoja56"/>
  <dimension ref="A1:Y43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9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852</v>
      </c>
      <c r="B1" s="18" t="s">
        <v>26</v>
      </c>
      <c r="C1" s="20"/>
      <c r="D1" s="5"/>
      <c r="E1" s="11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44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1163" priority="29" operator="containsText" text="SIN FACTURA ">
      <formula>NOT(ISERROR(SEARCH("SIN FACTURA ",A2)))</formula>
    </cfRule>
  </conditionalFormatting>
  <conditionalFormatting sqref="A38:B38 J5:T11 I5:I43 A5:H11 A4:T4">
    <cfRule type="containsText" dxfId="1162" priority="3" operator="containsText" text="SIN FACTURA">
      <formula>NOT(ISERROR(SEARCH("SIN FACTURA",A4)))</formula>
    </cfRule>
  </conditionalFormatting>
  <conditionalFormatting sqref="J43:T43 J41:T41 J39:T39 J37:T37 J35:T35 J33:T33 J31:T31 J29:T29 J27:T27 J25:T25 J23:T23 J13:T21 A13:H21 A23:H23 A25:H25 A27:H27 A29:H29 A31:H31 A33:H33 A35:H35 A37:H37 A39:H39 A41:H41 A43:H43">
    <cfRule type="containsText" dxfId="1161" priority="25" operator="containsText" text="SIN FACTURA">
      <formula>NOT(ISERROR(SEARCH("SIN FACTURA",A13)))</formula>
    </cfRule>
  </conditionalFormatting>
  <conditionalFormatting sqref="C12:H12 J12:V12">
    <cfRule type="containsText" dxfId="1160" priority="24" operator="containsText" text="SIN FACTURA">
      <formula>NOT(ISERROR(SEARCH("SIN FACTURA",C12)))</formula>
    </cfRule>
  </conditionalFormatting>
  <conditionalFormatting sqref="C22:H22 J22:V22">
    <cfRule type="containsText" dxfId="1159" priority="23" operator="containsText" text="SIN FACTURA">
      <formula>NOT(ISERROR(SEARCH("SIN FACTURA",C22)))</formula>
    </cfRule>
  </conditionalFormatting>
  <conditionalFormatting sqref="C24:H24 J24:V24">
    <cfRule type="containsText" dxfId="1158" priority="22" operator="containsText" text="SIN FACTURA">
      <formula>NOT(ISERROR(SEARCH("SIN FACTURA",C24)))</formula>
    </cfRule>
  </conditionalFormatting>
  <conditionalFormatting sqref="C26:H26 J26:V26">
    <cfRule type="containsText" dxfId="1157" priority="21" operator="containsText" text="SIN FACTURA">
      <formula>NOT(ISERROR(SEARCH("SIN FACTURA",C26)))</formula>
    </cfRule>
  </conditionalFormatting>
  <conditionalFormatting sqref="C28:H28 J28:V28">
    <cfRule type="containsText" dxfId="1156" priority="20" operator="containsText" text="SIN FACTURA">
      <formula>NOT(ISERROR(SEARCH("SIN FACTURA",C28)))</formula>
    </cfRule>
  </conditionalFormatting>
  <conditionalFormatting sqref="C30:H30 J30:V30">
    <cfRule type="containsText" dxfId="1155" priority="19" operator="containsText" text="SIN FACTURA">
      <formula>NOT(ISERROR(SEARCH("SIN FACTURA",C30)))</formula>
    </cfRule>
  </conditionalFormatting>
  <conditionalFormatting sqref="C32:H32 J32:V32">
    <cfRule type="containsText" dxfId="1154" priority="18" operator="containsText" text="SIN FACTURA">
      <formula>NOT(ISERROR(SEARCH("SIN FACTURA",C32)))</formula>
    </cfRule>
  </conditionalFormatting>
  <conditionalFormatting sqref="C34:H34 J34:V34">
    <cfRule type="containsText" dxfId="1153" priority="17" operator="containsText" text="SIN FACTURA">
      <formula>NOT(ISERROR(SEARCH("SIN FACTURA",C34)))</formula>
    </cfRule>
  </conditionalFormatting>
  <conditionalFormatting sqref="C36:H36 J36:V36">
    <cfRule type="containsText" dxfId="1152" priority="16" operator="containsText" text="SIN FACTURA">
      <formula>NOT(ISERROR(SEARCH("SIN FACTURA",C36)))</formula>
    </cfRule>
  </conditionalFormatting>
  <conditionalFormatting sqref="C38:H38 J38:V38">
    <cfRule type="containsText" dxfId="1151" priority="15" operator="containsText" text="SIN FACTURA">
      <formula>NOT(ISERROR(SEARCH("SIN FACTURA",C38)))</formula>
    </cfRule>
  </conditionalFormatting>
  <conditionalFormatting sqref="C40:H40 J40:V40">
    <cfRule type="containsText" dxfId="1150" priority="14" operator="containsText" text="SIN FACTURA">
      <formula>NOT(ISERROR(SEARCH("SIN FACTURA",C40)))</formula>
    </cfRule>
  </conditionalFormatting>
  <conditionalFormatting sqref="C42:H42 J42:V42">
    <cfRule type="containsText" dxfId="1149" priority="13" operator="containsText" text="SIN FACTURA">
      <formula>NOT(ISERROR(SEARCH("SIN FACTURA",C42)))</formula>
    </cfRule>
  </conditionalFormatting>
  <conditionalFormatting sqref="A12:B12">
    <cfRule type="containsText" dxfId="1148" priority="12" operator="containsText" text="SIN FACTURA">
      <formula>NOT(ISERROR(SEARCH("SIN FACTURA",A12)))</formula>
    </cfRule>
  </conditionalFormatting>
  <conditionalFormatting sqref="A22:B22">
    <cfRule type="containsText" dxfId="1147" priority="11" operator="containsText" text="SIN FACTURA">
      <formula>NOT(ISERROR(SEARCH("SIN FACTURA",A22)))</formula>
    </cfRule>
  </conditionalFormatting>
  <conditionalFormatting sqref="A24:B24">
    <cfRule type="containsText" dxfId="1146" priority="10" operator="containsText" text="SIN FACTURA">
      <formula>NOT(ISERROR(SEARCH("SIN FACTURA",A24)))</formula>
    </cfRule>
  </conditionalFormatting>
  <conditionalFormatting sqref="A26:B26">
    <cfRule type="containsText" dxfId="1145" priority="9" operator="containsText" text="SIN FACTURA">
      <formula>NOT(ISERROR(SEARCH("SIN FACTURA",A26)))</formula>
    </cfRule>
  </conditionalFormatting>
  <conditionalFormatting sqref="A28:B28">
    <cfRule type="containsText" dxfId="1144" priority="8" operator="containsText" text="SIN FACTURA">
      <formula>NOT(ISERROR(SEARCH("SIN FACTURA",A28)))</formula>
    </cfRule>
  </conditionalFormatting>
  <conditionalFormatting sqref="A30:B30">
    <cfRule type="containsText" dxfId="1143" priority="7" operator="containsText" text="SIN FACTURA">
      <formula>NOT(ISERROR(SEARCH("SIN FACTURA",A30)))</formula>
    </cfRule>
  </conditionalFormatting>
  <conditionalFormatting sqref="A42:B42">
    <cfRule type="containsText" dxfId="1142" priority="1" operator="containsText" text="SIN FACTURA">
      <formula>NOT(ISERROR(SEARCH("SIN FACTURA",A42)))</formula>
    </cfRule>
  </conditionalFormatting>
  <conditionalFormatting sqref="A32:B32">
    <cfRule type="containsText" dxfId="1141" priority="6" operator="containsText" text="SIN FACTURA">
      <formula>NOT(ISERROR(SEARCH("SIN FACTURA",A32)))</formula>
    </cfRule>
  </conditionalFormatting>
  <conditionalFormatting sqref="A34:B34">
    <cfRule type="containsText" dxfId="1140" priority="5" operator="containsText" text="SIN FACTURA">
      <formula>NOT(ISERROR(SEARCH("SIN FACTURA",A34)))</formula>
    </cfRule>
  </conditionalFormatting>
  <conditionalFormatting sqref="A36:B36">
    <cfRule type="containsText" dxfId="1139" priority="4" operator="containsText" text="SIN FACTURA">
      <formula>NOT(ISERROR(SEARCH("SIN FACTURA",A36)))</formula>
    </cfRule>
  </conditionalFormatting>
  <conditionalFormatting sqref="A40:B40">
    <cfRule type="containsText" dxfId="1138" priority="2" operator="containsText" text="SIN FACTURA">
      <formula>NOT(ISERROR(SEARCH("SIN FACTURA",A40)))</formula>
    </cfRule>
  </conditionalFormatting>
  <pageMargins left="0.75" right="0.75" top="1" bottom="1" header="0.5" footer="0.5"/>
  <pageSetup paperSize="9" orientation="portrait" horizontalDpi="4294967292" verticalDpi="4294967292"/>
</worksheet>
</file>

<file path=xl/worksheets/sheet123.xml><?xml version="1.0" encoding="utf-8"?>
<worksheet xmlns="http://schemas.openxmlformats.org/spreadsheetml/2006/main" xmlns:r="http://schemas.openxmlformats.org/officeDocument/2006/relationships">
  <sheetPr codeName="Hoja57"/>
  <dimension ref="A1:Y40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12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247</v>
      </c>
      <c r="B1" s="18" t="s">
        <v>55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7" si="0">F5-G5-H5</f>
        <v>0</v>
      </c>
      <c r="J5" s="44">
        <f t="shared" ref="J5:J37" si="1">S5+T5</f>
        <v>0</v>
      </c>
      <c r="K5" s="44">
        <f t="shared" ref="K5:K37" si="2">I5-J5</f>
        <v>0</v>
      </c>
      <c r="L5" s="45"/>
      <c r="M5" s="40"/>
      <c r="N5" s="43">
        <f t="shared" ref="N5:N37" si="3">I5-J5-M5-R5</f>
        <v>0</v>
      </c>
      <c r="O5" s="43">
        <f t="shared" ref="O5:O37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2"/>
      <c r="D6" s="33"/>
      <c r="E6" s="34"/>
      <c r="F6" s="32"/>
      <c r="G6" s="32"/>
      <c r="H6" s="32"/>
      <c r="I6" s="37"/>
      <c r="J6" s="37"/>
      <c r="K6" s="35"/>
      <c r="L6" s="35"/>
      <c r="M6" s="35"/>
      <c r="N6" s="36"/>
      <c r="O6" s="32"/>
      <c r="P6" s="37"/>
      <c r="Q6" s="37"/>
      <c r="R6" s="38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>S11+T11</f>
        <v>0</v>
      </c>
      <c r="K11" s="44">
        <f t="shared" si="2"/>
        <v>0</v>
      </c>
      <c r="L11" s="45"/>
      <c r="M11" s="40"/>
      <c r="N11" s="43">
        <f>I11-J11-M11-R11</f>
        <v>0</v>
      </c>
      <c r="O11" s="43">
        <f>R11+S11+T11</f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58"/>
      <c r="B38" s="59"/>
      <c r="C38" s="60"/>
      <c r="D38" s="58"/>
      <c r="E38" s="58"/>
      <c r="F38" s="58"/>
      <c r="G38" s="58"/>
      <c r="H38" s="58"/>
      <c r="I38" s="61">
        <f t="shared" ref="I38:I40" si="5">F38-G38</f>
        <v>0</v>
      </c>
      <c r="J38" s="61">
        <f t="shared" ref="J38:J40" si="6">S38+T38</f>
        <v>0</v>
      </c>
      <c r="K38" s="61">
        <f t="shared" ref="K38:K40" si="7">I38-J38</f>
        <v>0</v>
      </c>
      <c r="L38" s="62"/>
      <c r="M38" s="58"/>
      <c r="N38" s="63">
        <f t="shared" ref="N38:N40" si="8">I38-J38-M38-R38</f>
        <v>0</v>
      </c>
      <c r="O38" s="63">
        <f t="shared" ref="O38:O40" si="9">R38+S38+T38</f>
        <v>0</v>
      </c>
      <c r="P38" s="64"/>
      <c r="Q38" s="58"/>
      <c r="R38" s="58"/>
      <c r="S38" s="58"/>
      <c r="T38" s="68"/>
    </row>
    <row r="39" spans="1:22" ht="15">
      <c r="A39" s="40"/>
      <c r="B39" s="41"/>
      <c r="C39" s="42"/>
      <c r="D39" s="40"/>
      <c r="E39" s="40"/>
      <c r="F39" s="40"/>
      <c r="G39" s="40"/>
      <c r="H39" s="40"/>
      <c r="I39" s="44">
        <f t="shared" si="5"/>
        <v>0</v>
      </c>
      <c r="J39" s="44">
        <f t="shared" si="6"/>
        <v>0</v>
      </c>
      <c r="K39" s="44">
        <f t="shared" si="7"/>
        <v>0</v>
      </c>
      <c r="L39" s="45"/>
      <c r="M39" s="40"/>
      <c r="N39" s="43">
        <f t="shared" si="8"/>
        <v>0</v>
      </c>
      <c r="O39" s="43">
        <f t="shared" si="9"/>
        <v>0</v>
      </c>
      <c r="P39" s="46"/>
      <c r="Q39" s="40"/>
      <c r="R39" s="40"/>
      <c r="S39" s="40"/>
      <c r="T39" s="5"/>
    </row>
    <row r="40" spans="1:22" ht="15">
      <c r="A40" s="69"/>
      <c r="B40" s="70"/>
      <c r="C40" s="71"/>
      <c r="D40" s="69"/>
      <c r="E40" s="69"/>
      <c r="F40" s="69"/>
      <c r="G40" s="69"/>
      <c r="H40" s="69"/>
      <c r="I40" s="72">
        <f t="shared" si="5"/>
        <v>0</v>
      </c>
      <c r="J40" s="72">
        <f t="shared" si="6"/>
        <v>0</v>
      </c>
      <c r="K40" s="72">
        <f t="shared" si="7"/>
        <v>0</v>
      </c>
      <c r="L40" s="73"/>
      <c r="M40" s="69"/>
      <c r="N40" s="74">
        <f t="shared" si="8"/>
        <v>0</v>
      </c>
      <c r="O40" s="74">
        <f t="shared" si="9"/>
        <v>0</v>
      </c>
      <c r="P40" s="75"/>
      <c r="Q40" s="69"/>
      <c r="R40" s="69"/>
      <c r="S40" s="69"/>
      <c r="T40" s="76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1137" priority="32" operator="containsText" text="SIN FACTURA ">
      <formula>NOT(ISERROR(SEARCH("SIN FACTURA ",A2)))</formula>
    </cfRule>
  </conditionalFormatting>
  <conditionalFormatting sqref="A38:T40 A4:T4 J5:T5 I5:I37 A5:H5">
    <cfRule type="containsText" dxfId="1136" priority="31" operator="containsText" text="SIN FACTURA">
      <formula>NOT(ISERROR(SEARCH("SIN FACTURA",A4)))</formula>
    </cfRule>
  </conditionalFormatting>
  <conditionalFormatting sqref="A28:B28">
    <cfRule type="containsText" dxfId="1135" priority="5" operator="containsText" text="SIN FACTURA">
      <formula>NOT(ISERROR(SEARCH("SIN FACTURA",A28)))</formula>
    </cfRule>
  </conditionalFormatting>
  <conditionalFormatting sqref="A30:B30">
    <cfRule type="containsText" dxfId="1134" priority="4" operator="containsText" text="SIN FACTURA">
      <formula>NOT(ISERROR(SEARCH("SIN FACTURA",A30)))</formula>
    </cfRule>
  </conditionalFormatting>
  <conditionalFormatting sqref="A32:B32">
    <cfRule type="containsText" dxfId="1133" priority="3" operator="containsText" text="SIN FACTURA">
      <formula>NOT(ISERROR(SEARCH("SIN FACTURA",A32)))</formula>
    </cfRule>
  </conditionalFormatting>
  <conditionalFormatting sqref="A34:B34">
    <cfRule type="containsText" dxfId="1132" priority="2" operator="containsText" text="SIN FACTURA">
      <formula>NOT(ISERROR(SEARCH("SIN FACTURA",A34)))</formula>
    </cfRule>
  </conditionalFormatting>
  <conditionalFormatting sqref="A36:B36">
    <cfRule type="containsText" dxfId="1131" priority="1" operator="containsText" text="SIN FACTURA">
      <formula>NOT(ISERROR(SEARCH("SIN FACTURA",A36)))</formula>
    </cfRule>
  </conditionalFormatting>
  <conditionalFormatting sqref="J37:T37 J35:T35 J33:T33 J31:T31 J29:T29 J27:T27 J25:T25 J23:T23 J21:T21 J19:T19 J17:T17 J7:T15 A7:H15 A17:H17 A19:H19 A21:H21 A23:H23 A25:H25 A27:H27 A29:H29 A31:H31 A33:H33 A35:H35 A37:H37">
    <cfRule type="containsText" dxfId="1130" priority="25" operator="containsText" text="SIN FACTURA">
      <formula>NOT(ISERROR(SEARCH("SIN FACTURA",A7)))</formula>
    </cfRule>
  </conditionalFormatting>
  <conditionalFormatting sqref="C6:H6 J6:V6">
    <cfRule type="containsText" dxfId="1129" priority="24" operator="containsText" text="SIN FACTURA">
      <formula>NOT(ISERROR(SEARCH("SIN FACTURA",C6)))</formula>
    </cfRule>
  </conditionalFormatting>
  <conditionalFormatting sqref="C16:H16 J16:V16">
    <cfRule type="containsText" dxfId="1128" priority="23" operator="containsText" text="SIN FACTURA">
      <formula>NOT(ISERROR(SEARCH("SIN FACTURA",C16)))</formula>
    </cfRule>
  </conditionalFormatting>
  <conditionalFormatting sqref="C18:H18 J18:V18">
    <cfRule type="containsText" dxfId="1127" priority="22" operator="containsText" text="SIN FACTURA">
      <formula>NOT(ISERROR(SEARCH("SIN FACTURA",C18)))</formula>
    </cfRule>
  </conditionalFormatting>
  <conditionalFormatting sqref="C20:H20 J20:V20">
    <cfRule type="containsText" dxfId="1126" priority="21" operator="containsText" text="SIN FACTURA">
      <formula>NOT(ISERROR(SEARCH("SIN FACTURA",C20)))</formula>
    </cfRule>
  </conditionalFormatting>
  <conditionalFormatting sqref="C22:H22 J22:V22">
    <cfRule type="containsText" dxfId="1125" priority="20" operator="containsText" text="SIN FACTURA">
      <formula>NOT(ISERROR(SEARCH("SIN FACTURA",C22)))</formula>
    </cfRule>
  </conditionalFormatting>
  <conditionalFormatting sqref="C24:H24 J24:V24">
    <cfRule type="containsText" dxfId="1124" priority="19" operator="containsText" text="SIN FACTURA">
      <formula>NOT(ISERROR(SEARCH("SIN FACTURA",C24)))</formula>
    </cfRule>
  </conditionalFormatting>
  <conditionalFormatting sqref="C26:H26 J26:V26">
    <cfRule type="containsText" dxfId="1123" priority="18" operator="containsText" text="SIN FACTURA">
      <formula>NOT(ISERROR(SEARCH("SIN FACTURA",C26)))</formula>
    </cfRule>
  </conditionalFormatting>
  <conditionalFormatting sqref="C28:H28 J28:V28">
    <cfRule type="containsText" dxfId="1122" priority="17" operator="containsText" text="SIN FACTURA">
      <formula>NOT(ISERROR(SEARCH("SIN FACTURA",C28)))</formula>
    </cfRule>
  </conditionalFormatting>
  <conditionalFormatting sqref="C30:H30 J30:V30">
    <cfRule type="containsText" dxfId="1121" priority="16" operator="containsText" text="SIN FACTURA">
      <formula>NOT(ISERROR(SEARCH("SIN FACTURA",C30)))</formula>
    </cfRule>
  </conditionalFormatting>
  <conditionalFormatting sqref="C32:H32 J32:V32">
    <cfRule type="containsText" dxfId="1120" priority="15" operator="containsText" text="SIN FACTURA">
      <formula>NOT(ISERROR(SEARCH("SIN FACTURA",C32)))</formula>
    </cfRule>
  </conditionalFormatting>
  <conditionalFormatting sqref="C34:H34 J34:V34">
    <cfRule type="containsText" dxfId="1119" priority="14" operator="containsText" text="SIN FACTURA">
      <formula>NOT(ISERROR(SEARCH("SIN FACTURA",C34)))</formula>
    </cfRule>
  </conditionalFormatting>
  <conditionalFormatting sqref="C36:H36 J36:V36">
    <cfRule type="containsText" dxfId="1118" priority="13" operator="containsText" text="SIN FACTURA">
      <formula>NOT(ISERROR(SEARCH("SIN FACTURA",C36)))</formula>
    </cfRule>
  </conditionalFormatting>
  <conditionalFormatting sqref="A6:B6">
    <cfRule type="containsText" dxfId="1117" priority="12" operator="containsText" text="SIN FACTURA">
      <formula>NOT(ISERROR(SEARCH("SIN FACTURA",A6)))</formula>
    </cfRule>
  </conditionalFormatting>
  <conditionalFormatting sqref="A16:B16">
    <cfRule type="containsText" dxfId="1116" priority="11" operator="containsText" text="SIN FACTURA">
      <formula>NOT(ISERROR(SEARCH("SIN FACTURA",A16)))</formula>
    </cfRule>
  </conditionalFormatting>
  <conditionalFormatting sqref="A18:B18">
    <cfRule type="containsText" dxfId="1115" priority="10" operator="containsText" text="SIN FACTURA">
      <formula>NOT(ISERROR(SEARCH("SIN FACTURA",A18)))</formula>
    </cfRule>
  </conditionalFormatting>
  <conditionalFormatting sqref="A20:B20">
    <cfRule type="containsText" dxfId="1114" priority="9" operator="containsText" text="SIN FACTURA">
      <formula>NOT(ISERROR(SEARCH("SIN FACTURA",A20)))</formula>
    </cfRule>
  </conditionalFormatting>
  <conditionalFormatting sqref="A22:B22">
    <cfRule type="containsText" dxfId="1113" priority="8" operator="containsText" text="SIN FACTURA">
      <formula>NOT(ISERROR(SEARCH("SIN FACTURA",A22)))</formula>
    </cfRule>
  </conditionalFormatting>
  <conditionalFormatting sqref="A24:B24">
    <cfRule type="containsText" dxfId="1112" priority="7" operator="containsText" text="SIN FACTURA">
      <formula>NOT(ISERROR(SEARCH("SIN FACTURA",A24)))</formula>
    </cfRule>
  </conditionalFormatting>
  <conditionalFormatting sqref="A26:B26">
    <cfRule type="containsText" dxfId="1111" priority="6" operator="containsText" text="SIN FACTURA">
      <formula>NOT(ISERROR(SEARCH("SIN FACTURA",A26)))</formula>
    </cfRule>
  </conditionalFormatting>
  <pageMargins left="0.75" right="0.75" top="1" bottom="1" header="0.5" footer="0.5"/>
  <pageSetup paperSize="9" orientation="portrait" horizontalDpi="4294967292" verticalDpi="4294967292"/>
</worksheet>
</file>

<file path=xl/worksheets/sheet124.xml><?xml version="1.0" encoding="utf-8"?>
<worksheet xmlns="http://schemas.openxmlformats.org/spreadsheetml/2006/main" xmlns:r="http://schemas.openxmlformats.org/officeDocument/2006/relationships">
  <sheetPr codeName="Hoja1"/>
  <dimension ref="A1:Y45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B17" sqref="B17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4">
        <v>345</v>
      </c>
      <c r="B1" s="15" t="s">
        <v>86</v>
      </c>
      <c r="C1" s="1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6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>F5-G5-H5</f>
        <v>0</v>
      </c>
      <c r="J5" s="44">
        <f t="shared" ref="J5:J45" si="0">S5+T5</f>
        <v>0</v>
      </c>
      <c r="K5" s="44">
        <f t="shared" ref="K5:K45" si="1">I5-J5</f>
        <v>0</v>
      </c>
      <c r="L5" s="45"/>
      <c r="M5" s="40"/>
      <c r="N5" s="43">
        <f t="shared" ref="N5:N45" si="2">I5-J5-M5-R5</f>
        <v>0</v>
      </c>
      <c r="O5" s="43">
        <f t="shared" ref="O5:O45" si="3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ref="I7:I45" si="4">F7-G7-H7</f>
        <v>0</v>
      </c>
      <c r="J7" s="44">
        <f t="shared" si="0"/>
        <v>0</v>
      </c>
      <c r="K7" s="44">
        <f t="shared" si="1"/>
        <v>0</v>
      </c>
      <c r="L7" s="45"/>
      <c r="M7" s="40"/>
      <c r="N7" s="43">
        <f t="shared" si="2"/>
        <v>0</v>
      </c>
      <c r="O7" s="43">
        <f t="shared" si="3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4"/>
        <v>0</v>
      </c>
      <c r="J9" s="44">
        <f t="shared" si="0"/>
        <v>0</v>
      </c>
      <c r="K9" s="44">
        <f t="shared" si="1"/>
        <v>0</v>
      </c>
      <c r="L9" s="45"/>
      <c r="M9" s="40"/>
      <c r="N9" s="43">
        <f t="shared" si="2"/>
        <v>0</v>
      </c>
      <c r="O9" s="43">
        <f t="shared" si="3"/>
        <v>0</v>
      </c>
      <c r="P9" s="46"/>
      <c r="Q9" s="40"/>
      <c r="R9" s="43"/>
      <c r="S9" s="43"/>
      <c r="T9" s="49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4"/>
        <v>0</v>
      </c>
      <c r="J11" s="44">
        <f>S11+T11</f>
        <v>0</v>
      </c>
      <c r="K11" s="44">
        <f>I11-J11</f>
        <v>0</v>
      </c>
      <c r="L11" s="45"/>
      <c r="M11" s="40"/>
      <c r="N11" s="43">
        <f t="shared" si="2"/>
        <v>0</v>
      </c>
      <c r="O11" s="43">
        <f t="shared" si="3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4"/>
        <v>0</v>
      </c>
      <c r="J13" s="44">
        <f t="shared" si="0"/>
        <v>0</v>
      </c>
      <c r="K13" s="44">
        <f t="shared" si="1"/>
        <v>0</v>
      </c>
      <c r="L13" s="45"/>
      <c r="M13" s="40"/>
      <c r="N13" s="43">
        <f t="shared" si="2"/>
        <v>0</v>
      </c>
      <c r="O13" s="43">
        <f t="shared" si="3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4"/>
        <v>0</v>
      </c>
      <c r="J15" s="44">
        <f t="shared" si="0"/>
        <v>0</v>
      </c>
      <c r="K15" s="44">
        <f t="shared" si="1"/>
        <v>0</v>
      </c>
      <c r="L15" s="45"/>
      <c r="M15" s="40"/>
      <c r="N15" s="43">
        <f t="shared" si="2"/>
        <v>0</v>
      </c>
      <c r="O15" s="43">
        <f t="shared" si="3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4"/>
        <v>0</v>
      </c>
      <c r="J17" s="44">
        <f t="shared" si="0"/>
        <v>0</v>
      </c>
      <c r="K17" s="44">
        <f t="shared" si="1"/>
        <v>0</v>
      </c>
      <c r="L17" s="45"/>
      <c r="M17" s="40"/>
      <c r="N17" s="43">
        <f t="shared" si="2"/>
        <v>0</v>
      </c>
      <c r="O17" s="43">
        <f t="shared" si="3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4"/>
        <v>0</v>
      </c>
      <c r="J19" s="44">
        <f>S19+T19</f>
        <v>0</v>
      </c>
      <c r="K19" s="44">
        <f t="shared" si="1"/>
        <v>0</v>
      </c>
      <c r="L19" s="45"/>
      <c r="M19" s="40"/>
      <c r="N19" s="43">
        <f>I19-J19-M19-R19</f>
        <v>0</v>
      </c>
      <c r="O19" s="43">
        <f>R19+S19+T19</f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4"/>
        <v>0</v>
      </c>
      <c r="J21" s="44">
        <f t="shared" si="0"/>
        <v>0</v>
      </c>
      <c r="K21" s="44">
        <f t="shared" si="1"/>
        <v>0</v>
      </c>
      <c r="L21" s="45"/>
      <c r="M21" s="40"/>
      <c r="N21" s="43">
        <f t="shared" si="2"/>
        <v>0</v>
      </c>
      <c r="O21" s="43">
        <f t="shared" si="3"/>
        <v>0</v>
      </c>
      <c r="P21" s="46"/>
      <c r="Q21" s="40"/>
      <c r="R21" s="47"/>
      <c r="S21" s="47"/>
      <c r="T21" s="48"/>
    </row>
    <row r="22" spans="1:22" ht="15">
      <c r="A22" s="32"/>
      <c r="B22" s="33"/>
      <c r="C22" s="34"/>
      <c r="D22" s="32"/>
      <c r="E22" s="32"/>
      <c r="F22" s="32"/>
      <c r="G22" s="37"/>
      <c r="H22" s="37"/>
      <c r="I22" s="37"/>
      <c r="J22" s="35"/>
      <c r="K22" s="35"/>
      <c r="L22" s="36"/>
      <c r="M22" s="32"/>
      <c r="N22" s="37"/>
      <c r="O22" s="37"/>
      <c r="P22" s="38"/>
      <c r="Q22" s="32"/>
      <c r="R22" s="32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4"/>
        <v>0</v>
      </c>
      <c r="J23" s="44">
        <f t="shared" si="0"/>
        <v>0</v>
      </c>
      <c r="K23" s="44">
        <f t="shared" si="1"/>
        <v>0</v>
      </c>
      <c r="L23" s="45"/>
      <c r="M23" s="40"/>
      <c r="N23" s="43">
        <f t="shared" si="2"/>
        <v>0</v>
      </c>
      <c r="O23" s="43">
        <f t="shared" si="3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4"/>
        <v>0</v>
      </c>
      <c r="J25" s="44">
        <f t="shared" si="0"/>
        <v>0</v>
      </c>
      <c r="K25" s="44">
        <f t="shared" si="1"/>
        <v>0</v>
      </c>
      <c r="L25" s="45"/>
      <c r="M25" s="40"/>
      <c r="N25" s="43">
        <f t="shared" si="2"/>
        <v>0</v>
      </c>
      <c r="O25" s="43">
        <f t="shared" si="3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4"/>
        <v>0</v>
      </c>
      <c r="J27" s="44">
        <f t="shared" si="0"/>
        <v>0</v>
      </c>
      <c r="K27" s="44">
        <f t="shared" si="1"/>
        <v>0</v>
      </c>
      <c r="L27" s="45"/>
      <c r="M27" s="40"/>
      <c r="N27" s="43">
        <f t="shared" si="2"/>
        <v>0</v>
      </c>
      <c r="O27" s="43">
        <f t="shared" si="3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4"/>
        <v>0</v>
      </c>
      <c r="J29" s="44">
        <f t="shared" si="0"/>
        <v>0</v>
      </c>
      <c r="K29" s="44">
        <f t="shared" si="1"/>
        <v>0</v>
      </c>
      <c r="L29" s="45"/>
      <c r="M29" s="40"/>
      <c r="N29" s="43">
        <f t="shared" si="2"/>
        <v>0</v>
      </c>
      <c r="O29" s="43">
        <f t="shared" si="3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4"/>
        <v>0</v>
      </c>
      <c r="J31" s="44">
        <f t="shared" si="0"/>
        <v>0</v>
      </c>
      <c r="K31" s="44">
        <f t="shared" si="1"/>
        <v>0</v>
      </c>
      <c r="L31" s="45"/>
      <c r="M31" s="40"/>
      <c r="N31" s="43">
        <f t="shared" si="2"/>
        <v>0</v>
      </c>
      <c r="O31" s="43">
        <f t="shared" si="3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4"/>
        <v>0</v>
      </c>
      <c r="J33" s="44">
        <f t="shared" si="0"/>
        <v>0</v>
      </c>
      <c r="K33" s="44">
        <f t="shared" si="1"/>
        <v>0</v>
      </c>
      <c r="L33" s="45"/>
      <c r="M33" s="40"/>
      <c r="N33" s="43">
        <f t="shared" si="2"/>
        <v>0</v>
      </c>
      <c r="O33" s="43">
        <f t="shared" si="3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4"/>
        <v>0</v>
      </c>
      <c r="J35" s="44">
        <f t="shared" si="0"/>
        <v>0</v>
      </c>
      <c r="K35" s="44">
        <f t="shared" si="1"/>
        <v>0</v>
      </c>
      <c r="L35" s="45"/>
      <c r="M35" s="40"/>
      <c r="N35" s="43">
        <f t="shared" si="2"/>
        <v>0</v>
      </c>
      <c r="O35" s="43">
        <f t="shared" si="3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4"/>
        <v>0</v>
      </c>
      <c r="J37" s="44">
        <f t="shared" si="0"/>
        <v>0</v>
      </c>
      <c r="K37" s="44">
        <f t="shared" si="1"/>
        <v>0</v>
      </c>
      <c r="L37" s="45"/>
      <c r="M37" s="40"/>
      <c r="N37" s="43">
        <f t="shared" si="2"/>
        <v>0</v>
      </c>
      <c r="O37" s="43">
        <f t="shared" si="3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4"/>
        <v>0</v>
      </c>
      <c r="J39" s="44">
        <f t="shared" si="0"/>
        <v>0</v>
      </c>
      <c r="K39" s="44">
        <f t="shared" si="1"/>
        <v>0</v>
      </c>
      <c r="L39" s="45"/>
      <c r="M39" s="40"/>
      <c r="N39" s="43">
        <f t="shared" si="2"/>
        <v>0</v>
      </c>
      <c r="O39" s="43">
        <f t="shared" si="3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4"/>
        <v>0</v>
      </c>
      <c r="J41" s="44">
        <f t="shared" si="0"/>
        <v>0</v>
      </c>
      <c r="K41" s="44">
        <f t="shared" si="1"/>
        <v>0</v>
      </c>
      <c r="L41" s="45"/>
      <c r="M41" s="40"/>
      <c r="N41" s="43">
        <f t="shared" si="2"/>
        <v>0</v>
      </c>
      <c r="O41" s="43">
        <f t="shared" si="3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40"/>
      <c r="B43" s="41"/>
      <c r="C43" s="42"/>
      <c r="D43" s="40"/>
      <c r="E43" s="40"/>
      <c r="F43" s="40"/>
      <c r="G43" s="43">
        <f>F43*6%</f>
        <v>0</v>
      </c>
      <c r="H43" s="43"/>
      <c r="I43" s="44">
        <f t="shared" si="4"/>
        <v>0</v>
      </c>
      <c r="J43" s="44">
        <f t="shared" si="0"/>
        <v>0</v>
      </c>
      <c r="K43" s="44">
        <f t="shared" si="1"/>
        <v>0</v>
      </c>
      <c r="L43" s="45"/>
      <c r="M43" s="40"/>
      <c r="N43" s="43">
        <f t="shared" si="2"/>
        <v>0</v>
      </c>
      <c r="O43" s="43">
        <f t="shared" si="3"/>
        <v>0</v>
      </c>
      <c r="P43" s="46"/>
      <c r="Q43" s="40"/>
      <c r="R43" s="40"/>
      <c r="S43" s="40"/>
      <c r="T43" s="5"/>
    </row>
    <row r="44" spans="1:22" ht="15">
      <c r="A44" s="32"/>
      <c r="B44" s="33"/>
      <c r="C44" s="32"/>
      <c r="D44" s="33"/>
      <c r="E44" s="34"/>
      <c r="F44" s="32"/>
      <c r="G44" s="32"/>
      <c r="H44" s="32"/>
      <c r="I44" s="37"/>
      <c r="J44" s="37"/>
      <c r="K44" s="35"/>
      <c r="L44" s="35"/>
      <c r="M44" s="35"/>
      <c r="N44" s="36"/>
      <c r="O44" s="32"/>
      <c r="P44" s="37"/>
      <c r="Q44" s="37"/>
      <c r="R44" s="38"/>
      <c r="S44" s="32"/>
      <c r="T44" s="39"/>
      <c r="U44" s="6"/>
      <c r="V44" s="6"/>
    </row>
    <row r="45" spans="1:22" ht="15">
      <c r="A45" s="50"/>
      <c r="B45" s="51"/>
      <c r="C45" s="52"/>
      <c r="D45" s="50"/>
      <c r="E45" s="50"/>
      <c r="F45" s="50"/>
      <c r="G45" s="43">
        <f>F45*6%</f>
        <v>0</v>
      </c>
      <c r="H45" s="53"/>
      <c r="I45" s="44">
        <f t="shared" si="4"/>
        <v>0</v>
      </c>
      <c r="J45" s="54">
        <f t="shared" si="0"/>
        <v>0</v>
      </c>
      <c r="K45" s="54">
        <f t="shared" si="1"/>
        <v>0</v>
      </c>
      <c r="L45" s="55"/>
      <c r="M45" s="50"/>
      <c r="N45" s="53">
        <f t="shared" si="2"/>
        <v>0</v>
      </c>
      <c r="O45" s="53">
        <f t="shared" si="3"/>
        <v>0</v>
      </c>
      <c r="P45" s="56"/>
      <c r="Q45" s="50"/>
      <c r="R45" s="50"/>
      <c r="S45" s="50"/>
      <c r="T45" s="5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1503" priority="27" operator="containsText" text="SIN FACTURA ">
      <formula>NOT(ISERROR(SEARCH("SIN FACTURA ",A2)))</formula>
    </cfRule>
  </conditionalFormatting>
  <conditionalFormatting sqref="A44:B44">
    <cfRule type="containsText" dxfId="1502" priority="1" operator="containsText" text="SIN FACTURA">
      <formula>NOT(ISERROR(SEARCH("SIN FACTURA",A44)))</formula>
    </cfRule>
  </conditionalFormatting>
  <conditionalFormatting sqref="A4:T5 J45:T45 J43:T43 J41:T41 J39:T39 J37:T37 J35:T35 J33:T33 J31:T31 J29:T29 J27:T27 J25:T25 J15:T23 J6:T13 I6:I45 A6:H13 A15:H23 A25:H25 A27:H27 A29:H29 A31:H31 A33:H33 A35:H35 A37:H37 A39:H39 A41:H41 A43:H43 A45:H45">
    <cfRule type="containsText" dxfId="1501" priority="25" operator="containsText" text="SIN FACTURA">
      <formula>NOT(ISERROR(SEARCH("SIN FACTURA",A4)))</formula>
    </cfRule>
  </conditionalFormatting>
  <conditionalFormatting sqref="C14:H14 J14:V14">
    <cfRule type="containsText" dxfId="1500" priority="24" operator="containsText" text="SIN FACTURA">
      <formula>NOT(ISERROR(SEARCH("SIN FACTURA",C14)))</formula>
    </cfRule>
  </conditionalFormatting>
  <conditionalFormatting sqref="C24:H24 J24:V24">
    <cfRule type="containsText" dxfId="1499" priority="23" operator="containsText" text="SIN FACTURA">
      <formula>NOT(ISERROR(SEARCH("SIN FACTURA",C24)))</formula>
    </cfRule>
  </conditionalFormatting>
  <conditionalFormatting sqref="C26:H26 J26:V26">
    <cfRule type="containsText" dxfId="1498" priority="22" operator="containsText" text="SIN FACTURA">
      <formula>NOT(ISERROR(SEARCH("SIN FACTURA",C26)))</formula>
    </cfRule>
  </conditionalFormatting>
  <conditionalFormatting sqref="C28:H28 J28:V28">
    <cfRule type="containsText" dxfId="1497" priority="21" operator="containsText" text="SIN FACTURA">
      <formula>NOT(ISERROR(SEARCH("SIN FACTURA",C28)))</formula>
    </cfRule>
  </conditionalFormatting>
  <conditionalFormatting sqref="C30:H30 J30:V30">
    <cfRule type="containsText" dxfId="1496" priority="20" operator="containsText" text="SIN FACTURA">
      <formula>NOT(ISERROR(SEARCH("SIN FACTURA",C30)))</formula>
    </cfRule>
  </conditionalFormatting>
  <conditionalFormatting sqref="C32:H32 J32:V32">
    <cfRule type="containsText" dxfId="1495" priority="19" operator="containsText" text="SIN FACTURA">
      <formula>NOT(ISERROR(SEARCH("SIN FACTURA",C32)))</formula>
    </cfRule>
  </conditionalFormatting>
  <conditionalFormatting sqref="C34:H34 J34:V34">
    <cfRule type="containsText" dxfId="1494" priority="18" operator="containsText" text="SIN FACTURA">
      <formula>NOT(ISERROR(SEARCH("SIN FACTURA",C34)))</formula>
    </cfRule>
  </conditionalFormatting>
  <conditionalFormatting sqref="C36:H36 J36:V36">
    <cfRule type="containsText" dxfId="1493" priority="17" operator="containsText" text="SIN FACTURA">
      <formula>NOT(ISERROR(SEARCH("SIN FACTURA",C36)))</formula>
    </cfRule>
  </conditionalFormatting>
  <conditionalFormatting sqref="C38:H38 J38:V38">
    <cfRule type="containsText" dxfId="1492" priority="16" operator="containsText" text="SIN FACTURA">
      <formula>NOT(ISERROR(SEARCH("SIN FACTURA",C38)))</formula>
    </cfRule>
  </conditionalFormatting>
  <conditionalFormatting sqref="C40:H40 J40:V40">
    <cfRule type="containsText" dxfId="1491" priority="15" operator="containsText" text="SIN FACTURA">
      <formula>NOT(ISERROR(SEARCH("SIN FACTURA",C40)))</formula>
    </cfRule>
  </conditionalFormatting>
  <conditionalFormatting sqref="C42:H42 J42:V42">
    <cfRule type="containsText" dxfId="1490" priority="14" operator="containsText" text="SIN FACTURA">
      <formula>NOT(ISERROR(SEARCH("SIN FACTURA",C42)))</formula>
    </cfRule>
  </conditionalFormatting>
  <conditionalFormatting sqref="C44:H44 J44:V44">
    <cfRule type="containsText" dxfId="1489" priority="13" operator="containsText" text="SIN FACTURA">
      <formula>NOT(ISERROR(SEARCH("SIN FACTURA",C44)))</formula>
    </cfRule>
  </conditionalFormatting>
  <conditionalFormatting sqref="A14:B14">
    <cfRule type="containsText" dxfId="1488" priority="12" operator="containsText" text="SIN FACTURA">
      <formula>NOT(ISERROR(SEARCH("SIN FACTURA",A14)))</formula>
    </cfRule>
  </conditionalFormatting>
  <conditionalFormatting sqref="A24:B24">
    <cfRule type="containsText" dxfId="1487" priority="11" operator="containsText" text="SIN FACTURA">
      <formula>NOT(ISERROR(SEARCH("SIN FACTURA",A24)))</formula>
    </cfRule>
  </conditionalFormatting>
  <conditionalFormatting sqref="A26:B26">
    <cfRule type="containsText" dxfId="1486" priority="10" operator="containsText" text="SIN FACTURA">
      <formula>NOT(ISERROR(SEARCH("SIN FACTURA",A26)))</formula>
    </cfRule>
  </conditionalFormatting>
  <conditionalFormatting sqref="A28:B28">
    <cfRule type="containsText" dxfId="1485" priority="9" operator="containsText" text="SIN FACTURA">
      <formula>NOT(ISERROR(SEARCH("SIN FACTURA",A28)))</formula>
    </cfRule>
  </conditionalFormatting>
  <conditionalFormatting sqref="A30:B30">
    <cfRule type="containsText" dxfId="1484" priority="8" operator="containsText" text="SIN FACTURA">
      <formula>NOT(ISERROR(SEARCH("SIN FACTURA",A30)))</formula>
    </cfRule>
  </conditionalFormatting>
  <conditionalFormatting sqref="A32:B32">
    <cfRule type="containsText" dxfId="1483" priority="7" operator="containsText" text="SIN FACTURA">
      <formula>NOT(ISERROR(SEARCH("SIN FACTURA",A32)))</formula>
    </cfRule>
  </conditionalFormatting>
  <conditionalFormatting sqref="A34:B34">
    <cfRule type="containsText" dxfId="1482" priority="6" operator="containsText" text="SIN FACTURA">
      <formula>NOT(ISERROR(SEARCH("SIN FACTURA",A34)))</formula>
    </cfRule>
  </conditionalFormatting>
  <conditionalFormatting sqref="A36:B36">
    <cfRule type="containsText" dxfId="1481" priority="5" operator="containsText" text="SIN FACTURA">
      <formula>NOT(ISERROR(SEARCH("SIN FACTURA",A36)))</formula>
    </cfRule>
  </conditionalFormatting>
  <conditionalFormatting sqref="A38:B38">
    <cfRule type="containsText" dxfId="1480" priority="4" operator="containsText" text="SIN FACTURA">
      <formula>NOT(ISERROR(SEARCH("SIN FACTURA",A38)))</formula>
    </cfRule>
  </conditionalFormatting>
  <conditionalFormatting sqref="A40:B40">
    <cfRule type="containsText" dxfId="1479" priority="3" operator="containsText" text="SIN FACTURA">
      <formula>NOT(ISERROR(SEARCH("SIN FACTURA",A40)))</formula>
    </cfRule>
  </conditionalFormatting>
  <conditionalFormatting sqref="A42:B42">
    <cfRule type="containsText" dxfId="1478" priority="2" operator="containsText" text="SIN FACTURA">
      <formula>NOT(ISERROR(SEARCH("SIN FACTURA",A42)))</formula>
    </cfRule>
  </conditionalFormatting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Y35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14" sqref="A5:XFD14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512</v>
      </c>
      <c r="B1" s="18" t="s">
        <v>302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5" si="0">F5-G5-H5</f>
        <v>0</v>
      </c>
      <c r="J5" s="44">
        <f t="shared" ref="J5:J35" si="1">S5+T5</f>
        <v>0</v>
      </c>
      <c r="K5" s="44">
        <f t="shared" ref="K5:K35" si="2">I5-J5</f>
        <v>0</v>
      </c>
      <c r="L5" s="45"/>
      <c r="M5" s="40"/>
      <c r="N5" s="43">
        <f t="shared" ref="N5:N35" si="3">I5-J5-M5-R5</f>
        <v>0</v>
      </c>
      <c r="O5" s="43">
        <f t="shared" ref="O5:O35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 t="shared" si="2"/>
        <v>0</v>
      </c>
      <c r="L9" s="45"/>
      <c r="M9" s="40"/>
      <c r="N9" s="43">
        <f>I9-J9-M9-R9</f>
        <v>0</v>
      </c>
      <c r="O9" s="43">
        <f>R9+S9+T9</f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50"/>
      <c r="B35" s="51"/>
      <c r="C35" s="52"/>
      <c r="D35" s="50"/>
      <c r="E35" s="50"/>
      <c r="F35" s="50"/>
      <c r="G35" s="43">
        <f>F35*6%</f>
        <v>0</v>
      </c>
      <c r="H35" s="53"/>
      <c r="I35" s="78">
        <f t="shared" si="0"/>
        <v>0</v>
      </c>
      <c r="J35" s="54">
        <f t="shared" si="1"/>
        <v>0</v>
      </c>
      <c r="K35" s="54">
        <f t="shared" si="2"/>
        <v>0</v>
      </c>
      <c r="L35" s="55"/>
      <c r="M35" s="50"/>
      <c r="N35" s="53">
        <f t="shared" si="3"/>
        <v>0</v>
      </c>
      <c r="O35" s="53">
        <f t="shared" si="4"/>
        <v>0</v>
      </c>
      <c r="P35" s="56"/>
      <c r="Q35" s="50"/>
      <c r="R35" s="50"/>
      <c r="S35" s="50"/>
      <c r="T35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110" priority="26" operator="containsText" text="SIN FACTURA ">
      <formula>NOT(ISERROR(SEARCH("SIN FACTURA ",A2)))</formula>
    </cfRule>
  </conditionalFormatting>
  <conditionalFormatting sqref="J35:T35 J33:T33 J31:T31 J29:T29 J27:T27 J25:T25 J23:T23 J21:T21 J19:T19 J17:T17 J15:T15 J5:T13 A5:H13 A15:H15 A17:H17 A19:H19 A21:H21 A23:H23 A25:H25 A27:H27 A29:H29 A31:H31 A33:H33 A35:H35 A4:T4 I5:I35">
    <cfRule type="containsText" dxfId="1109" priority="25" operator="containsText" text="SIN FACTURA">
      <formula>NOT(ISERROR(SEARCH("SIN FACTURA",A4)))</formula>
    </cfRule>
  </conditionalFormatting>
  <conditionalFormatting sqref="C14:H14 J14:V14">
    <cfRule type="containsText" dxfId="1108" priority="23" operator="containsText" text="SIN FACTURA">
      <formula>NOT(ISERROR(SEARCH("SIN FACTURA",C14)))</formula>
    </cfRule>
  </conditionalFormatting>
  <conditionalFormatting sqref="C16:H16 J16:V16">
    <cfRule type="containsText" dxfId="1107" priority="22" operator="containsText" text="SIN FACTURA">
      <formula>NOT(ISERROR(SEARCH("SIN FACTURA",C16)))</formula>
    </cfRule>
  </conditionalFormatting>
  <conditionalFormatting sqref="C18:H18 J18:V18">
    <cfRule type="containsText" dxfId="1106" priority="21" operator="containsText" text="SIN FACTURA">
      <formula>NOT(ISERROR(SEARCH("SIN FACTURA",C18)))</formula>
    </cfRule>
  </conditionalFormatting>
  <conditionalFormatting sqref="C20:H20 J20:V20">
    <cfRule type="containsText" dxfId="1105" priority="20" operator="containsText" text="SIN FACTURA">
      <formula>NOT(ISERROR(SEARCH("SIN FACTURA",C20)))</formula>
    </cfRule>
  </conditionalFormatting>
  <conditionalFormatting sqref="C22:H22 J22:V22">
    <cfRule type="containsText" dxfId="1104" priority="19" operator="containsText" text="SIN FACTURA">
      <formula>NOT(ISERROR(SEARCH("SIN FACTURA",C22)))</formula>
    </cfRule>
  </conditionalFormatting>
  <conditionalFormatting sqref="C24:H24 J24:V24">
    <cfRule type="containsText" dxfId="1103" priority="18" operator="containsText" text="SIN FACTURA">
      <formula>NOT(ISERROR(SEARCH("SIN FACTURA",C24)))</formula>
    </cfRule>
  </conditionalFormatting>
  <conditionalFormatting sqref="C26:H26 J26:V26">
    <cfRule type="containsText" dxfId="1102" priority="17" operator="containsText" text="SIN FACTURA">
      <formula>NOT(ISERROR(SEARCH("SIN FACTURA",C26)))</formula>
    </cfRule>
  </conditionalFormatting>
  <conditionalFormatting sqref="C28:H28 J28:V28">
    <cfRule type="containsText" dxfId="1101" priority="16" operator="containsText" text="SIN FACTURA">
      <formula>NOT(ISERROR(SEARCH("SIN FACTURA",C28)))</formula>
    </cfRule>
  </conditionalFormatting>
  <conditionalFormatting sqref="C30:H30 J30:V30">
    <cfRule type="containsText" dxfId="1100" priority="15" operator="containsText" text="SIN FACTURA">
      <formula>NOT(ISERROR(SEARCH("SIN FACTURA",C30)))</formula>
    </cfRule>
  </conditionalFormatting>
  <conditionalFormatting sqref="C32:H32 J32:V32">
    <cfRule type="containsText" dxfId="1099" priority="14" operator="containsText" text="SIN FACTURA">
      <formula>NOT(ISERROR(SEARCH("SIN FACTURA",C32)))</formula>
    </cfRule>
  </conditionalFormatting>
  <conditionalFormatting sqref="C34:H34 J34:V34">
    <cfRule type="containsText" dxfId="1098" priority="13" operator="containsText" text="SIN FACTURA">
      <formula>NOT(ISERROR(SEARCH("SIN FACTURA",C34)))</formula>
    </cfRule>
  </conditionalFormatting>
  <conditionalFormatting sqref="A14:B14">
    <cfRule type="containsText" dxfId="1097" priority="11" operator="containsText" text="SIN FACTURA">
      <formula>NOT(ISERROR(SEARCH("SIN FACTURA",A14)))</formula>
    </cfRule>
  </conditionalFormatting>
  <conditionalFormatting sqref="A16:B16">
    <cfRule type="containsText" dxfId="1096" priority="10" operator="containsText" text="SIN FACTURA">
      <formula>NOT(ISERROR(SEARCH("SIN FACTURA",A16)))</formula>
    </cfRule>
  </conditionalFormatting>
  <conditionalFormatting sqref="A18:B18">
    <cfRule type="containsText" dxfId="1095" priority="9" operator="containsText" text="SIN FACTURA">
      <formula>NOT(ISERROR(SEARCH("SIN FACTURA",A18)))</formula>
    </cfRule>
  </conditionalFormatting>
  <conditionalFormatting sqref="A20:B20">
    <cfRule type="containsText" dxfId="1094" priority="8" operator="containsText" text="SIN FACTURA">
      <formula>NOT(ISERROR(SEARCH("SIN FACTURA",A20)))</formula>
    </cfRule>
  </conditionalFormatting>
  <conditionalFormatting sqref="A22:B22">
    <cfRule type="containsText" dxfId="1093" priority="7" operator="containsText" text="SIN FACTURA">
      <formula>NOT(ISERROR(SEARCH("SIN FACTURA",A22)))</formula>
    </cfRule>
  </conditionalFormatting>
  <conditionalFormatting sqref="A34:B34">
    <cfRule type="containsText" dxfId="1092" priority="6" operator="containsText" text="SIN FACTURA">
      <formula>NOT(ISERROR(SEARCH("SIN FACTURA",A34)))</formula>
    </cfRule>
  </conditionalFormatting>
  <conditionalFormatting sqref="A24:B24">
    <cfRule type="containsText" dxfId="1091" priority="5" operator="containsText" text="SIN FACTURA">
      <formula>NOT(ISERROR(SEARCH("SIN FACTURA",A24)))</formula>
    </cfRule>
  </conditionalFormatting>
  <conditionalFormatting sqref="A26:B26">
    <cfRule type="containsText" dxfId="1090" priority="4" operator="containsText" text="SIN FACTURA">
      <formula>NOT(ISERROR(SEARCH("SIN FACTURA",A26)))</formula>
    </cfRule>
  </conditionalFormatting>
  <conditionalFormatting sqref="A28:B28">
    <cfRule type="containsText" dxfId="1089" priority="3" operator="containsText" text="SIN FACTURA">
      <formula>NOT(ISERROR(SEARCH("SIN FACTURA",A28)))</formula>
    </cfRule>
  </conditionalFormatting>
  <conditionalFormatting sqref="A30:B30">
    <cfRule type="containsText" dxfId="1088" priority="2" operator="containsText" text="SIN FACTURA">
      <formula>NOT(ISERROR(SEARCH("SIN FACTURA",A30)))</formula>
    </cfRule>
  </conditionalFormatting>
  <conditionalFormatting sqref="A32:B32">
    <cfRule type="containsText" dxfId="1087" priority="1" operator="containsText" text="SIN FACTURA">
      <formula>NOT(ISERROR(SEARCH("SIN FACTURA",A32)))</formula>
    </cfRule>
  </conditionalFormatting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>
  <sheetPr codeName="Hoja146"/>
  <dimension ref="A1:Y45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B16" sqref="B1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388</v>
      </c>
      <c r="B1" s="18" t="s">
        <v>131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>F5-G5-H5</f>
        <v>0</v>
      </c>
      <c r="J5" s="44">
        <f t="shared" ref="J5:J45" si="0">S5+T5</f>
        <v>0</v>
      </c>
      <c r="K5" s="44">
        <f t="shared" ref="K5:K45" si="1">I5-J5</f>
        <v>0</v>
      </c>
      <c r="L5" s="45"/>
      <c r="M5" s="40"/>
      <c r="N5" s="43">
        <f t="shared" ref="N5:N45" si="2">I5-J5-M5-R5</f>
        <v>0</v>
      </c>
      <c r="O5" s="43">
        <f t="shared" ref="O5:O45" si="3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ref="I7:I45" si="4">F7-G7-H7</f>
        <v>0</v>
      </c>
      <c r="J7" s="44">
        <f t="shared" si="0"/>
        <v>0</v>
      </c>
      <c r="K7" s="44">
        <f t="shared" si="1"/>
        <v>0</v>
      </c>
      <c r="L7" s="45"/>
      <c r="M7" s="40"/>
      <c r="N7" s="43">
        <f t="shared" si="2"/>
        <v>0</v>
      </c>
      <c r="O7" s="43">
        <f t="shared" si="3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4"/>
        <v>0</v>
      </c>
      <c r="J9" s="44">
        <f t="shared" si="0"/>
        <v>0</v>
      </c>
      <c r="K9" s="44">
        <f t="shared" si="1"/>
        <v>0</v>
      </c>
      <c r="L9" s="45"/>
      <c r="M9" s="40"/>
      <c r="N9" s="43">
        <f t="shared" si="2"/>
        <v>0</v>
      </c>
      <c r="O9" s="43">
        <f t="shared" si="3"/>
        <v>0</v>
      </c>
      <c r="P9" s="46"/>
      <c r="Q9" s="40"/>
      <c r="R9" s="43"/>
      <c r="S9" s="43"/>
      <c r="T9" s="49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4"/>
        <v>0</v>
      </c>
      <c r="J11" s="44">
        <f>S11+T11</f>
        <v>0</v>
      </c>
      <c r="K11" s="44">
        <f>I11-J11</f>
        <v>0</v>
      </c>
      <c r="L11" s="45"/>
      <c r="M11" s="40"/>
      <c r="N11" s="43">
        <f t="shared" si="2"/>
        <v>0</v>
      </c>
      <c r="O11" s="43">
        <f t="shared" si="3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4"/>
        <v>0</v>
      </c>
      <c r="J13" s="44">
        <f t="shared" si="0"/>
        <v>0</v>
      </c>
      <c r="K13" s="44">
        <f t="shared" si="1"/>
        <v>0</v>
      </c>
      <c r="L13" s="45"/>
      <c r="M13" s="40"/>
      <c r="N13" s="43">
        <f t="shared" si="2"/>
        <v>0</v>
      </c>
      <c r="O13" s="43">
        <f t="shared" si="3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4"/>
        <v>0</v>
      </c>
      <c r="J15" s="44">
        <f t="shared" si="0"/>
        <v>0</v>
      </c>
      <c r="K15" s="44">
        <f t="shared" si="1"/>
        <v>0</v>
      </c>
      <c r="L15" s="45"/>
      <c r="M15" s="40"/>
      <c r="N15" s="43">
        <f t="shared" si="2"/>
        <v>0</v>
      </c>
      <c r="O15" s="43">
        <f t="shared" si="3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4"/>
        <v>0</v>
      </c>
      <c r="J17" s="44">
        <f t="shared" si="0"/>
        <v>0</v>
      </c>
      <c r="K17" s="44">
        <f t="shared" si="1"/>
        <v>0</v>
      </c>
      <c r="L17" s="45"/>
      <c r="M17" s="40"/>
      <c r="N17" s="43">
        <f t="shared" si="2"/>
        <v>0</v>
      </c>
      <c r="O17" s="43">
        <f t="shared" si="3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4"/>
        <v>0</v>
      </c>
      <c r="J19" s="44">
        <f>S19+T19</f>
        <v>0</v>
      </c>
      <c r="K19" s="44">
        <f t="shared" si="1"/>
        <v>0</v>
      </c>
      <c r="L19" s="45"/>
      <c r="M19" s="40"/>
      <c r="N19" s="43">
        <f>I19-J19-M19-R19</f>
        <v>0</v>
      </c>
      <c r="O19" s="43">
        <f>R19+S19+T19</f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4"/>
        <v>0</v>
      </c>
      <c r="J21" s="44">
        <f t="shared" si="0"/>
        <v>0</v>
      </c>
      <c r="K21" s="44">
        <f t="shared" si="1"/>
        <v>0</v>
      </c>
      <c r="L21" s="45"/>
      <c r="M21" s="40"/>
      <c r="N21" s="43">
        <f t="shared" si="2"/>
        <v>0</v>
      </c>
      <c r="O21" s="43">
        <f t="shared" si="3"/>
        <v>0</v>
      </c>
      <c r="P21" s="46"/>
      <c r="Q21" s="40"/>
      <c r="R21" s="47"/>
      <c r="S21" s="47"/>
      <c r="T21" s="48"/>
    </row>
    <row r="22" spans="1:22" ht="15">
      <c r="A22" s="32"/>
      <c r="B22" s="33"/>
      <c r="C22" s="34"/>
      <c r="D22" s="32"/>
      <c r="E22" s="32"/>
      <c r="F22" s="32"/>
      <c r="G22" s="37"/>
      <c r="H22" s="37"/>
      <c r="I22" s="37"/>
      <c r="J22" s="35"/>
      <c r="K22" s="35"/>
      <c r="L22" s="36"/>
      <c r="M22" s="32"/>
      <c r="N22" s="37"/>
      <c r="O22" s="37"/>
      <c r="P22" s="38"/>
      <c r="Q22" s="32"/>
      <c r="R22" s="32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4"/>
        <v>0</v>
      </c>
      <c r="J23" s="44">
        <f t="shared" si="0"/>
        <v>0</v>
      </c>
      <c r="K23" s="44">
        <f t="shared" si="1"/>
        <v>0</v>
      </c>
      <c r="L23" s="45"/>
      <c r="M23" s="40"/>
      <c r="N23" s="43">
        <f t="shared" si="2"/>
        <v>0</v>
      </c>
      <c r="O23" s="43">
        <f t="shared" si="3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4"/>
        <v>0</v>
      </c>
      <c r="J25" s="44">
        <f t="shared" si="0"/>
        <v>0</v>
      </c>
      <c r="K25" s="44">
        <f t="shared" si="1"/>
        <v>0</v>
      </c>
      <c r="L25" s="45"/>
      <c r="M25" s="40"/>
      <c r="N25" s="43">
        <f t="shared" si="2"/>
        <v>0</v>
      </c>
      <c r="O25" s="43">
        <f t="shared" si="3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4"/>
        <v>0</v>
      </c>
      <c r="J27" s="44">
        <f t="shared" si="0"/>
        <v>0</v>
      </c>
      <c r="K27" s="44">
        <f t="shared" si="1"/>
        <v>0</v>
      </c>
      <c r="L27" s="45"/>
      <c r="M27" s="40"/>
      <c r="N27" s="43">
        <f t="shared" si="2"/>
        <v>0</v>
      </c>
      <c r="O27" s="43">
        <f t="shared" si="3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4"/>
        <v>0</v>
      </c>
      <c r="J29" s="44">
        <f t="shared" si="0"/>
        <v>0</v>
      </c>
      <c r="K29" s="44">
        <f t="shared" si="1"/>
        <v>0</v>
      </c>
      <c r="L29" s="45"/>
      <c r="M29" s="40"/>
      <c r="N29" s="43">
        <f t="shared" si="2"/>
        <v>0</v>
      </c>
      <c r="O29" s="43">
        <f t="shared" si="3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4"/>
        <v>0</v>
      </c>
      <c r="J31" s="44">
        <f t="shared" si="0"/>
        <v>0</v>
      </c>
      <c r="K31" s="44">
        <f t="shared" si="1"/>
        <v>0</v>
      </c>
      <c r="L31" s="45"/>
      <c r="M31" s="40"/>
      <c r="N31" s="43">
        <f t="shared" si="2"/>
        <v>0</v>
      </c>
      <c r="O31" s="43">
        <f t="shared" si="3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4"/>
        <v>0</v>
      </c>
      <c r="J33" s="44">
        <f t="shared" si="0"/>
        <v>0</v>
      </c>
      <c r="K33" s="44">
        <f t="shared" si="1"/>
        <v>0</v>
      </c>
      <c r="L33" s="45"/>
      <c r="M33" s="40"/>
      <c r="N33" s="43">
        <f t="shared" si="2"/>
        <v>0</v>
      </c>
      <c r="O33" s="43">
        <f t="shared" si="3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4"/>
        <v>0</v>
      </c>
      <c r="J35" s="44">
        <f t="shared" si="0"/>
        <v>0</v>
      </c>
      <c r="K35" s="44">
        <f t="shared" si="1"/>
        <v>0</v>
      </c>
      <c r="L35" s="45"/>
      <c r="M35" s="40"/>
      <c r="N35" s="43">
        <f t="shared" si="2"/>
        <v>0</v>
      </c>
      <c r="O35" s="43">
        <f t="shared" si="3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4"/>
        <v>0</v>
      </c>
      <c r="J37" s="44">
        <f t="shared" si="0"/>
        <v>0</v>
      </c>
      <c r="K37" s="44">
        <f t="shared" si="1"/>
        <v>0</v>
      </c>
      <c r="L37" s="45"/>
      <c r="M37" s="40"/>
      <c r="N37" s="43">
        <f t="shared" si="2"/>
        <v>0</v>
      </c>
      <c r="O37" s="43">
        <f t="shared" si="3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4"/>
        <v>0</v>
      </c>
      <c r="J39" s="44">
        <f t="shared" si="0"/>
        <v>0</v>
      </c>
      <c r="K39" s="44">
        <f t="shared" si="1"/>
        <v>0</v>
      </c>
      <c r="L39" s="45"/>
      <c r="M39" s="40"/>
      <c r="N39" s="43">
        <f t="shared" si="2"/>
        <v>0</v>
      </c>
      <c r="O39" s="43">
        <f t="shared" si="3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4"/>
        <v>0</v>
      </c>
      <c r="J41" s="44">
        <f t="shared" si="0"/>
        <v>0</v>
      </c>
      <c r="K41" s="44">
        <f t="shared" si="1"/>
        <v>0</v>
      </c>
      <c r="L41" s="45"/>
      <c r="M41" s="40"/>
      <c r="N41" s="43">
        <f t="shared" si="2"/>
        <v>0</v>
      </c>
      <c r="O41" s="43">
        <f t="shared" si="3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40"/>
      <c r="B43" s="41"/>
      <c r="C43" s="42"/>
      <c r="D43" s="40"/>
      <c r="E43" s="40"/>
      <c r="F43" s="40"/>
      <c r="G43" s="43">
        <f>F43*6%</f>
        <v>0</v>
      </c>
      <c r="H43" s="43"/>
      <c r="I43" s="44">
        <f t="shared" si="4"/>
        <v>0</v>
      </c>
      <c r="J43" s="44">
        <f t="shared" si="0"/>
        <v>0</v>
      </c>
      <c r="K43" s="44">
        <f t="shared" si="1"/>
        <v>0</v>
      </c>
      <c r="L43" s="45"/>
      <c r="M43" s="40"/>
      <c r="N43" s="43">
        <f t="shared" si="2"/>
        <v>0</v>
      </c>
      <c r="O43" s="43">
        <f t="shared" si="3"/>
        <v>0</v>
      </c>
      <c r="P43" s="46"/>
      <c r="Q43" s="40"/>
      <c r="R43" s="40"/>
      <c r="S43" s="40"/>
      <c r="T43" s="5"/>
    </row>
    <row r="44" spans="1:22" ht="15">
      <c r="A44" s="32"/>
      <c r="B44" s="33"/>
      <c r="C44" s="32"/>
      <c r="D44" s="33"/>
      <c r="E44" s="34"/>
      <c r="F44" s="32"/>
      <c r="G44" s="32"/>
      <c r="H44" s="32"/>
      <c r="I44" s="37"/>
      <c r="J44" s="37"/>
      <c r="K44" s="35"/>
      <c r="L44" s="35"/>
      <c r="M44" s="35"/>
      <c r="N44" s="36"/>
      <c r="O44" s="32"/>
      <c r="P44" s="37"/>
      <c r="Q44" s="37"/>
      <c r="R44" s="38"/>
      <c r="S44" s="32"/>
      <c r="T44" s="39"/>
      <c r="U44" s="6"/>
      <c r="V44" s="6"/>
    </row>
    <row r="45" spans="1:22" ht="15">
      <c r="A45" s="50"/>
      <c r="B45" s="51"/>
      <c r="C45" s="52"/>
      <c r="D45" s="50"/>
      <c r="E45" s="50"/>
      <c r="F45" s="50"/>
      <c r="G45" s="43">
        <f>F45*6%</f>
        <v>0</v>
      </c>
      <c r="H45" s="53"/>
      <c r="I45" s="78">
        <f t="shared" si="4"/>
        <v>0</v>
      </c>
      <c r="J45" s="54">
        <f t="shared" si="0"/>
        <v>0</v>
      </c>
      <c r="K45" s="54">
        <f t="shared" si="1"/>
        <v>0</v>
      </c>
      <c r="L45" s="55"/>
      <c r="M45" s="50"/>
      <c r="N45" s="53">
        <f t="shared" si="2"/>
        <v>0</v>
      </c>
      <c r="O45" s="53">
        <f t="shared" si="3"/>
        <v>0</v>
      </c>
      <c r="P45" s="56"/>
      <c r="Q45" s="50"/>
      <c r="R45" s="50"/>
      <c r="S45" s="50"/>
      <c r="T45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477" priority="26" operator="containsText" text="SIN FACTURA ">
      <formula>NOT(ISERROR(SEARCH("SIN FACTURA ",A2)))</formula>
    </cfRule>
  </conditionalFormatting>
  <conditionalFormatting sqref="A4:T5 J45:T45 J43:T43 J41:T41 J39:T39 J37:T37 J35:T35 J33:T33 J31:T31 J29:T29 J27:T27 J25:T25 J15:T23 J6:T13 I6:I45 A6:H13 A15:H23 A25:H25 A27:H27 A29:H29 A31:H31 A33:H33 A35:H35 A37:H37 A39:H39 A41:H41 A43:H43 A45:H45">
    <cfRule type="containsText" dxfId="1476" priority="25" operator="containsText" text="SIN FACTURA">
      <formula>NOT(ISERROR(SEARCH("SIN FACTURA",A4)))</formula>
    </cfRule>
  </conditionalFormatting>
  <conditionalFormatting sqref="C14:H14 J14:V14">
    <cfRule type="containsText" dxfId="1475" priority="24" operator="containsText" text="SIN FACTURA">
      <formula>NOT(ISERROR(SEARCH("SIN FACTURA",C14)))</formula>
    </cfRule>
  </conditionalFormatting>
  <conditionalFormatting sqref="C24:H24 J24:V24">
    <cfRule type="containsText" dxfId="1474" priority="23" operator="containsText" text="SIN FACTURA">
      <formula>NOT(ISERROR(SEARCH("SIN FACTURA",C24)))</formula>
    </cfRule>
  </conditionalFormatting>
  <conditionalFormatting sqref="C26:H26 J26:V26">
    <cfRule type="containsText" dxfId="1473" priority="22" operator="containsText" text="SIN FACTURA">
      <formula>NOT(ISERROR(SEARCH("SIN FACTURA",C26)))</formula>
    </cfRule>
  </conditionalFormatting>
  <conditionalFormatting sqref="C28:H28 J28:V28">
    <cfRule type="containsText" dxfId="1472" priority="21" operator="containsText" text="SIN FACTURA">
      <formula>NOT(ISERROR(SEARCH("SIN FACTURA",C28)))</formula>
    </cfRule>
  </conditionalFormatting>
  <conditionalFormatting sqref="C30:H30 J30:V30">
    <cfRule type="containsText" dxfId="1471" priority="20" operator="containsText" text="SIN FACTURA">
      <formula>NOT(ISERROR(SEARCH("SIN FACTURA",C30)))</formula>
    </cfRule>
  </conditionalFormatting>
  <conditionalFormatting sqref="C32:H32 J32:V32">
    <cfRule type="containsText" dxfId="1470" priority="19" operator="containsText" text="SIN FACTURA">
      <formula>NOT(ISERROR(SEARCH("SIN FACTURA",C32)))</formula>
    </cfRule>
  </conditionalFormatting>
  <conditionalFormatting sqref="C34:H34 J34:V34">
    <cfRule type="containsText" dxfId="1469" priority="18" operator="containsText" text="SIN FACTURA">
      <formula>NOT(ISERROR(SEARCH("SIN FACTURA",C34)))</formula>
    </cfRule>
  </conditionalFormatting>
  <conditionalFormatting sqref="C36:H36 J36:V36">
    <cfRule type="containsText" dxfId="1468" priority="17" operator="containsText" text="SIN FACTURA">
      <formula>NOT(ISERROR(SEARCH("SIN FACTURA",C36)))</formula>
    </cfRule>
  </conditionalFormatting>
  <conditionalFormatting sqref="C38:H38 J38:V38">
    <cfRule type="containsText" dxfId="1467" priority="16" operator="containsText" text="SIN FACTURA">
      <formula>NOT(ISERROR(SEARCH("SIN FACTURA",C38)))</formula>
    </cfRule>
  </conditionalFormatting>
  <conditionalFormatting sqref="C40:H40 J40:V40">
    <cfRule type="containsText" dxfId="1466" priority="15" operator="containsText" text="SIN FACTURA">
      <formula>NOT(ISERROR(SEARCH("SIN FACTURA",C40)))</formula>
    </cfRule>
  </conditionalFormatting>
  <conditionalFormatting sqref="C42:H42 J42:V42">
    <cfRule type="containsText" dxfId="1465" priority="14" operator="containsText" text="SIN FACTURA">
      <formula>NOT(ISERROR(SEARCH("SIN FACTURA",C42)))</formula>
    </cfRule>
  </conditionalFormatting>
  <conditionalFormatting sqref="C44:H44 J44:V44">
    <cfRule type="containsText" dxfId="1464" priority="13" operator="containsText" text="SIN FACTURA">
      <formula>NOT(ISERROR(SEARCH("SIN FACTURA",C44)))</formula>
    </cfRule>
  </conditionalFormatting>
  <conditionalFormatting sqref="A14:B14">
    <cfRule type="containsText" dxfId="1463" priority="12" operator="containsText" text="SIN FACTURA">
      <formula>NOT(ISERROR(SEARCH("SIN FACTURA",A14)))</formula>
    </cfRule>
  </conditionalFormatting>
  <conditionalFormatting sqref="A24:B24">
    <cfRule type="containsText" dxfId="1462" priority="11" operator="containsText" text="SIN FACTURA">
      <formula>NOT(ISERROR(SEARCH("SIN FACTURA",A24)))</formula>
    </cfRule>
  </conditionalFormatting>
  <conditionalFormatting sqref="A26:B26">
    <cfRule type="containsText" dxfId="1461" priority="10" operator="containsText" text="SIN FACTURA">
      <formula>NOT(ISERROR(SEARCH("SIN FACTURA",A26)))</formula>
    </cfRule>
  </conditionalFormatting>
  <conditionalFormatting sqref="A28:B28">
    <cfRule type="containsText" dxfId="1460" priority="9" operator="containsText" text="SIN FACTURA">
      <formula>NOT(ISERROR(SEARCH("SIN FACTURA",A28)))</formula>
    </cfRule>
  </conditionalFormatting>
  <conditionalFormatting sqref="A30:B30">
    <cfRule type="containsText" dxfId="1459" priority="8" operator="containsText" text="SIN FACTURA">
      <formula>NOT(ISERROR(SEARCH("SIN FACTURA",A30)))</formula>
    </cfRule>
  </conditionalFormatting>
  <conditionalFormatting sqref="A32:B32">
    <cfRule type="containsText" dxfId="1458" priority="7" operator="containsText" text="SIN FACTURA">
      <formula>NOT(ISERROR(SEARCH("SIN FACTURA",A32)))</formula>
    </cfRule>
  </conditionalFormatting>
  <conditionalFormatting sqref="A44:B44">
    <cfRule type="containsText" dxfId="1457" priority="1" operator="containsText" text="SIN FACTURA">
      <formula>NOT(ISERROR(SEARCH("SIN FACTURA",A44)))</formula>
    </cfRule>
  </conditionalFormatting>
  <conditionalFormatting sqref="A34:B34">
    <cfRule type="containsText" dxfId="1456" priority="6" operator="containsText" text="SIN FACTURA">
      <formula>NOT(ISERROR(SEARCH("SIN FACTURA",A34)))</formula>
    </cfRule>
  </conditionalFormatting>
  <conditionalFormatting sqref="A36:B36">
    <cfRule type="containsText" dxfId="1455" priority="5" operator="containsText" text="SIN FACTURA">
      <formula>NOT(ISERROR(SEARCH("SIN FACTURA",A36)))</formula>
    </cfRule>
  </conditionalFormatting>
  <conditionalFormatting sqref="A38:B38">
    <cfRule type="containsText" dxfId="1454" priority="4" operator="containsText" text="SIN FACTURA">
      <formula>NOT(ISERROR(SEARCH("SIN FACTURA",A38)))</formula>
    </cfRule>
  </conditionalFormatting>
  <conditionalFormatting sqref="A40:B40">
    <cfRule type="containsText" dxfId="1453" priority="3" operator="containsText" text="SIN FACTURA">
      <formula>NOT(ISERROR(SEARCH("SIN FACTURA",A40)))</formula>
    </cfRule>
  </conditionalFormatting>
  <conditionalFormatting sqref="A42:B42">
    <cfRule type="containsText" dxfId="1452" priority="2" operator="containsText" text="SIN FACTURA">
      <formula>NOT(ISERROR(SEARCH("SIN FACTURA",A42)))</formula>
    </cfRule>
  </conditionalFormatting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>
  <sheetPr codeName="Hoja189"/>
  <dimension ref="A1:Y39"/>
  <sheetViews>
    <sheetView topLeftCell="B1" zoomScale="125" zoomScaleNormal="125" zoomScalePageLayoutView="125" workbookViewId="0">
      <pane ySplit="4" topLeftCell="A5" activePane="bottomLeft" state="frozen"/>
      <selection activeCell="C52" sqref="C52"/>
      <selection pane="bottomLeft" activeCell="B10" sqref="A5:XFD10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350</v>
      </c>
      <c r="B1" s="18" t="s">
        <v>87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9" si="0">F5-G5-H5</f>
        <v>0</v>
      </c>
      <c r="J5" s="44">
        <f>S5+T5</f>
        <v>0</v>
      </c>
      <c r="K5" s="44">
        <f>I5-J5</f>
        <v>0</v>
      </c>
      <c r="L5" s="45"/>
      <c r="M5" s="40"/>
      <c r="N5" s="43">
        <f t="shared" ref="N5:N39" si="1">I5-J5-M5-R5</f>
        <v>0</v>
      </c>
      <c r="O5" s="43">
        <f t="shared" ref="O5:O39" si="2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ref="J7:J39" si="3">S7+T7</f>
        <v>0</v>
      </c>
      <c r="K7" s="44">
        <f t="shared" ref="K7:K39" si="4">I7-J7</f>
        <v>0</v>
      </c>
      <c r="L7" s="45"/>
      <c r="M7" s="40"/>
      <c r="N7" s="43">
        <f t="shared" si="1"/>
        <v>0</v>
      </c>
      <c r="O7" s="43">
        <f t="shared" si="2"/>
        <v>0</v>
      </c>
      <c r="P7" s="46"/>
      <c r="Q7" s="40"/>
      <c r="R7" s="47"/>
      <c r="S7" s="47"/>
      <c r="T7" s="48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3"/>
        <v>0</v>
      </c>
      <c r="K9" s="44">
        <f t="shared" si="4"/>
        <v>0</v>
      </c>
      <c r="L9" s="45"/>
      <c r="M9" s="40"/>
      <c r="N9" s="43">
        <f t="shared" si="1"/>
        <v>0</v>
      </c>
      <c r="O9" s="43">
        <f t="shared" si="2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3"/>
        <v>0</v>
      </c>
      <c r="K11" s="44">
        <f t="shared" si="4"/>
        <v>0</v>
      </c>
      <c r="L11" s="45"/>
      <c r="M11" s="40"/>
      <c r="N11" s="43">
        <f t="shared" si="1"/>
        <v>0</v>
      </c>
      <c r="O11" s="43">
        <f t="shared" si="2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>S13+T13</f>
        <v>0</v>
      </c>
      <c r="K13" s="44">
        <f t="shared" si="4"/>
        <v>0</v>
      </c>
      <c r="L13" s="45"/>
      <c r="M13" s="40"/>
      <c r="N13" s="43">
        <f>I13-J13-M13-R13</f>
        <v>0</v>
      </c>
      <c r="O13" s="43">
        <f>R13+S13+T13</f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3"/>
        <v>0</v>
      </c>
      <c r="K15" s="44">
        <f t="shared" si="4"/>
        <v>0</v>
      </c>
      <c r="L15" s="45"/>
      <c r="M15" s="40"/>
      <c r="N15" s="43">
        <f t="shared" si="1"/>
        <v>0</v>
      </c>
      <c r="O15" s="43">
        <f t="shared" si="2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3"/>
        <v>0</v>
      </c>
      <c r="K17" s="44">
        <f t="shared" si="4"/>
        <v>0</v>
      </c>
      <c r="L17" s="45"/>
      <c r="M17" s="40"/>
      <c r="N17" s="43">
        <f t="shared" si="1"/>
        <v>0</v>
      </c>
      <c r="O17" s="43">
        <f t="shared" si="2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3"/>
        <v>0</v>
      </c>
      <c r="K19" s="44">
        <f t="shared" si="4"/>
        <v>0</v>
      </c>
      <c r="L19" s="45"/>
      <c r="M19" s="40"/>
      <c r="N19" s="43">
        <f t="shared" si="1"/>
        <v>0</v>
      </c>
      <c r="O19" s="43">
        <f t="shared" si="2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3"/>
        <v>0</v>
      </c>
      <c r="K21" s="44">
        <f t="shared" si="4"/>
        <v>0</v>
      </c>
      <c r="L21" s="45"/>
      <c r="M21" s="40"/>
      <c r="N21" s="43">
        <f t="shared" si="1"/>
        <v>0</v>
      </c>
      <c r="O21" s="43">
        <f t="shared" si="2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3"/>
        <v>0</v>
      </c>
      <c r="K23" s="44">
        <f t="shared" si="4"/>
        <v>0</v>
      </c>
      <c r="L23" s="45"/>
      <c r="M23" s="40"/>
      <c r="N23" s="43">
        <f t="shared" si="1"/>
        <v>0</v>
      </c>
      <c r="O23" s="43">
        <f t="shared" si="2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3"/>
        <v>0</v>
      </c>
      <c r="K25" s="44">
        <f t="shared" si="4"/>
        <v>0</v>
      </c>
      <c r="L25" s="45"/>
      <c r="M25" s="40"/>
      <c r="N25" s="43">
        <f t="shared" si="1"/>
        <v>0</v>
      </c>
      <c r="O25" s="43">
        <f t="shared" si="2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3"/>
        <v>0</v>
      </c>
      <c r="K27" s="44">
        <f t="shared" si="4"/>
        <v>0</v>
      </c>
      <c r="L27" s="45"/>
      <c r="M27" s="40"/>
      <c r="N27" s="43">
        <f t="shared" si="1"/>
        <v>0</v>
      </c>
      <c r="O27" s="43">
        <f t="shared" si="2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3"/>
        <v>0</v>
      </c>
      <c r="K29" s="44">
        <f t="shared" si="4"/>
        <v>0</v>
      </c>
      <c r="L29" s="45"/>
      <c r="M29" s="40"/>
      <c r="N29" s="43">
        <f t="shared" si="1"/>
        <v>0</v>
      </c>
      <c r="O29" s="43">
        <f t="shared" si="2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3"/>
        <v>0</v>
      </c>
      <c r="K31" s="44">
        <f t="shared" si="4"/>
        <v>0</v>
      </c>
      <c r="L31" s="45"/>
      <c r="M31" s="40"/>
      <c r="N31" s="43">
        <f t="shared" si="1"/>
        <v>0</v>
      </c>
      <c r="O31" s="43">
        <f t="shared" si="2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3"/>
        <v>0</v>
      </c>
      <c r="K33" s="44">
        <f t="shared" si="4"/>
        <v>0</v>
      </c>
      <c r="L33" s="45"/>
      <c r="M33" s="40"/>
      <c r="N33" s="43">
        <f t="shared" si="1"/>
        <v>0</v>
      </c>
      <c r="O33" s="43">
        <f t="shared" si="2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3"/>
        <v>0</v>
      </c>
      <c r="K35" s="44">
        <f t="shared" si="4"/>
        <v>0</v>
      </c>
      <c r="L35" s="45"/>
      <c r="M35" s="40"/>
      <c r="N35" s="43">
        <f t="shared" si="1"/>
        <v>0</v>
      </c>
      <c r="O35" s="43">
        <f t="shared" si="2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3"/>
        <v>0</v>
      </c>
      <c r="K37" s="44">
        <f t="shared" si="4"/>
        <v>0</v>
      </c>
      <c r="L37" s="45"/>
      <c r="M37" s="40"/>
      <c r="N37" s="43">
        <f t="shared" si="1"/>
        <v>0</v>
      </c>
      <c r="O37" s="43">
        <f t="shared" si="2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50"/>
      <c r="B39" s="51"/>
      <c r="C39" s="52"/>
      <c r="D39" s="50"/>
      <c r="E39" s="50"/>
      <c r="F39" s="50"/>
      <c r="G39" s="43">
        <f>F39*6%</f>
        <v>0</v>
      </c>
      <c r="H39" s="53"/>
      <c r="I39" s="44">
        <f t="shared" si="0"/>
        <v>0</v>
      </c>
      <c r="J39" s="54">
        <f t="shared" si="3"/>
        <v>0</v>
      </c>
      <c r="K39" s="54">
        <f t="shared" si="4"/>
        <v>0</v>
      </c>
      <c r="L39" s="55"/>
      <c r="M39" s="50"/>
      <c r="N39" s="53">
        <f t="shared" si="1"/>
        <v>0</v>
      </c>
      <c r="O39" s="53">
        <f t="shared" si="2"/>
        <v>0</v>
      </c>
      <c r="P39" s="56"/>
      <c r="Q39" s="50"/>
      <c r="R39" s="50"/>
      <c r="S39" s="50"/>
      <c r="T39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086" priority="27" operator="containsText" text="SIN FACTURA ">
      <formula>NOT(ISERROR(SEARCH("SIN FACTURA ",A2)))</formula>
    </cfRule>
  </conditionalFormatting>
  <conditionalFormatting sqref="A38:B38 A4:T4 J5:T7 I5:I39 A5:H7">
    <cfRule type="containsText" dxfId="1085" priority="1" operator="containsText" text="SIN FACTURA">
      <formula>NOT(ISERROR(SEARCH("SIN FACTURA",A4)))</formula>
    </cfRule>
  </conditionalFormatting>
  <conditionalFormatting sqref="J39:T39 J37:T37 J35:T35 J33:T33 J31:T31 J29:T29 J27:T27 J25:T25 J23:T23 J21:T21 J19:T19 J9:T17 A9:H17 A19:H19 A21:H21 A23:H23 A25:H25 A27:H27 A29:H29 A31:H31 A33:H33 A35:H35 A37:H37 A39:H39">
    <cfRule type="containsText" dxfId="1084" priority="25" operator="containsText" text="SIN FACTURA">
      <formula>NOT(ISERROR(SEARCH("SIN FACTURA",A9)))</formula>
    </cfRule>
  </conditionalFormatting>
  <conditionalFormatting sqref="C8:H8 J8:V8">
    <cfRule type="containsText" dxfId="1083" priority="24" operator="containsText" text="SIN FACTURA">
      <formula>NOT(ISERROR(SEARCH("SIN FACTURA",C8)))</formula>
    </cfRule>
  </conditionalFormatting>
  <conditionalFormatting sqref="C18:H18 J18:V18">
    <cfRule type="containsText" dxfId="1082" priority="23" operator="containsText" text="SIN FACTURA">
      <formula>NOT(ISERROR(SEARCH("SIN FACTURA",C18)))</formula>
    </cfRule>
  </conditionalFormatting>
  <conditionalFormatting sqref="C20:H20 J20:V20">
    <cfRule type="containsText" dxfId="1081" priority="22" operator="containsText" text="SIN FACTURA">
      <formula>NOT(ISERROR(SEARCH("SIN FACTURA",C20)))</formula>
    </cfRule>
  </conditionalFormatting>
  <conditionalFormatting sqref="C22:H22 J22:V22">
    <cfRule type="containsText" dxfId="1080" priority="21" operator="containsText" text="SIN FACTURA">
      <formula>NOT(ISERROR(SEARCH("SIN FACTURA",C22)))</formula>
    </cfRule>
  </conditionalFormatting>
  <conditionalFormatting sqref="C24:H24 J24:V24">
    <cfRule type="containsText" dxfId="1079" priority="20" operator="containsText" text="SIN FACTURA">
      <formula>NOT(ISERROR(SEARCH("SIN FACTURA",C24)))</formula>
    </cfRule>
  </conditionalFormatting>
  <conditionalFormatting sqref="C26:H26 J26:V26">
    <cfRule type="containsText" dxfId="1078" priority="19" operator="containsText" text="SIN FACTURA">
      <formula>NOT(ISERROR(SEARCH("SIN FACTURA",C26)))</formula>
    </cfRule>
  </conditionalFormatting>
  <conditionalFormatting sqref="C28:H28 J28:V28">
    <cfRule type="containsText" dxfId="1077" priority="18" operator="containsText" text="SIN FACTURA">
      <formula>NOT(ISERROR(SEARCH("SIN FACTURA",C28)))</formula>
    </cfRule>
  </conditionalFormatting>
  <conditionalFormatting sqref="C30:H30 J30:V30">
    <cfRule type="containsText" dxfId="1076" priority="17" operator="containsText" text="SIN FACTURA">
      <formula>NOT(ISERROR(SEARCH("SIN FACTURA",C30)))</formula>
    </cfRule>
  </conditionalFormatting>
  <conditionalFormatting sqref="C32:H32 J32:V32">
    <cfRule type="containsText" dxfId="1075" priority="16" operator="containsText" text="SIN FACTURA">
      <formula>NOT(ISERROR(SEARCH("SIN FACTURA",C32)))</formula>
    </cfRule>
  </conditionalFormatting>
  <conditionalFormatting sqref="C34:H34 J34:V34">
    <cfRule type="containsText" dxfId="1074" priority="15" operator="containsText" text="SIN FACTURA">
      <formula>NOT(ISERROR(SEARCH("SIN FACTURA",C34)))</formula>
    </cfRule>
  </conditionalFormatting>
  <conditionalFormatting sqref="C36:H36 J36:V36">
    <cfRule type="containsText" dxfId="1073" priority="14" operator="containsText" text="SIN FACTURA">
      <formula>NOT(ISERROR(SEARCH("SIN FACTURA",C36)))</formula>
    </cfRule>
  </conditionalFormatting>
  <conditionalFormatting sqref="C38:H38 J38:V38">
    <cfRule type="containsText" dxfId="1072" priority="13" operator="containsText" text="SIN FACTURA">
      <formula>NOT(ISERROR(SEARCH("SIN FACTURA",C38)))</formula>
    </cfRule>
  </conditionalFormatting>
  <conditionalFormatting sqref="A8:B8">
    <cfRule type="containsText" dxfId="1071" priority="12" operator="containsText" text="SIN FACTURA">
      <formula>NOT(ISERROR(SEARCH("SIN FACTURA",A8)))</formula>
    </cfRule>
  </conditionalFormatting>
  <conditionalFormatting sqref="A18:B18">
    <cfRule type="containsText" dxfId="1070" priority="11" operator="containsText" text="SIN FACTURA">
      <formula>NOT(ISERROR(SEARCH("SIN FACTURA",A18)))</formula>
    </cfRule>
  </conditionalFormatting>
  <conditionalFormatting sqref="A20:B20">
    <cfRule type="containsText" dxfId="1069" priority="10" operator="containsText" text="SIN FACTURA">
      <formula>NOT(ISERROR(SEARCH("SIN FACTURA",A20)))</formula>
    </cfRule>
  </conditionalFormatting>
  <conditionalFormatting sqref="A22:B22">
    <cfRule type="containsText" dxfId="1068" priority="9" operator="containsText" text="SIN FACTURA">
      <formula>NOT(ISERROR(SEARCH("SIN FACTURA",A22)))</formula>
    </cfRule>
  </conditionalFormatting>
  <conditionalFormatting sqref="A24:B24">
    <cfRule type="containsText" dxfId="1067" priority="8" operator="containsText" text="SIN FACTURA">
      <formula>NOT(ISERROR(SEARCH("SIN FACTURA",A24)))</formula>
    </cfRule>
  </conditionalFormatting>
  <conditionalFormatting sqref="A26:B26">
    <cfRule type="containsText" dxfId="1066" priority="7" operator="containsText" text="SIN FACTURA">
      <formula>NOT(ISERROR(SEARCH("SIN FACTURA",A26)))</formula>
    </cfRule>
  </conditionalFormatting>
  <conditionalFormatting sqref="A28:B28">
    <cfRule type="containsText" dxfId="1065" priority="6" operator="containsText" text="SIN FACTURA">
      <formula>NOT(ISERROR(SEARCH("SIN FACTURA",A28)))</formula>
    </cfRule>
  </conditionalFormatting>
  <conditionalFormatting sqref="A30:B30">
    <cfRule type="containsText" dxfId="1064" priority="5" operator="containsText" text="SIN FACTURA">
      <formula>NOT(ISERROR(SEARCH("SIN FACTURA",A30)))</formula>
    </cfRule>
  </conditionalFormatting>
  <conditionalFormatting sqref="A32:B32">
    <cfRule type="containsText" dxfId="1063" priority="4" operator="containsText" text="SIN FACTURA">
      <formula>NOT(ISERROR(SEARCH("SIN FACTURA",A32)))</formula>
    </cfRule>
  </conditionalFormatting>
  <conditionalFormatting sqref="A34:B34">
    <cfRule type="containsText" dxfId="1062" priority="3" operator="containsText" text="SIN FACTURA">
      <formula>NOT(ISERROR(SEARCH("SIN FACTURA",A34)))</formula>
    </cfRule>
  </conditionalFormatting>
  <conditionalFormatting sqref="A36:B36">
    <cfRule type="containsText" dxfId="1061" priority="2" operator="containsText" text="SIN FACTURA">
      <formula>NOT(ISERROR(SEARCH("SIN FACTURA",A36)))</formula>
    </cfRule>
  </conditionalFormatting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>
  <sheetPr codeName="Hoja147"/>
  <dimension ref="A1:Y29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D15" sqref="D15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427</v>
      </c>
      <c r="B1" s="18" t="s">
        <v>138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>F5-G5-H5</f>
        <v>0</v>
      </c>
      <c r="J5" s="44">
        <f t="shared" ref="J5:J29" si="0">S5+T5</f>
        <v>0</v>
      </c>
      <c r="K5" s="44">
        <f t="shared" ref="K5:K29" si="1">I5-J5</f>
        <v>0</v>
      </c>
      <c r="L5" s="45"/>
      <c r="M5" s="40"/>
      <c r="N5" s="43">
        <f t="shared" ref="N5:N29" si="2">I5-J5-M5-R5</f>
        <v>0</v>
      </c>
      <c r="O5" s="43">
        <f t="shared" ref="O5:O29" si="3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ref="I7:I29" si="4">F7-G7-H7</f>
        <v>0</v>
      </c>
      <c r="J7" s="44">
        <f t="shared" si="0"/>
        <v>0</v>
      </c>
      <c r="K7" s="44">
        <f t="shared" si="1"/>
        <v>0</v>
      </c>
      <c r="L7" s="45"/>
      <c r="M7" s="40"/>
      <c r="N7" s="43">
        <f t="shared" si="2"/>
        <v>0</v>
      </c>
      <c r="O7" s="43">
        <f t="shared" si="3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4"/>
        <v>0</v>
      </c>
      <c r="J9" s="44">
        <f t="shared" si="0"/>
        <v>0</v>
      </c>
      <c r="K9" s="44">
        <f t="shared" si="1"/>
        <v>0</v>
      </c>
      <c r="L9" s="45"/>
      <c r="M9" s="40"/>
      <c r="N9" s="43">
        <f t="shared" si="2"/>
        <v>0</v>
      </c>
      <c r="O9" s="43">
        <f t="shared" si="3"/>
        <v>0</v>
      </c>
      <c r="P9" s="46"/>
      <c r="Q9" s="40"/>
      <c r="R9" s="43"/>
      <c r="S9" s="43"/>
      <c r="T9" s="49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4"/>
        <v>0</v>
      </c>
      <c r="J11" s="44">
        <f>S11+T11</f>
        <v>0</v>
      </c>
      <c r="K11" s="44">
        <f>I11-J11</f>
        <v>0</v>
      </c>
      <c r="L11" s="45"/>
      <c r="M11" s="40"/>
      <c r="N11" s="43">
        <f t="shared" si="2"/>
        <v>0</v>
      </c>
      <c r="O11" s="43">
        <f t="shared" si="3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4"/>
        <v>0</v>
      </c>
      <c r="J13" s="44">
        <f t="shared" si="0"/>
        <v>0</v>
      </c>
      <c r="K13" s="44">
        <f t="shared" si="1"/>
        <v>0</v>
      </c>
      <c r="L13" s="45"/>
      <c r="M13" s="40"/>
      <c r="N13" s="43">
        <f t="shared" si="2"/>
        <v>0</v>
      </c>
      <c r="O13" s="43">
        <f t="shared" si="3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4"/>
        <v>0</v>
      </c>
      <c r="J15" s="44">
        <f t="shared" si="0"/>
        <v>0</v>
      </c>
      <c r="K15" s="44">
        <f t="shared" si="1"/>
        <v>0</v>
      </c>
      <c r="L15" s="45"/>
      <c r="M15" s="40"/>
      <c r="N15" s="43">
        <f t="shared" si="2"/>
        <v>0</v>
      </c>
      <c r="O15" s="43">
        <f t="shared" si="3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4"/>
        <v>0</v>
      </c>
      <c r="J17" s="44">
        <f t="shared" si="0"/>
        <v>0</v>
      </c>
      <c r="K17" s="44">
        <f t="shared" si="1"/>
        <v>0</v>
      </c>
      <c r="L17" s="45"/>
      <c r="M17" s="40"/>
      <c r="N17" s="43">
        <f t="shared" si="2"/>
        <v>0</v>
      </c>
      <c r="O17" s="43">
        <f t="shared" si="3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4"/>
        <v>0</v>
      </c>
      <c r="J19" s="44">
        <f>S19+T19</f>
        <v>0</v>
      </c>
      <c r="K19" s="44">
        <f t="shared" si="1"/>
        <v>0</v>
      </c>
      <c r="L19" s="45"/>
      <c r="M19" s="40"/>
      <c r="N19" s="43">
        <f>I19-J19-M19-R19</f>
        <v>0</v>
      </c>
      <c r="O19" s="43">
        <f>R19+S19+T19</f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4"/>
        <v>0</v>
      </c>
      <c r="J21" s="44">
        <f t="shared" si="0"/>
        <v>0</v>
      </c>
      <c r="K21" s="44">
        <f t="shared" si="1"/>
        <v>0</v>
      </c>
      <c r="L21" s="45"/>
      <c r="M21" s="40"/>
      <c r="N21" s="43">
        <f t="shared" si="2"/>
        <v>0</v>
      </c>
      <c r="O21" s="43">
        <f t="shared" si="3"/>
        <v>0</v>
      </c>
      <c r="P21" s="46"/>
      <c r="Q21" s="40"/>
      <c r="R21" s="47"/>
      <c r="S21" s="47"/>
      <c r="T21" s="48"/>
    </row>
    <row r="22" spans="1:22" ht="15">
      <c r="A22" s="32"/>
      <c r="B22" s="33"/>
      <c r="C22" s="34"/>
      <c r="D22" s="32"/>
      <c r="E22" s="32"/>
      <c r="F22" s="32"/>
      <c r="G22" s="37"/>
      <c r="H22" s="37"/>
      <c r="I22" s="37"/>
      <c r="J22" s="35"/>
      <c r="K22" s="35"/>
      <c r="L22" s="36"/>
      <c r="M22" s="32"/>
      <c r="N22" s="37"/>
      <c r="O22" s="37"/>
      <c r="P22" s="38"/>
      <c r="Q22" s="32"/>
      <c r="R22" s="32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4"/>
        <v>0</v>
      </c>
      <c r="J23" s="44">
        <f t="shared" si="0"/>
        <v>0</v>
      </c>
      <c r="K23" s="44">
        <f t="shared" si="1"/>
        <v>0</v>
      </c>
      <c r="L23" s="45"/>
      <c r="M23" s="40"/>
      <c r="N23" s="43">
        <f t="shared" si="2"/>
        <v>0</v>
      </c>
      <c r="O23" s="43">
        <f t="shared" si="3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4"/>
        <v>0</v>
      </c>
      <c r="J25" s="44">
        <f t="shared" si="0"/>
        <v>0</v>
      </c>
      <c r="K25" s="44">
        <f t="shared" si="1"/>
        <v>0</v>
      </c>
      <c r="L25" s="45"/>
      <c r="M25" s="40"/>
      <c r="N25" s="43">
        <f t="shared" si="2"/>
        <v>0</v>
      </c>
      <c r="O25" s="43">
        <f t="shared" si="3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4"/>
        <v>0</v>
      </c>
      <c r="J27" s="44">
        <f t="shared" si="0"/>
        <v>0</v>
      </c>
      <c r="K27" s="44">
        <f t="shared" si="1"/>
        <v>0</v>
      </c>
      <c r="L27" s="45"/>
      <c r="M27" s="40"/>
      <c r="N27" s="43">
        <f t="shared" si="2"/>
        <v>0</v>
      </c>
      <c r="O27" s="43">
        <f t="shared" si="3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4"/>
        <v>0</v>
      </c>
      <c r="J29" s="44">
        <f t="shared" si="0"/>
        <v>0</v>
      </c>
      <c r="K29" s="44">
        <f t="shared" si="1"/>
        <v>0</v>
      </c>
      <c r="L29" s="45"/>
      <c r="M29" s="40"/>
      <c r="N29" s="43">
        <f t="shared" si="2"/>
        <v>0</v>
      </c>
      <c r="O29" s="43">
        <f t="shared" si="3"/>
        <v>0</v>
      </c>
      <c r="P29" s="46"/>
      <c r="Q29" s="40"/>
      <c r="R29" s="40"/>
      <c r="S29" s="40"/>
      <c r="T29" s="5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060" priority="53" operator="containsText" text="SIN FACTURA ">
      <formula>NOT(ISERROR(SEARCH("SIN FACTURA ",A2)))</formula>
    </cfRule>
  </conditionalFormatting>
  <conditionalFormatting sqref="A4:T4 I5:I11">
    <cfRule type="containsText" dxfId="1059" priority="52" operator="containsText" text="SIN FACTURA">
      <formula>NOT(ISERROR(SEARCH("SIN FACTURA",A4)))</formula>
    </cfRule>
  </conditionalFormatting>
  <conditionalFormatting sqref="J5:T5 J7:T7 J10:T11 A5:H5 A7:H7 A15:T15 J17:T20 A17:H20 I17:I21 A10:H11">
    <cfRule type="containsText" dxfId="1058" priority="23" operator="containsText" text="SIN FACTURA">
      <formula>NOT(ISERROR(SEARCH("SIN FACTURA",A5)))</formula>
    </cfRule>
  </conditionalFormatting>
  <conditionalFormatting sqref="C6:H6 C8:H8 C21:H21 J6:V6 J8:V9 J21:V21 G9:H9">
    <cfRule type="containsText" dxfId="1057" priority="22" operator="containsText" text="SIN FACTURA">
      <formula>NOT(ISERROR(SEARCH("SIN FACTURA",C6)))</formula>
    </cfRule>
  </conditionalFormatting>
  <conditionalFormatting sqref="A6:B6 A8:B8 A21:B21">
    <cfRule type="containsText" dxfId="1056" priority="21" operator="containsText" text="SIN FACTURA">
      <formula>NOT(ISERROR(SEARCH("SIN FACTURA",A6)))</formula>
    </cfRule>
  </conditionalFormatting>
  <conditionalFormatting sqref="I12:I14">
    <cfRule type="containsText" dxfId="1055" priority="19" operator="containsText" text="SIN FACTURA">
      <formula>NOT(ISERROR(SEARCH("SIN FACTURA",I12)))</formula>
    </cfRule>
  </conditionalFormatting>
  <conditionalFormatting sqref="C12:H14 J12:V14">
    <cfRule type="containsText" dxfId="1054" priority="18" operator="containsText" text="SIN FACTURA">
      <formula>NOT(ISERROR(SEARCH("SIN FACTURA",C12)))</formula>
    </cfRule>
  </conditionalFormatting>
  <conditionalFormatting sqref="A12:B14">
    <cfRule type="containsText" dxfId="1053" priority="17" operator="containsText" text="SIN FACTURA">
      <formula>NOT(ISERROR(SEARCH("SIN FACTURA",A12)))</formula>
    </cfRule>
  </conditionalFormatting>
  <conditionalFormatting sqref="I16">
    <cfRule type="containsText" dxfId="1052" priority="16" operator="containsText" text="SIN FACTURA">
      <formula>NOT(ISERROR(SEARCH("SIN FACTURA",I16)))</formula>
    </cfRule>
  </conditionalFormatting>
  <conditionalFormatting sqref="C16:H16 J16:V16">
    <cfRule type="containsText" dxfId="1051" priority="15" operator="containsText" text="SIN FACTURA">
      <formula>NOT(ISERROR(SEARCH("SIN FACTURA",C16)))</formula>
    </cfRule>
  </conditionalFormatting>
  <conditionalFormatting sqref="A16:B16">
    <cfRule type="containsText" dxfId="1050" priority="14" operator="containsText" text="SIN FACTURA">
      <formula>NOT(ISERROR(SEARCH("SIN FACTURA",A16)))</formula>
    </cfRule>
  </conditionalFormatting>
  <conditionalFormatting sqref="J13:T13 A13:H13 I13:I14">
    <cfRule type="containsText" dxfId="1049" priority="13" operator="containsText" text="SIN FACTURA">
      <formula>NOT(ISERROR(SEARCH("SIN FACTURA",A13)))</formula>
    </cfRule>
  </conditionalFormatting>
  <conditionalFormatting sqref="C14:H14 J14:V14">
    <cfRule type="containsText" dxfId="1048" priority="12" operator="containsText" text="SIN FACTURA">
      <formula>NOT(ISERROR(SEARCH("SIN FACTURA",C14)))</formula>
    </cfRule>
  </conditionalFormatting>
  <conditionalFormatting sqref="A14:B14">
    <cfRule type="containsText" dxfId="1047" priority="11" operator="containsText" text="SIN FACTURA">
      <formula>NOT(ISERROR(SEARCH("SIN FACTURA",A14)))</formula>
    </cfRule>
  </conditionalFormatting>
  <conditionalFormatting sqref="A9:F9">
    <cfRule type="containsText" dxfId="1046" priority="10" operator="containsText" text="SIN FACTURA">
      <formula>NOT(ISERROR(SEARCH("SIN FACTURA",A9)))</formula>
    </cfRule>
  </conditionalFormatting>
  <conditionalFormatting sqref="A4:T5 J29:T29 J27:T27 J25:T25 J15:T23 J6:T13 I6:I29 A6:H13 A15:H23 A25:H25 A27:H27 A29:H29">
    <cfRule type="containsText" dxfId="1045" priority="9" operator="containsText" text="SIN FACTURA">
      <formula>NOT(ISERROR(SEARCH("SIN FACTURA",A4)))</formula>
    </cfRule>
  </conditionalFormatting>
  <conditionalFormatting sqref="C14:H14 J14:V14">
    <cfRule type="containsText" dxfId="1044" priority="8" operator="containsText" text="SIN FACTURA">
      <formula>NOT(ISERROR(SEARCH("SIN FACTURA",C14)))</formula>
    </cfRule>
  </conditionalFormatting>
  <conditionalFormatting sqref="C24:H24 J24:V24">
    <cfRule type="containsText" dxfId="1043" priority="7" operator="containsText" text="SIN FACTURA">
      <formula>NOT(ISERROR(SEARCH("SIN FACTURA",C24)))</formula>
    </cfRule>
  </conditionalFormatting>
  <conditionalFormatting sqref="C26:H26 J26:V26">
    <cfRule type="containsText" dxfId="1042" priority="6" operator="containsText" text="SIN FACTURA">
      <formula>NOT(ISERROR(SEARCH("SIN FACTURA",C26)))</formula>
    </cfRule>
  </conditionalFormatting>
  <conditionalFormatting sqref="C28:H28 J28:V28">
    <cfRule type="containsText" dxfId="1041" priority="5" operator="containsText" text="SIN FACTURA">
      <formula>NOT(ISERROR(SEARCH("SIN FACTURA",C28)))</formula>
    </cfRule>
  </conditionalFormatting>
  <conditionalFormatting sqref="A14:B14">
    <cfRule type="containsText" dxfId="1040" priority="4" operator="containsText" text="SIN FACTURA">
      <formula>NOT(ISERROR(SEARCH("SIN FACTURA",A14)))</formula>
    </cfRule>
  </conditionalFormatting>
  <conditionalFormatting sqref="A24:B24">
    <cfRule type="containsText" dxfId="1039" priority="3" operator="containsText" text="SIN FACTURA">
      <formula>NOT(ISERROR(SEARCH("SIN FACTURA",A24)))</formula>
    </cfRule>
  </conditionalFormatting>
  <conditionalFormatting sqref="A26:B26">
    <cfRule type="containsText" dxfId="1038" priority="2" operator="containsText" text="SIN FACTURA">
      <formula>NOT(ISERROR(SEARCH("SIN FACTURA",A26)))</formula>
    </cfRule>
  </conditionalFormatting>
  <conditionalFormatting sqref="A28:B28">
    <cfRule type="containsText" dxfId="1037" priority="1" operator="containsText" text="SIN FACTURA">
      <formula>NOT(ISERROR(SEARCH("SIN FACTURA",A28)))</formula>
    </cfRule>
  </conditionalFormatting>
  <pageMargins left="0.75" right="0.75" top="1" bottom="1" header="0.5" footer="0.5"/>
  <pageSetup paperSize="9" orientation="portrait" horizontalDpi="0" verticalDpi="0" r:id="rId1"/>
</worksheet>
</file>

<file path=xl/worksheets/sheet129.xml><?xml version="1.0" encoding="utf-8"?>
<worksheet xmlns="http://schemas.openxmlformats.org/spreadsheetml/2006/main" xmlns:r="http://schemas.openxmlformats.org/officeDocument/2006/relationships">
  <sheetPr codeName="Hoja150"/>
  <dimension ref="A1:Y43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160</v>
      </c>
      <c r="B1" s="18"/>
      <c r="C1" s="20"/>
      <c r="D1" s="5"/>
      <c r="E1" s="5">
        <v>454</v>
      </c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78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036" priority="26" operator="containsText" text="SIN FACTURA ">
      <formula>NOT(ISERROR(SEARCH("SIN FACTURA ",A2)))</formula>
    </cfRule>
  </conditionalFormatting>
  <conditionalFormatting sqref="J43:T43 J41:T41 J39:T39 J37:T37 J35:T35 J33:T33 J31:T31 J29:T29 J27:T27 J25:T25 J23:T23 J13:T21 A13:H21 A23:H23 A25:H25 A27:H27 A29:H29 A31:H31 A33:H33 A35:H35 A37:H37 A39:H39 A41:H41 A43:H43 A4:T4 J5:T11 I5:I43 A5:H11">
    <cfRule type="containsText" dxfId="1035" priority="25" operator="containsText" text="SIN FACTURA">
      <formula>NOT(ISERROR(SEARCH("SIN FACTURA",A4)))</formula>
    </cfRule>
  </conditionalFormatting>
  <conditionalFormatting sqref="C12:H12 J12:V12">
    <cfRule type="containsText" dxfId="1034" priority="24" operator="containsText" text="SIN FACTURA">
      <formula>NOT(ISERROR(SEARCH("SIN FACTURA",C12)))</formula>
    </cfRule>
  </conditionalFormatting>
  <conditionalFormatting sqref="C22:H22 J22:V22">
    <cfRule type="containsText" dxfId="1033" priority="23" operator="containsText" text="SIN FACTURA">
      <formula>NOT(ISERROR(SEARCH("SIN FACTURA",C22)))</formula>
    </cfRule>
  </conditionalFormatting>
  <conditionalFormatting sqref="C24:H24 J24:V24">
    <cfRule type="containsText" dxfId="1032" priority="22" operator="containsText" text="SIN FACTURA">
      <formula>NOT(ISERROR(SEARCH("SIN FACTURA",C24)))</formula>
    </cfRule>
  </conditionalFormatting>
  <conditionalFormatting sqref="C26:H26 J26:V26">
    <cfRule type="containsText" dxfId="1031" priority="21" operator="containsText" text="SIN FACTURA">
      <formula>NOT(ISERROR(SEARCH("SIN FACTURA",C26)))</formula>
    </cfRule>
  </conditionalFormatting>
  <conditionalFormatting sqref="C28:H28 J28:V28">
    <cfRule type="containsText" dxfId="1030" priority="20" operator="containsText" text="SIN FACTURA">
      <formula>NOT(ISERROR(SEARCH("SIN FACTURA",C28)))</formula>
    </cfRule>
  </conditionalFormatting>
  <conditionalFormatting sqref="C30:H30 J30:V30">
    <cfRule type="containsText" dxfId="1029" priority="19" operator="containsText" text="SIN FACTURA">
      <formula>NOT(ISERROR(SEARCH("SIN FACTURA",C30)))</formula>
    </cfRule>
  </conditionalFormatting>
  <conditionalFormatting sqref="C32:H32 J32:V32">
    <cfRule type="containsText" dxfId="1028" priority="18" operator="containsText" text="SIN FACTURA">
      <formula>NOT(ISERROR(SEARCH("SIN FACTURA",C32)))</formula>
    </cfRule>
  </conditionalFormatting>
  <conditionalFormatting sqref="C34:H34 J34:V34">
    <cfRule type="containsText" dxfId="1027" priority="17" operator="containsText" text="SIN FACTURA">
      <formula>NOT(ISERROR(SEARCH("SIN FACTURA",C34)))</formula>
    </cfRule>
  </conditionalFormatting>
  <conditionalFormatting sqref="C36:H36 J36:V36">
    <cfRule type="containsText" dxfId="1026" priority="16" operator="containsText" text="SIN FACTURA">
      <formula>NOT(ISERROR(SEARCH("SIN FACTURA",C36)))</formula>
    </cfRule>
  </conditionalFormatting>
  <conditionalFormatting sqref="C38:H38 J38:V38">
    <cfRule type="containsText" dxfId="1025" priority="15" operator="containsText" text="SIN FACTURA">
      <formula>NOT(ISERROR(SEARCH("SIN FACTURA",C38)))</formula>
    </cfRule>
  </conditionalFormatting>
  <conditionalFormatting sqref="C40:H40 J40:V40">
    <cfRule type="containsText" dxfId="1024" priority="14" operator="containsText" text="SIN FACTURA">
      <formula>NOT(ISERROR(SEARCH("SIN FACTURA",C40)))</formula>
    </cfRule>
  </conditionalFormatting>
  <conditionalFormatting sqref="C42:H42 J42:V42">
    <cfRule type="containsText" dxfId="1023" priority="13" operator="containsText" text="SIN FACTURA">
      <formula>NOT(ISERROR(SEARCH("SIN FACTURA",C42)))</formula>
    </cfRule>
  </conditionalFormatting>
  <conditionalFormatting sqref="A12:B12">
    <cfRule type="containsText" dxfId="1022" priority="12" operator="containsText" text="SIN FACTURA">
      <formula>NOT(ISERROR(SEARCH("SIN FACTURA",A12)))</formula>
    </cfRule>
  </conditionalFormatting>
  <conditionalFormatting sqref="A22:B22">
    <cfRule type="containsText" dxfId="1021" priority="11" operator="containsText" text="SIN FACTURA">
      <formula>NOT(ISERROR(SEARCH("SIN FACTURA",A22)))</formula>
    </cfRule>
  </conditionalFormatting>
  <conditionalFormatting sqref="A24:B24">
    <cfRule type="containsText" dxfId="1020" priority="10" operator="containsText" text="SIN FACTURA">
      <formula>NOT(ISERROR(SEARCH("SIN FACTURA",A24)))</formula>
    </cfRule>
  </conditionalFormatting>
  <conditionalFormatting sqref="A26:B26">
    <cfRule type="containsText" dxfId="1019" priority="9" operator="containsText" text="SIN FACTURA">
      <formula>NOT(ISERROR(SEARCH("SIN FACTURA",A26)))</formula>
    </cfRule>
  </conditionalFormatting>
  <conditionalFormatting sqref="A28:B28">
    <cfRule type="containsText" dxfId="1018" priority="8" operator="containsText" text="SIN FACTURA">
      <formula>NOT(ISERROR(SEARCH("SIN FACTURA",A28)))</formula>
    </cfRule>
  </conditionalFormatting>
  <conditionalFormatting sqref="A30:B30">
    <cfRule type="containsText" dxfId="1017" priority="7" operator="containsText" text="SIN FACTURA">
      <formula>NOT(ISERROR(SEARCH("SIN FACTURA",A30)))</formula>
    </cfRule>
  </conditionalFormatting>
  <conditionalFormatting sqref="A42:B42">
    <cfRule type="containsText" dxfId="1016" priority="1" operator="containsText" text="SIN FACTURA">
      <formula>NOT(ISERROR(SEARCH("SIN FACTURA",A42)))</formula>
    </cfRule>
  </conditionalFormatting>
  <conditionalFormatting sqref="A32:B32">
    <cfRule type="containsText" dxfId="1015" priority="6" operator="containsText" text="SIN FACTURA">
      <formula>NOT(ISERROR(SEARCH("SIN FACTURA",A32)))</formula>
    </cfRule>
  </conditionalFormatting>
  <conditionalFormatting sqref="A34:B34">
    <cfRule type="containsText" dxfId="1014" priority="5" operator="containsText" text="SIN FACTURA">
      <formula>NOT(ISERROR(SEARCH("SIN FACTURA",A34)))</formula>
    </cfRule>
  </conditionalFormatting>
  <conditionalFormatting sqref="A36:B36">
    <cfRule type="containsText" dxfId="1013" priority="4" operator="containsText" text="SIN FACTURA">
      <formula>NOT(ISERROR(SEARCH("SIN FACTURA",A36)))</formula>
    </cfRule>
  </conditionalFormatting>
  <conditionalFormatting sqref="A38:B38">
    <cfRule type="containsText" dxfId="1012" priority="3" operator="containsText" text="SIN FACTURA">
      <formula>NOT(ISERROR(SEARCH("SIN FACTURA",A38)))</formula>
    </cfRule>
  </conditionalFormatting>
  <conditionalFormatting sqref="A40:B40">
    <cfRule type="containsText" dxfId="1011" priority="2" operator="containsText" text="SIN FACTURA">
      <formula>NOT(ISERROR(SEARCH("SIN FACTURA",A40)))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130.xml><?xml version="1.0" encoding="utf-8"?>
<worksheet xmlns="http://schemas.openxmlformats.org/spreadsheetml/2006/main" xmlns:r="http://schemas.openxmlformats.org/officeDocument/2006/relationships">
  <sheetPr codeName="Hoja156"/>
  <dimension ref="A1:Y31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C13" sqref="C13"/>
    </sheetView>
  </sheetViews>
  <sheetFormatPr baseColWidth="10" defaultColWidth="10.875" defaultRowHeight="15.75"/>
  <cols>
    <col min="1" max="1" width="22.875" style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161</v>
      </c>
      <c r="B1" s="18"/>
      <c r="C1" s="20">
        <v>463</v>
      </c>
      <c r="D1" s="273" t="s">
        <v>288</v>
      </c>
      <c r="E1" s="273"/>
      <c r="F1" s="273"/>
      <c r="G1" s="273"/>
      <c r="H1" s="273"/>
      <c r="I1" s="273"/>
      <c r="J1" s="273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235" t="s">
        <v>289</v>
      </c>
      <c r="B5" s="260"/>
      <c r="C5" s="272"/>
      <c r="D5" s="235"/>
      <c r="E5" s="235"/>
      <c r="F5" s="235"/>
      <c r="G5" s="220"/>
      <c r="H5" s="220"/>
      <c r="I5" s="218"/>
      <c r="J5" s="218"/>
      <c r="K5" s="218"/>
      <c r="L5" s="219"/>
      <c r="M5" s="216"/>
      <c r="N5" s="220"/>
      <c r="O5" s="220"/>
      <c r="P5" s="229"/>
      <c r="Q5" s="216"/>
      <c r="R5" s="221"/>
      <c r="S5" s="221"/>
      <c r="T5" s="214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ref="I7:I31" si="0">F7-G7-H7</f>
        <v>0</v>
      </c>
      <c r="J7" s="44">
        <f t="shared" ref="J7:J31" si="1">S7+T7</f>
        <v>0</v>
      </c>
      <c r="K7" s="44">
        <f t="shared" ref="K7:K31" si="2">I7-J7</f>
        <v>0</v>
      </c>
      <c r="L7" s="45"/>
      <c r="M7" s="40"/>
      <c r="N7" s="43">
        <f t="shared" ref="N7:N31" si="3">I7-J7-M7-R7</f>
        <v>0</v>
      </c>
      <c r="O7" s="43">
        <f t="shared" ref="O7:O31" si="4">R7+S7+T7</f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50"/>
      <c r="B31" s="51"/>
      <c r="C31" s="52"/>
      <c r="D31" s="50"/>
      <c r="E31" s="50"/>
      <c r="F31" s="50"/>
      <c r="G31" s="43">
        <f>F31*6%</f>
        <v>0</v>
      </c>
      <c r="H31" s="53"/>
      <c r="I31" s="78">
        <f t="shared" si="0"/>
        <v>0</v>
      </c>
      <c r="J31" s="54">
        <f t="shared" si="1"/>
        <v>0</v>
      </c>
      <c r="K31" s="54">
        <f t="shared" si="2"/>
        <v>0</v>
      </c>
      <c r="L31" s="55"/>
      <c r="M31" s="50"/>
      <c r="N31" s="53">
        <f t="shared" si="3"/>
        <v>0</v>
      </c>
      <c r="O31" s="53">
        <f t="shared" si="4"/>
        <v>0</v>
      </c>
      <c r="P31" s="56"/>
      <c r="Q31" s="50"/>
      <c r="R31" s="50"/>
      <c r="S31" s="50"/>
      <c r="T31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010" priority="29" operator="containsText" text="SIN FACTURA ">
      <formula>NOT(ISERROR(SEARCH("SIN FACTURA ",A2)))</formula>
    </cfRule>
  </conditionalFormatting>
  <conditionalFormatting sqref="J31:T31 J29:T29 J27:T27 J25:T25 J23:T23 J21:T21 J19:T19 J17:T17 J15:T15 J13:T13 J11:T11 J10:V10 J12:V12 J14:V14 J16:V16 J18:V18 J20:V20 J22:V22 J24:V24 J26:V26 J28:V28 J30:V30 A4:T5 J5:T9 A5:I31">
    <cfRule type="containsText" dxfId="1009" priority="28" operator="containsText" text="SIN FACTURA">
      <formula>NOT(ISERROR(SEARCH("SIN FACTURA",A4)))</formula>
    </cfRule>
  </conditionalFormatting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>
  <sheetPr codeName="Hoja59"/>
  <dimension ref="A1:Y39"/>
  <sheetViews>
    <sheetView topLeftCell="B1" zoomScale="125" zoomScaleNormal="125" zoomScalePageLayoutView="125" workbookViewId="0">
      <pane ySplit="4" topLeftCell="A5" activePane="bottomLeft" state="frozen"/>
      <selection activeCell="C52" sqref="C52"/>
      <selection pane="bottomLeft" activeCell="B5" sqref="A5:XFD12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462</v>
      </c>
      <c r="B1" s="18" t="s">
        <v>52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9" si="0">F5-G5-H5</f>
        <v>0</v>
      </c>
      <c r="J5" s="44">
        <f>S5+T5</f>
        <v>0</v>
      </c>
      <c r="K5" s="44">
        <f>I5-J5</f>
        <v>0</v>
      </c>
      <c r="L5" s="45"/>
      <c r="M5" s="40"/>
      <c r="N5" s="43">
        <f t="shared" ref="N5:N39" si="1">I5-J5-M5-R5</f>
        <v>0</v>
      </c>
      <c r="O5" s="43">
        <f t="shared" ref="O5:O39" si="2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ref="J7:J39" si="3">S7+T7</f>
        <v>0</v>
      </c>
      <c r="K7" s="44">
        <f t="shared" ref="K7:K39" si="4">I7-J7</f>
        <v>0</v>
      </c>
      <c r="L7" s="45"/>
      <c r="M7" s="40"/>
      <c r="N7" s="43">
        <f t="shared" si="1"/>
        <v>0</v>
      </c>
      <c r="O7" s="43">
        <f t="shared" si="2"/>
        <v>0</v>
      </c>
      <c r="P7" s="46"/>
      <c r="Q7" s="40"/>
      <c r="R7" s="47"/>
      <c r="S7" s="47"/>
      <c r="T7" s="48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3"/>
        <v>0</v>
      </c>
      <c r="K9" s="44">
        <f t="shared" si="4"/>
        <v>0</v>
      </c>
      <c r="L9" s="45"/>
      <c r="M9" s="40"/>
      <c r="N9" s="43">
        <f t="shared" si="1"/>
        <v>0</v>
      </c>
      <c r="O9" s="43">
        <f t="shared" si="2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3"/>
        <v>0</v>
      </c>
      <c r="K11" s="44">
        <f t="shared" si="4"/>
        <v>0</v>
      </c>
      <c r="L11" s="45"/>
      <c r="M11" s="40"/>
      <c r="N11" s="43">
        <f t="shared" si="1"/>
        <v>0</v>
      </c>
      <c r="O11" s="43">
        <f t="shared" si="2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>S13+T13</f>
        <v>0</v>
      </c>
      <c r="K13" s="44">
        <f t="shared" si="4"/>
        <v>0</v>
      </c>
      <c r="L13" s="45"/>
      <c r="M13" s="40"/>
      <c r="N13" s="43">
        <f>I13-J13-M13-R13</f>
        <v>0</v>
      </c>
      <c r="O13" s="43">
        <f>R13+S13+T13</f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3"/>
        <v>0</v>
      </c>
      <c r="K15" s="44">
        <f t="shared" si="4"/>
        <v>0</v>
      </c>
      <c r="L15" s="45"/>
      <c r="M15" s="40"/>
      <c r="N15" s="43">
        <f t="shared" si="1"/>
        <v>0</v>
      </c>
      <c r="O15" s="43">
        <f t="shared" si="2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3"/>
        <v>0</v>
      </c>
      <c r="K17" s="44">
        <f t="shared" si="4"/>
        <v>0</v>
      </c>
      <c r="L17" s="45"/>
      <c r="M17" s="40"/>
      <c r="N17" s="43">
        <f t="shared" si="1"/>
        <v>0</v>
      </c>
      <c r="O17" s="43">
        <f t="shared" si="2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3"/>
        <v>0</v>
      </c>
      <c r="K19" s="44">
        <f t="shared" si="4"/>
        <v>0</v>
      </c>
      <c r="L19" s="45"/>
      <c r="M19" s="40"/>
      <c r="N19" s="43">
        <f t="shared" si="1"/>
        <v>0</v>
      </c>
      <c r="O19" s="43">
        <f t="shared" si="2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3"/>
        <v>0</v>
      </c>
      <c r="K21" s="44">
        <f t="shared" si="4"/>
        <v>0</v>
      </c>
      <c r="L21" s="45"/>
      <c r="M21" s="40"/>
      <c r="N21" s="43">
        <f t="shared" si="1"/>
        <v>0</v>
      </c>
      <c r="O21" s="43">
        <f t="shared" si="2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3"/>
        <v>0</v>
      </c>
      <c r="K23" s="44">
        <f t="shared" si="4"/>
        <v>0</v>
      </c>
      <c r="L23" s="45"/>
      <c r="M23" s="40"/>
      <c r="N23" s="43">
        <f t="shared" si="1"/>
        <v>0</v>
      </c>
      <c r="O23" s="43">
        <f t="shared" si="2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3"/>
        <v>0</v>
      </c>
      <c r="K25" s="44">
        <f t="shared" si="4"/>
        <v>0</v>
      </c>
      <c r="L25" s="45"/>
      <c r="M25" s="40"/>
      <c r="N25" s="43">
        <f t="shared" si="1"/>
        <v>0</v>
      </c>
      <c r="O25" s="43">
        <f t="shared" si="2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3"/>
        <v>0</v>
      </c>
      <c r="K27" s="44">
        <f t="shared" si="4"/>
        <v>0</v>
      </c>
      <c r="L27" s="45"/>
      <c r="M27" s="40"/>
      <c r="N27" s="43">
        <f t="shared" si="1"/>
        <v>0</v>
      </c>
      <c r="O27" s="43">
        <f t="shared" si="2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3"/>
        <v>0</v>
      </c>
      <c r="K29" s="44">
        <f t="shared" si="4"/>
        <v>0</v>
      </c>
      <c r="L29" s="45"/>
      <c r="M29" s="40"/>
      <c r="N29" s="43">
        <f t="shared" si="1"/>
        <v>0</v>
      </c>
      <c r="O29" s="43">
        <f t="shared" si="2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3"/>
        <v>0</v>
      </c>
      <c r="K31" s="44">
        <f t="shared" si="4"/>
        <v>0</v>
      </c>
      <c r="L31" s="45"/>
      <c r="M31" s="40"/>
      <c r="N31" s="43">
        <f t="shared" si="1"/>
        <v>0</v>
      </c>
      <c r="O31" s="43">
        <f t="shared" si="2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3"/>
        <v>0</v>
      </c>
      <c r="K33" s="44">
        <f t="shared" si="4"/>
        <v>0</v>
      </c>
      <c r="L33" s="45"/>
      <c r="M33" s="40"/>
      <c r="N33" s="43">
        <f t="shared" si="1"/>
        <v>0</v>
      </c>
      <c r="O33" s="43">
        <f t="shared" si="2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3"/>
        <v>0</v>
      </c>
      <c r="K35" s="44">
        <f t="shared" si="4"/>
        <v>0</v>
      </c>
      <c r="L35" s="45"/>
      <c r="M35" s="40"/>
      <c r="N35" s="43">
        <f t="shared" si="1"/>
        <v>0</v>
      </c>
      <c r="O35" s="43">
        <f t="shared" si="2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3"/>
        <v>0</v>
      </c>
      <c r="K37" s="44">
        <f t="shared" si="4"/>
        <v>0</v>
      </c>
      <c r="L37" s="45"/>
      <c r="M37" s="40"/>
      <c r="N37" s="43">
        <f t="shared" si="1"/>
        <v>0</v>
      </c>
      <c r="O37" s="43">
        <f t="shared" si="2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50"/>
      <c r="B39" s="51"/>
      <c r="C39" s="52"/>
      <c r="D39" s="50"/>
      <c r="E39" s="50"/>
      <c r="F39" s="50"/>
      <c r="G39" s="43">
        <f>F39*6%</f>
        <v>0</v>
      </c>
      <c r="H39" s="53"/>
      <c r="I39" s="44">
        <f t="shared" si="0"/>
        <v>0</v>
      </c>
      <c r="J39" s="54">
        <f t="shared" si="3"/>
        <v>0</v>
      </c>
      <c r="K39" s="54">
        <f t="shared" si="4"/>
        <v>0</v>
      </c>
      <c r="L39" s="55"/>
      <c r="M39" s="50"/>
      <c r="N39" s="53">
        <f t="shared" si="1"/>
        <v>0</v>
      </c>
      <c r="O39" s="53">
        <f t="shared" si="2"/>
        <v>0</v>
      </c>
      <c r="P39" s="56"/>
      <c r="Q39" s="50"/>
      <c r="R39" s="50"/>
      <c r="S39" s="50"/>
      <c r="T39" s="5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1008" priority="27" operator="containsText" text="SIN FACTURA ">
      <formula>NOT(ISERROR(SEARCH("SIN FACTURA ",A2)))</formula>
    </cfRule>
  </conditionalFormatting>
  <conditionalFormatting sqref="A38:B38 J5:T7 I5:I39 A4:T4 A5:H7">
    <cfRule type="containsText" dxfId="1007" priority="1" operator="containsText" text="SIN FACTURA">
      <formula>NOT(ISERROR(SEARCH("SIN FACTURA",A4)))</formula>
    </cfRule>
  </conditionalFormatting>
  <conditionalFormatting sqref="J39:T39 J37:T37 J35:T35 J33:T33 J31:T31 J29:T29 J27:T27 J25:T25 J23:T23 J21:T21 J19:T19 J9:T17 A9:H17 A19:H19 A21:H21 A23:H23 A25:H25 A27:H27 A29:H29 A31:H31 A33:H33 A35:H35 A37:H37 A39:H39">
    <cfRule type="containsText" dxfId="1006" priority="25" operator="containsText" text="SIN FACTURA">
      <formula>NOT(ISERROR(SEARCH("SIN FACTURA",A9)))</formula>
    </cfRule>
  </conditionalFormatting>
  <conditionalFormatting sqref="C8:H8 J8:V8">
    <cfRule type="containsText" dxfId="1005" priority="24" operator="containsText" text="SIN FACTURA">
      <formula>NOT(ISERROR(SEARCH("SIN FACTURA",C8)))</formula>
    </cfRule>
  </conditionalFormatting>
  <conditionalFormatting sqref="C18:H18 J18:V18">
    <cfRule type="containsText" dxfId="1004" priority="23" operator="containsText" text="SIN FACTURA">
      <formula>NOT(ISERROR(SEARCH("SIN FACTURA",C18)))</formula>
    </cfRule>
  </conditionalFormatting>
  <conditionalFormatting sqref="C20:H20 J20:V20">
    <cfRule type="containsText" dxfId="1003" priority="22" operator="containsText" text="SIN FACTURA">
      <formula>NOT(ISERROR(SEARCH("SIN FACTURA",C20)))</formula>
    </cfRule>
  </conditionalFormatting>
  <conditionalFormatting sqref="C22:H22 J22:V22">
    <cfRule type="containsText" dxfId="1002" priority="21" operator="containsText" text="SIN FACTURA">
      <formula>NOT(ISERROR(SEARCH("SIN FACTURA",C22)))</formula>
    </cfRule>
  </conditionalFormatting>
  <conditionalFormatting sqref="C24:H24 J24:V24">
    <cfRule type="containsText" dxfId="1001" priority="20" operator="containsText" text="SIN FACTURA">
      <formula>NOT(ISERROR(SEARCH("SIN FACTURA",C24)))</formula>
    </cfRule>
  </conditionalFormatting>
  <conditionalFormatting sqref="C26:H26 J26:V26">
    <cfRule type="containsText" dxfId="1000" priority="19" operator="containsText" text="SIN FACTURA">
      <formula>NOT(ISERROR(SEARCH("SIN FACTURA",C26)))</formula>
    </cfRule>
  </conditionalFormatting>
  <conditionalFormatting sqref="C28:H28 J28:V28">
    <cfRule type="containsText" dxfId="999" priority="18" operator="containsText" text="SIN FACTURA">
      <formula>NOT(ISERROR(SEARCH("SIN FACTURA",C28)))</formula>
    </cfRule>
  </conditionalFormatting>
  <conditionalFormatting sqref="C30:H30 J30:V30">
    <cfRule type="containsText" dxfId="998" priority="17" operator="containsText" text="SIN FACTURA">
      <formula>NOT(ISERROR(SEARCH("SIN FACTURA",C30)))</formula>
    </cfRule>
  </conditionalFormatting>
  <conditionalFormatting sqref="C32:H32 J32:V32">
    <cfRule type="containsText" dxfId="997" priority="16" operator="containsText" text="SIN FACTURA">
      <formula>NOT(ISERROR(SEARCH("SIN FACTURA",C32)))</formula>
    </cfRule>
  </conditionalFormatting>
  <conditionalFormatting sqref="C34:H34 J34:V34">
    <cfRule type="containsText" dxfId="996" priority="15" operator="containsText" text="SIN FACTURA">
      <formula>NOT(ISERROR(SEARCH("SIN FACTURA",C34)))</formula>
    </cfRule>
  </conditionalFormatting>
  <conditionalFormatting sqref="C36:H36 J36:V36">
    <cfRule type="containsText" dxfId="995" priority="14" operator="containsText" text="SIN FACTURA">
      <formula>NOT(ISERROR(SEARCH("SIN FACTURA",C36)))</formula>
    </cfRule>
  </conditionalFormatting>
  <conditionalFormatting sqref="C38:H38 J38:V38">
    <cfRule type="containsText" dxfId="994" priority="13" operator="containsText" text="SIN FACTURA">
      <formula>NOT(ISERROR(SEARCH("SIN FACTURA",C38)))</formula>
    </cfRule>
  </conditionalFormatting>
  <conditionalFormatting sqref="A8:B8">
    <cfRule type="containsText" dxfId="993" priority="12" operator="containsText" text="SIN FACTURA">
      <formula>NOT(ISERROR(SEARCH("SIN FACTURA",A8)))</formula>
    </cfRule>
  </conditionalFormatting>
  <conditionalFormatting sqref="A18:B18">
    <cfRule type="containsText" dxfId="992" priority="11" operator="containsText" text="SIN FACTURA">
      <formula>NOT(ISERROR(SEARCH("SIN FACTURA",A18)))</formula>
    </cfRule>
  </conditionalFormatting>
  <conditionalFormatting sqref="A20:B20">
    <cfRule type="containsText" dxfId="991" priority="10" operator="containsText" text="SIN FACTURA">
      <formula>NOT(ISERROR(SEARCH("SIN FACTURA",A20)))</formula>
    </cfRule>
  </conditionalFormatting>
  <conditionalFormatting sqref="A22:B22">
    <cfRule type="containsText" dxfId="990" priority="9" operator="containsText" text="SIN FACTURA">
      <formula>NOT(ISERROR(SEARCH("SIN FACTURA",A22)))</formula>
    </cfRule>
  </conditionalFormatting>
  <conditionalFormatting sqref="A24:B24">
    <cfRule type="containsText" dxfId="989" priority="8" operator="containsText" text="SIN FACTURA">
      <formula>NOT(ISERROR(SEARCH("SIN FACTURA",A24)))</formula>
    </cfRule>
  </conditionalFormatting>
  <conditionalFormatting sqref="A26:B26">
    <cfRule type="containsText" dxfId="988" priority="7" operator="containsText" text="SIN FACTURA">
      <formula>NOT(ISERROR(SEARCH("SIN FACTURA",A26)))</formula>
    </cfRule>
  </conditionalFormatting>
  <conditionalFormatting sqref="A28:B28">
    <cfRule type="containsText" dxfId="987" priority="6" operator="containsText" text="SIN FACTURA">
      <formula>NOT(ISERROR(SEARCH("SIN FACTURA",A28)))</formula>
    </cfRule>
  </conditionalFormatting>
  <conditionalFormatting sqref="A30:B30">
    <cfRule type="containsText" dxfId="986" priority="5" operator="containsText" text="SIN FACTURA">
      <formula>NOT(ISERROR(SEARCH("SIN FACTURA",A30)))</formula>
    </cfRule>
  </conditionalFormatting>
  <conditionalFormatting sqref="A32:B32">
    <cfRule type="containsText" dxfId="985" priority="4" operator="containsText" text="SIN FACTURA">
      <formula>NOT(ISERROR(SEARCH("SIN FACTURA",A32)))</formula>
    </cfRule>
  </conditionalFormatting>
  <conditionalFormatting sqref="A34:B34">
    <cfRule type="containsText" dxfId="984" priority="3" operator="containsText" text="SIN FACTURA">
      <formula>NOT(ISERROR(SEARCH("SIN FACTURA",A34)))</formula>
    </cfRule>
  </conditionalFormatting>
  <conditionalFormatting sqref="A36:B36">
    <cfRule type="containsText" dxfId="983" priority="2" operator="containsText" text="SIN FACTURA">
      <formula>NOT(ISERROR(SEARCH("SIN FACTURA",A36)))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132.xml><?xml version="1.0" encoding="utf-8"?>
<worksheet xmlns="http://schemas.openxmlformats.org/spreadsheetml/2006/main" xmlns:r="http://schemas.openxmlformats.org/officeDocument/2006/relationships">
  <sheetPr codeName="Hoja61"/>
  <dimension ref="A1:Y58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31" sqref="A31:XFD52"/>
    </sheetView>
  </sheetViews>
  <sheetFormatPr baseColWidth="10" defaultColWidth="10.875" defaultRowHeight="15.75"/>
  <cols>
    <col min="1" max="1" width="20.5" style="1" customWidth="1"/>
    <col min="2" max="2" width="10.875" style="2"/>
    <col min="4" max="4" width="9.625" style="9" customWidth="1"/>
    <col min="5" max="5" width="10" style="1" customWidth="1"/>
    <col min="6" max="6" width="9.375" style="9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42</v>
      </c>
      <c r="B1" s="18" t="s">
        <v>44</v>
      </c>
      <c r="C1" s="20"/>
      <c r="D1" s="5"/>
      <c r="E1" s="11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32"/>
      <c r="B5" s="33"/>
      <c r="C5" s="34"/>
      <c r="D5" s="32"/>
      <c r="E5" s="32"/>
      <c r="F5" s="32"/>
      <c r="G5" s="32"/>
      <c r="H5" s="32"/>
      <c r="I5" s="35"/>
      <c r="J5" s="35"/>
      <c r="K5" s="35"/>
      <c r="L5" s="36"/>
      <c r="M5" s="32"/>
      <c r="N5" s="37"/>
      <c r="O5" s="37"/>
      <c r="P5" s="38"/>
      <c r="Q5" s="32"/>
      <c r="R5" s="32"/>
      <c r="S5" s="32"/>
      <c r="T5" s="39"/>
    </row>
    <row r="6" spans="1:25" ht="15">
      <c r="A6" s="40"/>
      <c r="B6" s="41"/>
      <c r="C6" s="42"/>
      <c r="D6" s="40"/>
      <c r="E6" s="40"/>
      <c r="F6" s="40"/>
      <c r="G6" s="43">
        <f>F6*6%</f>
        <v>0</v>
      </c>
      <c r="H6" s="43"/>
      <c r="I6" s="44">
        <f>F6-G6-H6</f>
        <v>0</v>
      </c>
      <c r="J6" s="44">
        <f t="shared" ref="J6:J30" si="0">S6+T6</f>
        <v>0</v>
      </c>
      <c r="K6" s="44">
        <f t="shared" ref="K6:K30" si="1">I6-J6</f>
        <v>0</v>
      </c>
      <c r="L6" s="45"/>
      <c r="M6" s="40"/>
      <c r="N6" s="43">
        <f t="shared" ref="N6:N30" si="2">I6-J6-M6-R6</f>
        <v>0</v>
      </c>
      <c r="O6" s="43">
        <f t="shared" ref="O6:O30" si="3">R6+S6+T6</f>
        <v>0</v>
      </c>
      <c r="P6" s="46"/>
      <c r="Q6" s="40"/>
      <c r="R6" s="40"/>
      <c r="S6" s="40"/>
      <c r="T6" s="5"/>
    </row>
    <row r="7" spans="1:25" ht="15">
      <c r="A7" s="32"/>
      <c r="B7" s="33"/>
      <c r="C7" s="34"/>
      <c r="D7" s="32"/>
      <c r="E7" s="32"/>
      <c r="F7" s="32"/>
      <c r="G7" s="37"/>
      <c r="H7" s="37"/>
      <c r="I7" s="37"/>
      <c r="J7" s="35"/>
      <c r="K7" s="35"/>
      <c r="L7" s="36"/>
      <c r="M7" s="32"/>
      <c r="N7" s="37"/>
      <c r="O7" s="37"/>
      <c r="P7" s="38"/>
      <c r="Q7" s="32"/>
      <c r="R7" s="32"/>
      <c r="S7" s="32"/>
      <c r="T7" s="39"/>
    </row>
    <row r="8" spans="1:25" ht="15">
      <c r="A8" s="40"/>
      <c r="B8" s="41"/>
      <c r="C8" s="42"/>
      <c r="D8" s="40"/>
      <c r="E8" s="40"/>
      <c r="F8" s="40"/>
      <c r="G8" s="43">
        <f>F8*6%</f>
        <v>0</v>
      </c>
      <c r="H8" s="43"/>
      <c r="I8" s="44">
        <f t="shared" ref="I8:I30" si="4">F8-G8-H8</f>
        <v>0</v>
      </c>
      <c r="J8" s="44">
        <f t="shared" si="0"/>
        <v>0</v>
      </c>
      <c r="K8" s="44">
        <f t="shared" si="1"/>
        <v>0</v>
      </c>
      <c r="L8" s="45"/>
      <c r="M8" s="40"/>
      <c r="N8" s="43">
        <f t="shared" si="2"/>
        <v>0</v>
      </c>
      <c r="O8" s="43">
        <f t="shared" si="3"/>
        <v>0</v>
      </c>
      <c r="P8" s="46"/>
      <c r="Q8" s="40"/>
      <c r="R8" s="47"/>
      <c r="S8" s="47"/>
      <c r="T8" s="48"/>
    </row>
    <row r="9" spans="1:25" ht="15">
      <c r="A9" s="32"/>
      <c r="B9" s="33"/>
      <c r="C9" s="34"/>
      <c r="D9" s="32"/>
      <c r="E9" s="32"/>
      <c r="F9" s="32"/>
      <c r="G9" s="37"/>
      <c r="H9" s="37"/>
      <c r="I9" s="37"/>
      <c r="J9" s="35"/>
      <c r="K9" s="35"/>
      <c r="L9" s="36"/>
      <c r="M9" s="32"/>
      <c r="N9" s="37"/>
      <c r="O9" s="37"/>
      <c r="P9" s="38"/>
      <c r="Q9" s="32"/>
      <c r="R9" s="32"/>
      <c r="S9" s="32"/>
      <c r="T9" s="39"/>
    </row>
    <row r="10" spans="1:25" ht="15">
      <c r="A10" s="40"/>
      <c r="B10" s="41"/>
      <c r="C10" s="42"/>
      <c r="D10" s="40"/>
      <c r="E10" s="40"/>
      <c r="F10" s="40"/>
      <c r="G10" s="43">
        <f>F10*6%</f>
        <v>0</v>
      </c>
      <c r="H10" s="43"/>
      <c r="I10" s="44">
        <f t="shared" si="4"/>
        <v>0</v>
      </c>
      <c r="J10" s="44">
        <f t="shared" si="0"/>
        <v>0</v>
      </c>
      <c r="K10" s="44">
        <f t="shared" si="1"/>
        <v>0</v>
      </c>
      <c r="L10" s="45"/>
      <c r="M10" s="40"/>
      <c r="N10" s="43">
        <f t="shared" si="2"/>
        <v>0</v>
      </c>
      <c r="O10" s="43">
        <f t="shared" si="3"/>
        <v>0</v>
      </c>
      <c r="P10" s="46"/>
      <c r="Q10" s="40"/>
      <c r="R10" s="43"/>
      <c r="S10" s="43"/>
      <c r="T10" s="49"/>
    </row>
    <row r="11" spans="1:25" ht="15">
      <c r="A11" s="32"/>
      <c r="B11" s="33"/>
      <c r="C11" s="34"/>
      <c r="D11" s="32"/>
      <c r="E11" s="32"/>
      <c r="F11" s="32"/>
      <c r="G11" s="37"/>
      <c r="H11" s="37"/>
      <c r="I11" s="37"/>
      <c r="J11" s="35"/>
      <c r="K11" s="35"/>
      <c r="L11" s="36"/>
      <c r="M11" s="32"/>
      <c r="N11" s="37"/>
      <c r="O11" s="37"/>
      <c r="P11" s="38"/>
      <c r="Q11" s="32"/>
      <c r="R11" s="32"/>
      <c r="S11" s="32"/>
      <c r="T11" s="39"/>
    </row>
    <row r="12" spans="1:25" ht="15">
      <c r="A12" s="40"/>
      <c r="B12" s="41"/>
      <c r="C12" s="42"/>
      <c r="D12" s="40"/>
      <c r="E12" s="40"/>
      <c r="F12" s="40"/>
      <c r="G12" s="43">
        <f>F12*6%</f>
        <v>0</v>
      </c>
      <c r="H12" s="43"/>
      <c r="I12" s="44">
        <f t="shared" si="4"/>
        <v>0</v>
      </c>
      <c r="J12" s="44">
        <f>S12+T12</f>
        <v>0</v>
      </c>
      <c r="K12" s="44">
        <f>I12-J12</f>
        <v>0</v>
      </c>
      <c r="L12" s="45"/>
      <c r="M12" s="40"/>
      <c r="N12" s="43">
        <f t="shared" si="2"/>
        <v>0</v>
      </c>
      <c r="O12" s="43">
        <f t="shared" si="3"/>
        <v>0</v>
      </c>
      <c r="P12" s="46"/>
      <c r="Q12" s="40"/>
      <c r="R12" s="47"/>
      <c r="S12" s="47"/>
      <c r="T12" s="48"/>
    </row>
    <row r="13" spans="1:25" ht="15">
      <c r="A13" s="32"/>
      <c r="B13" s="33"/>
      <c r="C13" s="34"/>
      <c r="D13" s="32"/>
      <c r="E13" s="32"/>
      <c r="F13" s="32"/>
      <c r="G13" s="37"/>
      <c r="H13" s="37"/>
      <c r="I13" s="37"/>
      <c r="J13" s="35"/>
      <c r="K13" s="35"/>
      <c r="L13" s="36"/>
      <c r="M13" s="32"/>
      <c r="N13" s="37"/>
      <c r="O13" s="37"/>
      <c r="P13" s="38"/>
      <c r="Q13" s="32"/>
      <c r="R13" s="32"/>
      <c r="S13" s="32"/>
      <c r="T13" s="39"/>
    </row>
    <row r="14" spans="1:25" ht="15">
      <c r="A14" s="40"/>
      <c r="B14" s="41"/>
      <c r="C14" s="42"/>
      <c r="D14" s="40"/>
      <c r="E14" s="40"/>
      <c r="F14" s="40"/>
      <c r="G14" s="43">
        <f>F14*6%</f>
        <v>0</v>
      </c>
      <c r="H14" s="43"/>
      <c r="I14" s="44">
        <f t="shared" si="4"/>
        <v>0</v>
      </c>
      <c r="J14" s="44">
        <f t="shared" si="0"/>
        <v>0</v>
      </c>
      <c r="K14" s="44">
        <f t="shared" si="1"/>
        <v>0</v>
      </c>
      <c r="L14" s="45"/>
      <c r="M14" s="40"/>
      <c r="N14" s="43">
        <f t="shared" si="2"/>
        <v>0</v>
      </c>
      <c r="O14" s="43">
        <f t="shared" si="3"/>
        <v>0</v>
      </c>
      <c r="P14" s="46"/>
      <c r="Q14" s="40"/>
      <c r="R14" s="47"/>
      <c r="S14" s="47"/>
      <c r="T14" s="48"/>
    </row>
    <row r="15" spans="1:25" ht="15">
      <c r="A15" s="32"/>
      <c r="B15" s="33"/>
      <c r="C15" s="32"/>
      <c r="D15" s="33"/>
      <c r="E15" s="34"/>
      <c r="F15" s="32"/>
      <c r="G15" s="32"/>
      <c r="H15" s="32"/>
      <c r="I15" s="37"/>
      <c r="J15" s="37"/>
      <c r="K15" s="35"/>
      <c r="L15" s="35"/>
      <c r="M15" s="35"/>
      <c r="N15" s="36"/>
      <c r="O15" s="32"/>
      <c r="P15" s="37"/>
      <c r="Q15" s="37"/>
      <c r="R15" s="38"/>
      <c r="S15" s="32"/>
      <c r="T15" s="39"/>
    </row>
    <row r="16" spans="1:25" ht="15">
      <c r="A16" s="40"/>
      <c r="B16" s="41"/>
      <c r="C16" s="42"/>
      <c r="D16" s="40"/>
      <c r="E16" s="40"/>
      <c r="F16" s="40"/>
      <c r="G16" s="43">
        <f>F16*6%</f>
        <v>0</v>
      </c>
      <c r="H16" s="43"/>
      <c r="I16" s="44">
        <f t="shared" si="4"/>
        <v>0</v>
      </c>
      <c r="J16" s="44">
        <f t="shared" si="0"/>
        <v>0</v>
      </c>
      <c r="K16" s="44">
        <f t="shared" si="1"/>
        <v>0</v>
      </c>
      <c r="L16" s="45"/>
      <c r="M16" s="40"/>
      <c r="N16" s="43">
        <f t="shared" si="2"/>
        <v>0</v>
      </c>
      <c r="O16" s="43">
        <f t="shared" si="3"/>
        <v>0</v>
      </c>
      <c r="P16" s="46"/>
      <c r="Q16" s="40"/>
      <c r="R16" s="47"/>
      <c r="S16" s="47"/>
      <c r="T16" s="48"/>
    </row>
    <row r="17" spans="1:22" ht="15">
      <c r="A17" s="32"/>
      <c r="B17" s="33"/>
      <c r="C17" s="34"/>
      <c r="D17" s="32"/>
      <c r="E17" s="32"/>
      <c r="F17" s="32"/>
      <c r="G17" s="37"/>
      <c r="H17" s="37"/>
      <c r="I17" s="37"/>
      <c r="J17" s="35"/>
      <c r="K17" s="35"/>
      <c r="L17" s="36"/>
      <c r="M17" s="32"/>
      <c r="N17" s="37"/>
      <c r="O17" s="37"/>
      <c r="P17" s="38"/>
      <c r="Q17" s="32"/>
      <c r="R17" s="32"/>
      <c r="S17" s="32"/>
      <c r="T17" s="39"/>
    </row>
    <row r="18" spans="1:22" ht="15">
      <c r="A18" s="40"/>
      <c r="B18" s="41"/>
      <c r="C18" s="42"/>
      <c r="D18" s="40"/>
      <c r="E18" s="40"/>
      <c r="F18" s="40"/>
      <c r="G18" s="43">
        <f>F18*6%</f>
        <v>0</v>
      </c>
      <c r="H18" s="43"/>
      <c r="I18" s="44">
        <f t="shared" si="4"/>
        <v>0</v>
      </c>
      <c r="J18" s="44">
        <f t="shared" si="0"/>
        <v>0</v>
      </c>
      <c r="K18" s="44">
        <f t="shared" si="1"/>
        <v>0</v>
      </c>
      <c r="L18" s="45"/>
      <c r="M18" s="40"/>
      <c r="N18" s="43">
        <f t="shared" si="2"/>
        <v>0</v>
      </c>
      <c r="O18" s="43">
        <f t="shared" si="3"/>
        <v>0</v>
      </c>
      <c r="P18" s="46"/>
      <c r="Q18" s="40"/>
      <c r="R18" s="40"/>
      <c r="S18" s="40"/>
      <c r="T18" s="5"/>
    </row>
    <row r="19" spans="1:22" ht="15">
      <c r="A19" s="32"/>
      <c r="B19" s="33"/>
      <c r="C19" s="34"/>
      <c r="D19" s="32"/>
      <c r="E19" s="32"/>
      <c r="F19" s="32"/>
      <c r="G19" s="37"/>
      <c r="H19" s="37"/>
      <c r="I19" s="37"/>
      <c r="J19" s="35"/>
      <c r="K19" s="35"/>
      <c r="L19" s="36"/>
      <c r="M19" s="32"/>
      <c r="N19" s="37"/>
      <c r="O19" s="37"/>
      <c r="P19" s="38"/>
      <c r="Q19" s="32"/>
      <c r="R19" s="32"/>
      <c r="S19" s="32"/>
      <c r="T19" s="39"/>
    </row>
    <row r="20" spans="1:22" ht="15">
      <c r="A20" s="40"/>
      <c r="B20" s="41"/>
      <c r="C20" s="42"/>
      <c r="D20" s="40"/>
      <c r="E20" s="40"/>
      <c r="F20" s="40"/>
      <c r="G20" s="43">
        <f>F20*6%</f>
        <v>0</v>
      </c>
      <c r="H20" s="43"/>
      <c r="I20" s="44">
        <f t="shared" si="4"/>
        <v>0</v>
      </c>
      <c r="J20" s="44">
        <f>S20+T20</f>
        <v>0</v>
      </c>
      <c r="K20" s="44">
        <f t="shared" si="1"/>
        <v>0</v>
      </c>
      <c r="L20" s="45"/>
      <c r="M20" s="40"/>
      <c r="N20" s="43">
        <f>I20-J20-M20-R20</f>
        <v>0</v>
      </c>
      <c r="O20" s="43">
        <f>R20+S20+T20</f>
        <v>0</v>
      </c>
      <c r="P20" s="46"/>
      <c r="Q20" s="40"/>
      <c r="R20" s="47"/>
      <c r="S20" s="47"/>
      <c r="T20" s="48"/>
    </row>
    <row r="21" spans="1:22" ht="15">
      <c r="A21" s="32"/>
      <c r="B21" s="33"/>
      <c r="C21" s="34"/>
      <c r="D21" s="32"/>
      <c r="E21" s="32"/>
      <c r="F21" s="32"/>
      <c r="G21" s="37"/>
      <c r="H21" s="37"/>
      <c r="I21" s="37"/>
      <c r="J21" s="35"/>
      <c r="K21" s="35"/>
      <c r="L21" s="36"/>
      <c r="M21" s="32"/>
      <c r="N21" s="37"/>
      <c r="O21" s="37"/>
      <c r="P21" s="38"/>
      <c r="Q21" s="32"/>
      <c r="R21" s="32"/>
      <c r="S21" s="32"/>
      <c r="T21" s="39"/>
    </row>
    <row r="22" spans="1:22" ht="15">
      <c r="A22" s="40"/>
      <c r="B22" s="41"/>
      <c r="C22" s="42"/>
      <c r="D22" s="40"/>
      <c r="E22" s="40"/>
      <c r="F22" s="40"/>
      <c r="G22" s="43">
        <f>F22*6%</f>
        <v>0</v>
      </c>
      <c r="H22" s="43"/>
      <c r="I22" s="44">
        <f t="shared" si="4"/>
        <v>0</v>
      </c>
      <c r="J22" s="44">
        <f t="shared" si="0"/>
        <v>0</v>
      </c>
      <c r="K22" s="44">
        <f t="shared" si="1"/>
        <v>0</v>
      </c>
      <c r="L22" s="45"/>
      <c r="M22" s="40"/>
      <c r="N22" s="43">
        <f t="shared" si="2"/>
        <v>0</v>
      </c>
      <c r="O22" s="43">
        <f t="shared" si="3"/>
        <v>0</v>
      </c>
      <c r="P22" s="46"/>
      <c r="Q22" s="40"/>
      <c r="R22" s="47"/>
      <c r="S22" s="47"/>
      <c r="T22" s="48"/>
    </row>
    <row r="23" spans="1:22" ht="15">
      <c r="A23" s="32"/>
      <c r="B23" s="33"/>
      <c r="C23" s="34"/>
      <c r="D23" s="32"/>
      <c r="E23" s="32"/>
      <c r="F23" s="32"/>
      <c r="G23" s="37"/>
      <c r="H23" s="37"/>
      <c r="I23" s="37"/>
      <c r="J23" s="35"/>
      <c r="K23" s="35"/>
      <c r="L23" s="36"/>
      <c r="M23" s="32"/>
      <c r="N23" s="37"/>
      <c r="O23" s="37"/>
      <c r="P23" s="38"/>
      <c r="Q23" s="32"/>
      <c r="R23" s="32"/>
      <c r="S23" s="32"/>
      <c r="T23" s="39"/>
    </row>
    <row r="24" spans="1:22" ht="15">
      <c r="A24" s="40"/>
      <c r="B24" s="41"/>
      <c r="C24" s="42"/>
      <c r="D24" s="40"/>
      <c r="E24" s="40"/>
      <c r="F24" s="40"/>
      <c r="G24" s="43">
        <f>F24*6%</f>
        <v>0</v>
      </c>
      <c r="H24" s="43"/>
      <c r="I24" s="44">
        <f t="shared" si="4"/>
        <v>0</v>
      </c>
      <c r="J24" s="44">
        <f t="shared" si="0"/>
        <v>0</v>
      </c>
      <c r="K24" s="44">
        <f t="shared" si="1"/>
        <v>0</v>
      </c>
      <c r="L24" s="45"/>
      <c r="M24" s="40"/>
      <c r="N24" s="43">
        <f t="shared" si="2"/>
        <v>0</v>
      </c>
      <c r="O24" s="43">
        <f t="shared" si="3"/>
        <v>0</v>
      </c>
      <c r="P24" s="46"/>
      <c r="Q24" s="40"/>
      <c r="R24" s="40"/>
      <c r="S24" s="40"/>
      <c r="T24" s="5"/>
    </row>
    <row r="25" spans="1:22" ht="15">
      <c r="A25" s="32"/>
      <c r="B25" s="33"/>
      <c r="C25" s="32"/>
      <c r="D25" s="33"/>
      <c r="E25" s="34"/>
      <c r="F25" s="32"/>
      <c r="G25" s="32"/>
      <c r="H25" s="32"/>
      <c r="I25" s="37"/>
      <c r="J25" s="37"/>
      <c r="K25" s="35"/>
      <c r="L25" s="35"/>
      <c r="M25" s="35"/>
      <c r="N25" s="36"/>
      <c r="O25" s="32"/>
      <c r="P25" s="37"/>
      <c r="Q25" s="37"/>
      <c r="R25" s="38"/>
      <c r="S25" s="32"/>
      <c r="T25" s="39"/>
    </row>
    <row r="26" spans="1:22" ht="15">
      <c r="A26" s="40"/>
      <c r="B26" s="41"/>
      <c r="C26" s="42"/>
      <c r="D26" s="40"/>
      <c r="E26" s="40"/>
      <c r="F26" s="40"/>
      <c r="G26" s="43">
        <f>F26*6%</f>
        <v>0</v>
      </c>
      <c r="H26" s="43"/>
      <c r="I26" s="44">
        <f t="shared" si="4"/>
        <v>0</v>
      </c>
      <c r="J26" s="44">
        <f t="shared" si="0"/>
        <v>0</v>
      </c>
      <c r="K26" s="44">
        <f t="shared" si="1"/>
        <v>0</v>
      </c>
      <c r="L26" s="45"/>
      <c r="M26" s="40"/>
      <c r="N26" s="43">
        <f t="shared" si="2"/>
        <v>0</v>
      </c>
      <c r="O26" s="43">
        <f t="shared" si="3"/>
        <v>0</v>
      </c>
      <c r="P26" s="46"/>
      <c r="Q26" s="40"/>
      <c r="R26" s="40"/>
      <c r="S26" s="40"/>
      <c r="T26" s="5"/>
    </row>
    <row r="27" spans="1:22" ht="15">
      <c r="A27" s="32"/>
      <c r="B27" s="33"/>
      <c r="C27" s="32"/>
      <c r="D27" s="33"/>
      <c r="E27" s="34"/>
      <c r="F27" s="32"/>
      <c r="G27" s="32"/>
      <c r="H27" s="32"/>
      <c r="I27" s="37"/>
      <c r="J27" s="37"/>
      <c r="K27" s="35"/>
      <c r="L27" s="35"/>
      <c r="M27" s="35"/>
      <c r="N27" s="36"/>
      <c r="O27" s="32"/>
      <c r="P27" s="37"/>
      <c r="Q27" s="37"/>
      <c r="R27" s="38"/>
      <c r="S27" s="32"/>
      <c r="T27" s="39"/>
      <c r="U27" s="6"/>
      <c r="V27" s="6"/>
    </row>
    <row r="28" spans="1:22" ht="15">
      <c r="A28" s="40"/>
      <c r="B28" s="41"/>
      <c r="C28" s="42"/>
      <c r="D28" s="40"/>
      <c r="E28" s="40"/>
      <c r="F28" s="40"/>
      <c r="G28" s="43">
        <f>F28*6%</f>
        <v>0</v>
      </c>
      <c r="H28" s="43"/>
      <c r="I28" s="44">
        <f t="shared" si="4"/>
        <v>0</v>
      </c>
      <c r="J28" s="44">
        <f t="shared" si="0"/>
        <v>0</v>
      </c>
      <c r="K28" s="44">
        <f t="shared" si="1"/>
        <v>0</v>
      </c>
      <c r="L28" s="45"/>
      <c r="M28" s="40"/>
      <c r="N28" s="43">
        <f t="shared" si="2"/>
        <v>0</v>
      </c>
      <c r="O28" s="43">
        <f t="shared" si="3"/>
        <v>0</v>
      </c>
      <c r="P28" s="46"/>
      <c r="Q28" s="40"/>
      <c r="R28" s="40"/>
      <c r="S28" s="40"/>
      <c r="T28" s="5"/>
    </row>
    <row r="29" spans="1:22" ht="15">
      <c r="A29" s="32"/>
      <c r="B29" s="33"/>
      <c r="C29" s="32"/>
      <c r="D29" s="33"/>
      <c r="E29" s="34"/>
      <c r="F29" s="32"/>
      <c r="G29" s="32"/>
      <c r="H29" s="32"/>
      <c r="I29" s="37"/>
      <c r="J29" s="37"/>
      <c r="K29" s="35"/>
      <c r="L29" s="35"/>
      <c r="M29" s="35"/>
      <c r="N29" s="36"/>
      <c r="O29" s="32"/>
      <c r="P29" s="37"/>
      <c r="Q29" s="37"/>
      <c r="R29" s="38"/>
      <c r="S29" s="32"/>
      <c r="T29" s="39"/>
      <c r="U29" s="6"/>
      <c r="V29" s="6"/>
    </row>
    <row r="30" spans="1:22" ht="15">
      <c r="A30" s="40"/>
      <c r="B30" s="41"/>
      <c r="C30" s="42"/>
      <c r="D30" s="40"/>
      <c r="E30" s="40"/>
      <c r="F30" s="40"/>
      <c r="G30" s="43">
        <f>F30*6%</f>
        <v>0</v>
      </c>
      <c r="H30" s="43"/>
      <c r="I30" s="44">
        <f t="shared" si="4"/>
        <v>0</v>
      </c>
      <c r="J30" s="44">
        <f t="shared" si="0"/>
        <v>0</v>
      </c>
      <c r="K30" s="44">
        <f t="shared" si="1"/>
        <v>0</v>
      </c>
      <c r="L30" s="45"/>
      <c r="M30" s="40"/>
      <c r="N30" s="43">
        <f t="shared" si="2"/>
        <v>0</v>
      </c>
      <c r="O30" s="43">
        <f t="shared" si="3"/>
        <v>0</v>
      </c>
      <c r="P30" s="46"/>
      <c r="Q30" s="40"/>
      <c r="R30" s="40"/>
      <c r="S30" s="40"/>
      <c r="T30" s="5"/>
    </row>
    <row r="32" spans="1:22">
      <c r="G32" s="7"/>
      <c r="H32" s="7"/>
    </row>
    <row r="34" spans="4:4">
      <c r="D34" s="1"/>
    </row>
    <row r="35" spans="4:4">
      <c r="D35" s="1"/>
    </row>
    <row r="36" spans="4:4">
      <c r="D36" s="1"/>
    </row>
    <row r="37" spans="4:4">
      <c r="D37" s="1"/>
    </row>
    <row r="38" spans="4:4">
      <c r="D38" s="1"/>
    </row>
    <row r="39" spans="4:4">
      <c r="D39" s="1"/>
    </row>
    <row r="40" spans="4:4">
      <c r="D40" s="1"/>
    </row>
    <row r="41" spans="4:4">
      <c r="D41" s="1"/>
    </row>
    <row r="42" spans="4:4">
      <c r="D42" s="1"/>
    </row>
    <row r="43" spans="4:4">
      <c r="D43" s="1"/>
    </row>
    <row r="44" spans="4:4">
      <c r="D44" s="1"/>
    </row>
    <row r="45" spans="4:4">
      <c r="D45" s="1"/>
    </row>
    <row r="46" spans="4:4">
      <c r="D46" s="1"/>
    </row>
    <row r="47" spans="4:4">
      <c r="D47" s="1"/>
    </row>
    <row r="48" spans="4:4">
      <c r="D48" s="1"/>
    </row>
    <row r="49" spans="4:4">
      <c r="D49" s="1"/>
    </row>
    <row r="50" spans="4:4">
      <c r="D50" s="1"/>
    </row>
    <row r="51" spans="4:4">
      <c r="D51" s="1"/>
    </row>
    <row r="52" spans="4:4">
      <c r="D52" s="1"/>
    </row>
    <row r="53" spans="4:4">
      <c r="D53" s="1"/>
    </row>
    <row r="54" spans="4:4">
      <c r="D54" s="1"/>
    </row>
    <row r="55" spans="4:4">
      <c r="D55" s="1"/>
    </row>
    <row r="56" spans="4:4">
      <c r="D56" s="1"/>
    </row>
    <row r="57" spans="4:4">
      <c r="D57" s="1"/>
    </row>
    <row r="58" spans="4:4">
      <c r="D58" s="1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982" priority="40" operator="containsText" text="SIN FACTURA ">
      <formula>NOT(ISERROR(SEARCH("SIN FACTURA ",A2)))</formula>
    </cfRule>
  </conditionalFormatting>
  <conditionalFormatting sqref="I6:I30 A6:H13 A4:T6 J30:T30 J6:T26 J14:V15 J25:V25 J27:V29 A7:I30">
    <cfRule type="containsText" dxfId="981" priority="14" operator="containsText" text="SIN FACTURA">
      <formula>NOT(ISERROR(SEARCH("SIN FACTURA",A4)))</formula>
    </cfRule>
  </conditionalFormatting>
  <pageMargins left="0.75" right="0.75" top="1" bottom="1" header="0.5" footer="0.5"/>
  <pageSetup paperSize="9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>
  <sheetPr codeName="Hoja62"/>
  <dimension ref="A1:Y41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8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14</v>
      </c>
      <c r="B1" s="18" t="s">
        <v>42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>F5-G5-H5</f>
        <v>0</v>
      </c>
      <c r="J5" s="44">
        <f t="shared" ref="J5:J9" si="0">S5+T5</f>
        <v>0</v>
      </c>
      <c r="K5" s="44">
        <f t="shared" ref="K5:K41" si="1">I5-J5</f>
        <v>0</v>
      </c>
      <c r="L5" s="45"/>
      <c r="M5" s="40"/>
      <c r="N5" s="43">
        <f t="shared" ref="N5:N9" si="2">I5-J5-M5-R5</f>
        <v>0</v>
      </c>
      <c r="O5" s="43">
        <f t="shared" ref="O5:O41" si="3">R5+S5+T5</f>
        <v>0</v>
      </c>
      <c r="P5" s="46"/>
      <c r="Q5" s="40"/>
      <c r="R5" s="43"/>
      <c r="S5" s="43"/>
      <c r="T5" s="49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>F7-G7-H7</f>
        <v>0</v>
      </c>
      <c r="J7" s="44">
        <f>S7+T7</f>
        <v>0</v>
      </c>
      <c r="K7" s="44">
        <f>I7-J7</f>
        <v>0</v>
      </c>
      <c r="L7" s="45"/>
      <c r="M7" s="40"/>
      <c r="N7" s="43">
        <f t="shared" si="2"/>
        <v>0</v>
      </c>
      <c r="O7" s="43">
        <f t="shared" si="3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>F9-G9-H9</f>
        <v>0</v>
      </c>
      <c r="J9" s="44">
        <f t="shared" si="0"/>
        <v>0</v>
      </c>
      <c r="K9" s="44">
        <f t="shared" si="1"/>
        <v>0</v>
      </c>
      <c r="L9" s="45"/>
      <c r="M9" s="40"/>
      <c r="N9" s="43">
        <f t="shared" si="2"/>
        <v>0</v>
      </c>
      <c r="O9" s="43">
        <f t="shared" si="3"/>
        <v>0</v>
      </c>
      <c r="P9" s="46"/>
      <c r="Q9" s="40"/>
      <c r="R9" s="47"/>
      <c r="S9" s="47"/>
      <c r="T9" s="48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>F11-G11-H11</f>
        <v>0</v>
      </c>
      <c r="J11" s="44">
        <f>S11+T11</f>
        <v>0</v>
      </c>
      <c r="K11" s="44">
        <f t="shared" si="1"/>
        <v>0</v>
      </c>
      <c r="L11" s="45"/>
      <c r="M11" s="40"/>
      <c r="N11" s="43">
        <f>I11-J11-M11-R11</f>
        <v>0</v>
      </c>
      <c r="O11" s="43">
        <f t="shared" si="3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>F13-G13-H13</f>
        <v>0</v>
      </c>
      <c r="J13" s="44">
        <f>S13+T13</f>
        <v>0</v>
      </c>
      <c r="K13" s="44">
        <f t="shared" si="1"/>
        <v>0</v>
      </c>
      <c r="L13" s="45"/>
      <c r="M13" s="40"/>
      <c r="N13" s="43">
        <f>I13-J13-M13-R13</f>
        <v>0</v>
      </c>
      <c r="O13" s="43">
        <f t="shared" si="3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>F15-G15-H15</f>
        <v>0</v>
      </c>
      <c r="J15" s="44">
        <f>S15+T15</f>
        <v>0</v>
      </c>
      <c r="K15" s="44">
        <f t="shared" si="1"/>
        <v>0</v>
      </c>
      <c r="L15" s="45"/>
      <c r="M15" s="40"/>
      <c r="N15" s="43">
        <f>I15-J15-M15-R15</f>
        <v>0</v>
      </c>
      <c r="O15" s="43">
        <f>R15+S15+T15</f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>F17-G17-H17</f>
        <v>0</v>
      </c>
      <c r="J17" s="44">
        <f>S17+T17</f>
        <v>0</v>
      </c>
      <c r="K17" s="44">
        <f t="shared" si="1"/>
        <v>0</v>
      </c>
      <c r="L17" s="45"/>
      <c r="M17" s="40"/>
      <c r="N17" s="43">
        <f>I17-J17-M17-R17</f>
        <v>0</v>
      </c>
      <c r="O17" s="43">
        <f t="shared" si="3"/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>F19-G19-H19</f>
        <v>0</v>
      </c>
      <c r="J19" s="44">
        <f>S19+T19</f>
        <v>0</v>
      </c>
      <c r="K19" s="44">
        <f t="shared" si="1"/>
        <v>0</v>
      </c>
      <c r="L19" s="45"/>
      <c r="M19" s="40"/>
      <c r="N19" s="43">
        <f>I19-J19-M19-R19</f>
        <v>0</v>
      </c>
      <c r="O19" s="43">
        <f t="shared" si="3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>F21-G21-H21</f>
        <v>0</v>
      </c>
      <c r="J21" s="44">
        <f>S21+T21</f>
        <v>0</v>
      </c>
      <c r="K21" s="44">
        <f t="shared" si="1"/>
        <v>0</v>
      </c>
      <c r="L21" s="45"/>
      <c r="M21" s="40"/>
      <c r="N21" s="43">
        <f>I21-J21-M21-R21</f>
        <v>0</v>
      </c>
      <c r="O21" s="43">
        <f t="shared" si="3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>F23-G23-H23</f>
        <v>0</v>
      </c>
      <c r="J23" s="44">
        <f>S23+T23</f>
        <v>0</v>
      </c>
      <c r="K23" s="44">
        <f t="shared" si="1"/>
        <v>0</v>
      </c>
      <c r="L23" s="45"/>
      <c r="M23" s="40"/>
      <c r="N23" s="43">
        <f>I23-J23-M23-R23</f>
        <v>0</v>
      </c>
      <c r="O23" s="43">
        <f t="shared" si="3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>F25-G25-H25</f>
        <v>0</v>
      </c>
      <c r="J25" s="44">
        <f>S25+T25</f>
        <v>0</v>
      </c>
      <c r="K25" s="44">
        <f t="shared" si="1"/>
        <v>0</v>
      </c>
      <c r="L25" s="45"/>
      <c r="M25" s="40"/>
      <c r="N25" s="43">
        <f>I25-J25-M25-R25</f>
        <v>0</v>
      </c>
      <c r="O25" s="43">
        <f t="shared" si="3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>F27-G27-H27</f>
        <v>0</v>
      </c>
      <c r="J27" s="44">
        <f>S27+T27</f>
        <v>0</v>
      </c>
      <c r="K27" s="44">
        <f t="shared" si="1"/>
        <v>0</v>
      </c>
      <c r="L27" s="45"/>
      <c r="M27" s="40"/>
      <c r="N27" s="43">
        <f>I27-J27-M27-R27</f>
        <v>0</v>
      </c>
      <c r="O27" s="43">
        <f t="shared" si="3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>F29-G29-H29</f>
        <v>0</v>
      </c>
      <c r="J29" s="44">
        <f>S29+T29</f>
        <v>0</v>
      </c>
      <c r="K29" s="44">
        <f t="shared" si="1"/>
        <v>0</v>
      </c>
      <c r="L29" s="45"/>
      <c r="M29" s="40"/>
      <c r="N29" s="43">
        <f>I29-J29-M29-R29</f>
        <v>0</v>
      </c>
      <c r="O29" s="43">
        <f t="shared" si="3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>F31-G31-H31</f>
        <v>0</v>
      </c>
      <c r="J31" s="44">
        <f>S31+T31</f>
        <v>0</v>
      </c>
      <c r="K31" s="44">
        <f t="shared" si="1"/>
        <v>0</v>
      </c>
      <c r="L31" s="45"/>
      <c r="M31" s="40"/>
      <c r="N31" s="43">
        <f>I31-J31-M31-R31</f>
        <v>0</v>
      </c>
      <c r="O31" s="43">
        <f t="shared" si="3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>F33-G33-H33</f>
        <v>0</v>
      </c>
      <c r="J33" s="44">
        <f>S33+T33</f>
        <v>0</v>
      </c>
      <c r="K33" s="44">
        <f t="shared" si="1"/>
        <v>0</v>
      </c>
      <c r="L33" s="45"/>
      <c r="M33" s="40"/>
      <c r="N33" s="43">
        <f>I33-J33-M33-R33</f>
        <v>0</v>
      </c>
      <c r="O33" s="43">
        <f t="shared" si="3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>F35-G35-H35</f>
        <v>0</v>
      </c>
      <c r="J35" s="44">
        <f>S35+T35</f>
        <v>0</v>
      </c>
      <c r="K35" s="44">
        <f t="shared" si="1"/>
        <v>0</v>
      </c>
      <c r="L35" s="45"/>
      <c r="M35" s="40"/>
      <c r="N35" s="43">
        <f>I35-J35-M35-R35</f>
        <v>0</v>
      </c>
      <c r="O35" s="43">
        <f t="shared" si="3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>F37-G37-H37</f>
        <v>0</v>
      </c>
      <c r="J37" s="44">
        <f>S37+T37</f>
        <v>0</v>
      </c>
      <c r="K37" s="44">
        <f t="shared" si="1"/>
        <v>0</v>
      </c>
      <c r="L37" s="45"/>
      <c r="M37" s="40"/>
      <c r="N37" s="43">
        <f>I37-J37-M37-R37</f>
        <v>0</v>
      </c>
      <c r="O37" s="43">
        <f t="shared" si="3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>F39-G39-H39</f>
        <v>0</v>
      </c>
      <c r="J39" s="44">
        <f>S39+T39</f>
        <v>0</v>
      </c>
      <c r="K39" s="44">
        <f t="shared" si="1"/>
        <v>0</v>
      </c>
      <c r="L39" s="45"/>
      <c r="M39" s="40"/>
      <c r="N39" s="43">
        <f>I39-J39-M39-R39</f>
        <v>0</v>
      </c>
      <c r="O39" s="43">
        <f t="shared" si="3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50"/>
      <c r="B41" s="51"/>
      <c r="C41" s="52"/>
      <c r="D41" s="50"/>
      <c r="E41" s="50"/>
      <c r="F41" s="50"/>
      <c r="G41" s="43">
        <f>F41*6%</f>
        <v>0</v>
      </c>
      <c r="H41" s="53"/>
      <c r="I41" s="44">
        <f>F41-G41-H41</f>
        <v>0</v>
      </c>
      <c r="J41" s="54">
        <f>S41+T41</f>
        <v>0</v>
      </c>
      <c r="K41" s="54">
        <f t="shared" si="1"/>
        <v>0</v>
      </c>
      <c r="L41" s="55"/>
      <c r="M41" s="50"/>
      <c r="N41" s="53">
        <f>I41-J41-M41-R41</f>
        <v>0</v>
      </c>
      <c r="O41" s="53">
        <f t="shared" si="3"/>
        <v>0</v>
      </c>
      <c r="P41" s="56"/>
      <c r="Q41" s="50"/>
      <c r="R41" s="50"/>
      <c r="S41" s="50"/>
      <c r="T41" s="5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980" priority="30" operator="containsText" text="SIN FACTURA ">
      <formula>NOT(ISERROR(SEARCH("SIN FACTURA ",A2)))</formula>
    </cfRule>
  </conditionalFormatting>
  <conditionalFormatting sqref="A40:B40 I10:I41 A4:T9">
    <cfRule type="containsText" dxfId="979" priority="4" operator="containsText" text="SIN FACTURA">
      <formula>NOT(ISERROR(SEARCH("SIN FACTURA",A4)))</formula>
    </cfRule>
  </conditionalFormatting>
  <conditionalFormatting sqref="J41:T41 J39:T39 J37:T37 J35:T35 J33:T33 J31:T31 J29:T29 J27:T27 J25:T25 J23:T23 J21:T21 J11:T19 A23:H23 A25:H25 A27:H27 A29:H29 A31:H31 A33:H33 A35:H35 A37:H37 A39:H39 A41:H41 A11:H19 A21:H21">
    <cfRule type="containsText" dxfId="978" priority="28" operator="containsText" text="SIN FACTURA">
      <formula>NOT(ISERROR(SEARCH("SIN FACTURA",A11)))</formula>
    </cfRule>
  </conditionalFormatting>
  <conditionalFormatting sqref="C10:H10 J10:V10">
    <cfRule type="containsText" dxfId="977" priority="27" operator="containsText" text="SIN FACTURA">
      <formula>NOT(ISERROR(SEARCH("SIN FACTURA",C10)))</formula>
    </cfRule>
  </conditionalFormatting>
  <conditionalFormatting sqref="C20:H20 J20:V20">
    <cfRule type="containsText" dxfId="976" priority="26" operator="containsText" text="SIN FACTURA">
      <formula>NOT(ISERROR(SEARCH("SIN FACTURA",C20)))</formula>
    </cfRule>
  </conditionalFormatting>
  <conditionalFormatting sqref="C22:H22 J22:V22">
    <cfRule type="containsText" dxfId="975" priority="25" operator="containsText" text="SIN FACTURA">
      <formula>NOT(ISERROR(SEARCH("SIN FACTURA",C22)))</formula>
    </cfRule>
  </conditionalFormatting>
  <conditionalFormatting sqref="C24:H24 J24:V24">
    <cfRule type="containsText" dxfId="974" priority="24" operator="containsText" text="SIN FACTURA">
      <formula>NOT(ISERROR(SEARCH("SIN FACTURA",C24)))</formula>
    </cfRule>
  </conditionalFormatting>
  <conditionalFormatting sqref="C26:H26 J26:V26">
    <cfRule type="containsText" dxfId="973" priority="23" operator="containsText" text="SIN FACTURA">
      <formula>NOT(ISERROR(SEARCH("SIN FACTURA",C26)))</formula>
    </cfRule>
  </conditionalFormatting>
  <conditionalFormatting sqref="C28:H28 J28:V28">
    <cfRule type="containsText" dxfId="972" priority="22" operator="containsText" text="SIN FACTURA">
      <formula>NOT(ISERROR(SEARCH("SIN FACTURA",C28)))</formula>
    </cfRule>
  </conditionalFormatting>
  <conditionalFormatting sqref="C30:H30 J30:V30">
    <cfRule type="containsText" dxfId="971" priority="21" operator="containsText" text="SIN FACTURA">
      <formula>NOT(ISERROR(SEARCH("SIN FACTURA",C30)))</formula>
    </cfRule>
  </conditionalFormatting>
  <conditionalFormatting sqref="C32:H32 J32:V32">
    <cfRule type="containsText" dxfId="970" priority="20" operator="containsText" text="SIN FACTURA">
      <formula>NOT(ISERROR(SEARCH("SIN FACTURA",C32)))</formula>
    </cfRule>
  </conditionalFormatting>
  <conditionalFormatting sqref="C34:H34 J34:V34">
    <cfRule type="containsText" dxfId="969" priority="19" operator="containsText" text="SIN FACTURA">
      <formula>NOT(ISERROR(SEARCH("SIN FACTURA",C34)))</formula>
    </cfRule>
  </conditionalFormatting>
  <conditionalFormatting sqref="C36:H36 J36:V36">
    <cfRule type="containsText" dxfId="968" priority="18" operator="containsText" text="SIN FACTURA">
      <formula>NOT(ISERROR(SEARCH("SIN FACTURA",C36)))</formula>
    </cfRule>
  </conditionalFormatting>
  <conditionalFormatting sqref="C38:H38 J38:V38">
    <cfRule type="containsText" dxfId="967" priority="17" operator="containsText" text="SIN FACTURA">
      <formula>NOT(ISERROR(SEARCH("SIN FACTURA",C38)))</formula>
    </cfRule>
  </conditionalFormatting>
  <conditionalFormatting sqref="C40:H40 J40:V40">
    <cfRule type="containsText" dxfId="966" priority="16" operator="containsText" text="SIN FACTURA">
      <formula>NOT(ISERROR(SEARCH("SIN FACTURA",C40)))</formula>
    </cfRule>
  </conditionalFormatting>
  <conditionalFormatting sqref="A10:B10">
    <cfRule type="containsText" dxfId="965" priority="15" operator="containsText" text="SIN FACTURA">
      <formula>NOT(ISERROR(SEARCH("SIN FACTURA",A10)))</formula>
    </cfRule>
  </conditionalFormatting>
  <conditionalFormatting sqref="A20:B20">
    <cfRule type="containsText" dxfId="964" priority="14" operator="containsText" text="SIN FACTURA">
      <formula>NOT(ISERROR(SEARCH("SIN FACTURA",A20)))</formula>
    </cfRule>
  </conditionalFormatting>
  <conditionalFormatting sqref="A22:B22">
    <cfRule type="containsText" dxfId="963" priority="13" operator="containsText" text="SIN FACTURA">
      <formula>NOT(ISERROR(SEARCH("SIN FACTURA",A22)))</formula>
    </cfRule>
  </conditionalFormatting>
  <conditionalFormatting sqref="A24:B24">
    <cfRule type="containsText" dxfId="962" priority="12" operator="containsText" text="SIN FACTURA">
      <formula>NOT(ISERROR(SEARCH("SIN FACTURA",A24)))</formula>
    </cfRule>
  </conditionalFormatting>
  <conditionalFormatting sqref="A26:B26">
    <cfRule type="containsText" dxfId="961" priority="11" operator="containsText" text="SIN FACTURA">
      <formula>NOT(ISERROR(SEARCH("SIN FACTURA",A26)))</formula>
    </cfRule>
  </conditionalFormatting>
  <conditionalFormatting sqref="A28:B28">
    <cfRule type="containsText" dxfId="960" priority="10" operator="containsText" text="SIN FACTURA">
      <formula>NOT(ISERROR(SEARCH("SIN FACTURA",A28)))</formula>
    </cfRule>
  </conditionalFormatting>
  <conditionalFormatting sqref="A30:B30">
    <cfRule type="containsText" dxfId="959" priority="9" operator="containsText" text="SIN FACTURA">
      <formula>NOT(ISERROR(SEARCH("SIN FACTURA",A30)))</formula>
    </cfRule>
  </conditionalFormatting>
  <conditionalFormatting sqref="A32:B32">
    <cfRule type="containsText" dxfId="958" priority="8" operator="containsText" text="SIN FACTURA">
      <formula>NOT(ISERROR(SEARCH("SIN FACTURA",A32)))</formula>
    </cfRule>
  </conditionalFormatting>
  <conditionalFormatting sqref="A34:B34">
    <cfRule type="containsText" dxfId="957" priority="7" operator="containsText" text="SIN FACTURA">
      <formula>NOT(ISERROR(SEARCH("SIN FACTURA",A34)))</formula>
    </cfRule>
  </conditionalFormatting>
  <conditionalFormatting sqref="A36:B36">
    <cfRule type="containsText" dxfId="956" priority="6" operator="containsText" text="SIN FACTURA">
      <formula>NOT(ISERROR(SEARCH("SIN FACTURA",A36)))</formula>
    </cfRule>
  </conditionalFormatting>
  <conditionalFormatting sqref="A38:B38">
    <cfRule type="containsText" dxfId="955" priority="5" operator="containsText" text="SIN FACTURA">
      <formula>NOT(ISERROR(SEARCH("SIN FACTURA",A38)))</formula>
    </cfRule>
  </conditionalFormatting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Y35"/>
  <sheetViews>
    <sheetView zoomScale="125" zoomScaleNormal="125" zoomScalePageLayoutView="125" workbookViewId="0">
      <pane ySplit="3" topLeftCell="A4" activePane="bottomLeft" state="frozen"/>
      <selection activeCell="D26" sqref="D26"/>
      <selection pane="bottomLeft" activeCell="A10" sqref="A4:XFD10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/>
      <c r="B1" s="18">
        <v>495</v>
      </c>
      <c r="C1" s="20" t="s">
        <v>255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2"/>
      <c r="D4" s="33"/>
      <c r="E4" s="34"/>
      <c r="F4" s="32"/>
      <c r="G4" s="32"/>
      <c r="H4" s="32"/>
      <c r="I4" s="37"/>
      <c r="J4" s="37"/>
      <c r="K4" s="35"/>
      <c r="L4" s="35"/>
      <c r="M4" s="35"/>
      <c r="N4" s="36"/>
      <c r="O4" s="32"/>
      <c r="P4" s="37"/>
      <c r="Q4" s="37"/>
      <c r="R4" s="38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5" si="0">F5-G5-H5</f>
        <v>0</v>
      </c>
      <c r="J5" s="44">
        <f t="shared" ref="J5:J35" si="1">S5+T5</f>
        <v>0</v>
      </c>
      <c r="K5" s="44">
        <f t="shared" ref="K5:K35" si="2">I5-J5</f>
        <v>0</v>
      </c>
      <c r="L5" s="45"/>
      <c r="M5" s="40"/>
      <c r="N5" s="43">
        <f t="shared" ref="N5:N35" si="3">I5-J5-M5-R5</f>
        <v>0</v>
      </c>
      <c r="O5" s="43">
        <f t="shared" ref="O5:O35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 t="shared" si="2"/>
        <v>0</v>
      </c>
      <c r="L9" s="45"/>
      <c r="M9" s="40"/>
      <c r="N9" s="43">
        <f>I9-J9-M9-R9</f>
        <v>0</v>
      </c>
      <c r="O9" s="43">
        <f>R9+S9+T9</f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50"/>
      <c r="B35" s="51"/>
      <c r="C35" s="52"/>
      <c r="D35" s="50"/>
      <c r="E35" s="50"/>
      <c r="F35" s="50"/>
      <c r="G35" s="43">
        <f>F35*6%</f>
        <v>0</v>
      </c>
      <c r="H35" s="53"/>
      <c r="I35" s="78">
        <f t="shared" si="0"/>
        <v>0</v>
      </c>
      <c r="J35" s="54">
        <f t="shared" si="1"/>
        <v>0</v>
      </c>
      <c r="K35" s="54">
        <f t="shared" si="2"/>
        <v>0</v>
      </c>
      <c r="L35" s="55"/>
      <c r="M35" s="50"/>
      <c r="N35" s="53">
        <f t="shared" si="3"/>
        <v>0</v>
      </c>
      <c r="O35" s="53">
        <f t="shared" si="4"/>
        <v>0</v>
      </c>
      <c r="P35" s="56"/>
      <c r="Q35" s="50"/>
      <c r="R35" s="50"/>
      <c r="S35" s="50"/>
      <c r="T35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954" priority="38" operator="containsText" text="SIN FACTURA ">
      <formula>NOT(ISERROR(SEARCH("SIN FACTURA ",A2)))</formula>
    </cfRule>
  </conditionalFormatting>
  <conditionalFormatting sqref="J33:T33 J31:T31 J29:T29 J27:T27 J25:T25 J23:T23 J21:T21 J19:T19 J17:T17 J15:T15 J13:T13 J12:V12 J14:V14 J16:V16 J18:V18 J20:V20 J22:V22 J24:V24 J26:V26 J28:V28 J30:V30 J32:V32 J4:T11 A4:I33">
    <cfRule type="containsText" dxfId="953" priority="37" operator="containsText" text="SIN FACTURA">
      <formula>NOT(ISERROR(SEARCH("SIN FACTURA",A4)))</formula>
    </cfRule>
  </conditionalFormatting>
  <pageMargins left="0.75" right="0.75" top="1" bottom="1" header="0.5" footer="0.5"/>
  <pageSetup paperSize="9" orientation="portrait" horizontalDpi="0" verticalDpi="0" r:id="rId1"/>
</worksheet>
</file>

<file path=xl/worksheets/sheet135.xml><?xml version="1.0" encoding="utf-8"?>
<worksheet xmlns="http://schemas.openxmlformats.org/spreadsheetml/2006/main" xmlns:r="http://schemas.openxmlformats.org/officeDocument/2006/relationships">
  <sheetPr codeName="Hoja170"/>
  <dimension ref="A1:Y43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182</v>
      </c>
      <c r="B1" s="18"/>
      <c r="C1" s="20">
        <v>474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78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952" priority="27" operator="containsText" text="SIN FACTURA ">
      <formula>NOT(ISERROR(SEARCH("SIN FACTURA ",A2)))</formula>
    </cfRule>
  </conditionalFormatting>
  <conditionalFormatting sqref="J43:T43 J41:T41 J39:T39 J37:T37 J35:T35 J33:T33 J31:T31 J29:T29 J27:T27 J25:T25 J23:T23 J13:T21 J12:V12 J22:V22 J24:V24 J26:V26 J28:V28 J30:V30 J32:V32 J34:V34 J36:V36 J38:V38 J40:V40 J42:V42 J5:T11 A4:T4 A5:I43">
    <cfRule type="containsText" dxfId="951" priority="26" operator="containsText" text="SIN FACTURA">
      <formula>NOT(ISERROR(SEARCH("SIN FACTURA",A4)))</formula>
    </cfRule>
  </conditionalFormatting>
  <pageMargins left="0.75" right="0.75" top="1" bottom="1" header="0.5" footer="0.5"/>
  <pageSetup paperSize="9" orientation="portrait" horizontalDpi="0" verticalDpi="0" r:id="rId1"/>
</worksheet>
</file>

<file path=xl/worksheets/sheet136.xml><?xml version="1.0" encoding="utf-8"?>
<worksheet xmlns="http://schemas.openxmlformats.org/spreadsheetml/2006/main" xmlns:r="http://schemas.openxmlformats.org/officeDocument/2006/relationships">
  <sheetPr codeName="Hoja172"/>
  <dimension ref="A1:Y38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31" sqref="A31:XFD51"/>
    </sheetView>
  </sheetViews>
  <sheetFormatPr baseColWidth="10" defaultColWidth="10.875" defaultRowHeight="15.75"/>
  <cols>
    <col min="1" max="1" width="22.125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20">
        <v>437</v>
      </c>
      <c r="B1" s="4" t="s">
        <v>155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32"/>
      <c r="B5" s="33"/>
      <c r="C5" s="34"/>
      <c r="D5" s="32"/>
      <c r="E5" s="32"/>
      <c r="F5" s="32"/>
      <c r="G5" s="32"/>
      <c r="H5" s="32"/>
      <c r="I5" s="35"/>
      <c r="J5" s="35"/>
      <c r="K5" s="35"/>
      <c r="L5" s="36"/>
      <c r="M5" s="32"/>
      <c r="N5" s="37"/>
      <c r="O5" s="37"/>
      <c r="P5" s="38"/>
      <c r="Q5" s="32"/>
      <c r="R5" s="32"/>
      <c r="S5" s="32"/>
      <c r="T5" s="39"/>
    </row>
    <row r="6" spans="1:25" ht="15">
      <c r="A6" s="40"/>
      <c r="B6" s="41"/>
      <c r="C6" s="42"/>
      <c r="D6" s="40"/>
      <c r="E6" s="40"/>
      <c r="F6" s="40"/>
      <c r="G6" s="43">
        <f>F6*6%</f>
        <v>0</v>
      </c>
      <c r="H6" s="43"/>
      <c r="I6" s="44">
        <f>F6-G6-H6</f>
        <v>0</v>
      </c>
      <c r="J6" s="44">
        <f t="shared" ref="J6:J30" si="0">S6+T6</f>
        <v>0</v>
      </c>
      <c r="K6" s="44">
        <f t="shared" ref="K6:K30" si="1">I6-J6</f>
        <v>0</v>
      </c>
      <c r="L6" s="45"/>
      <c r="M6" s="40"/>
      <c r="N6" s="43">
        <f t="shared" ref="N6:N30" si="2">I6-J6-M6-R6</f>
        <v>0</v>
      </c>
      <c r="O6" s="43">
        <f t="shared" ref="O6:O30" si="3">R6+S6+T6</f>
        <v>0</v>
      </c>
      <c r="P6" s="46"/>
      <c r="Q6" s="40"/>
      <c r="R6" s="40"/>
      <c r="S6" s="40"/>
      <c r="T6" s="5"/>
    </row>
    <row r="7" spans="1:25" ht="15">
      <c r="A7" s="32"/>
      <c r="B7" s="33"/>
      <c r="C7" s="34"/>
      <c r="D7" s="32"/>
      <c r="E7" s="32"/>
      <c r="F7" s="32"/>
      <c r="G7" s="37"/>
      <c r="H7" s="37"/>
      <c r="I7" s="37"/>
      <c r="J7" s="35"/>
      <c r="K7" s="35"/>
      <c r="L7" s="36"/>
      <c r="M7" s="32"/>
      <c r="N7" s="37"/>
      <c r="O7" s="37"/>
      <c r="P7" s="38"/>
      <c r="Q7" s="32"/>
      <c r="R7" s="32"/>
      <c r="S7" s="32"/>
      <c r="T7" s="39"/>
    </row>
    <row r="8" spans="1:25" ht="15">
      <c r="A8" s="40"/>
      <c r="B8" s="41"/>
      <c r="C8" s="42"/>
      <c r="D8" s="40"/>
      <c r="E8" s="40"/>
      <c r="F8" s="40"/>
      <c r="G8" s="43">
        <f>F8*6%</f>
        <v>0</v>
      </c>
      <c r="H8" s="43"/>
      <c r="I8" s="44">
        <f t="shared" ref="I8:I30" si="4">F8-G8-H8</f>
        <v>0</v>
      </c>
      <c r="J8" s="44">
        <f t="shared" si="0"/>
        <v>0</v>
      </c>
      <c r="K8" s="44">
        <f t="shared" si="1"/>
        <v>0</v>
      </c>
      <c r="L8" s="45"/>
      <c r="M8" s="40"/>
      <c r="N8" s="43">
        <f t="shared" si="2"/>
        <v>0</v>
      </c>
      <c r="O8" s="43">
        <f t="shared" si="3"/>
        <v>0</v>
      </c>
      <c r="P8" s="46"/>
      <c r="Q8" s="40"/>
      <c r="R8" s="47"/>
      <c r="S8" s="47"/>
      <c r="T8" s="48"/>
    </row>
    <row r="9" spans="1:25" ht="15">
      <c r="A9" s="32"/>
      <c r="B9" s="33"/>
      <c r="C9" s="34"/>
      <c r="D9" s="32"/>
      <c r="E9" s="32"/>
      <c r="F9" s="32"/>
      <c r="G9" s="37"/>
      <c r="H9" s="37"/>
      <c r="I9" s="37"/>
      <c r="J9" s="35"/>
      <c r="K9" s="35"/>
      <c r="L9" s="36"/>
      <c r="M9" s="32"/>
      <c r="N9" s="37"/>
      <c r="O9" s="37"/>
      <c r="P9" s="38"/>
      <c r="Q9" s="32"/>
      <c r="R9" s="32"/>
      <c r="S9" s="32"/>
      <c r="T9" s="39"/>
    </row>
    <row r="10" spans="1:25" ht="15">
      <c r="A10" s="40"/>
      <c r="B10" s="41"/>
      <c r="C10" s="42"/>
      <c r="D10" s="40"/>
      <c r="E10" s="40"/>
      <c r="F10" s="40"/>
      <c r="G10" s="43">
        <f>F10*6%</f>
        <v>0</v>
      </c>
      <c r="H10" s="43"/>
      <c r="I10" s="44">
        <f t="shared" si="4"/>
        <v>0</v>
      </c>
      <c r="J10" s="44">
        <f t="shared" si="0"/>
        <v>0</v>
      </c>
      <c r="K10" s="44">
        <f t="shared" si="1"/>
        <v>0</v>
      </c>
      <c r="L10" s="45"/>
      <c r="M10" s="40"/>
      <c r="N10" s="43">
        <f t="shared" si="2"/>
        <v>0</v>
      </c>
      <c r="O10" s="43">
        <f t="shared" si="3"/>
        <v>0</v>
      </c>
      <c r="P10" s="46"/>
      <c r="Q10" s="40"/>
      <c r="R10" s="43"/>
      <c r="S10" s="43"/>
      <c r="T10" s="49"/>
    </row>
    <row r="11" spans="1:25" ht="15">
      <c r="A11" s="32"/>
      <c r="B11" s="33"/>
      <c r="C11" s="34"/>
      <c r="D11" s="32"/>
      <c r="E11" s="32"/>
      <c r="F11" s="32"/>
      <c r="G11" s="37"/>
      <c r="H11" s="37"/>
      <c r="I11" s="37"/>
      <c r="J11" s="35"/>
      <c r="K11" s="35"/>
      <c r="L11" s="36"/>
      <c r="M11" s="32"/>
      <c r="N11" s="37"/>
      <c r="O11" s="37"/>
      <c r="P11" s="38"/>
      <c r="Q11" s="32"/>
      <c r="R11" s="32"/>
      <c r="S11" s="32"/>
      <c r="T11" s="39"/>
    </row>
    <row r="12" spans="1:25" ht="15">
      <c r="A12" s="40"/>
      <c r="B12" s="41"/>
      <c r="C12" s="42"/>
      <c r="D12" s="40"/>
      <c r="E12" s="40"/>
      <c r="F12" s="40"/>
      <c r="G12" s="43">
        <f>F12*6%</f>
        <v>0</v>
      </c>
      <c r="H12" s="43"/>
      <c r="I12" s="44">
        <f t="shared" si="4"/>
        <v>0</v>
      </c>
      <c r="J12" s="44">
        <f>S12+T12</f>
        <v>0</v>
      </c>
      <c r="K12" s="44">
        <f>I12-J12</f>
        <v>0</v>
      </c>
      <c r="L12" s="45"/>
      <c r="M12" s="40"/>
      <c r="N12" s="43">
        <f t="shared" si="2"/>
        <v>0</v>
      </c>
      <c r="O12" s="43">
        <f t="shared" si="3"/>
        <v>0</v>
      </c>
      <c r="P12" s="46"/>
      <c r="Q12" s="40"/>
      <c r="R12" s="47"/>
      <c r="S12" s="47"/>
      <c r="T12" s="48"/>
    </row>
    <row r="13" spans="1:25" ht="15">
      <c r="A13" s="32"/>
      <c r="B13" s="33"/>
      <c r="C13" s="34"/>
      <c r="D13" s="32"/>
      <c r="E13" s="32"/>
      <c r="F13" s="32"/>
      <c r="G13" s="37"/>
      <c r="H13" s="37"/>
      <c r="I13" s="37"/>
      <c r="J13" s="35"/>
      <c r="K13" s="35"/>
      <c r="L13" s="36"/>
      <c r="M13" s="32"/>
      <c r="N13" s="37"/>
      <c r="O13" s="37"/>
      <c r="P13" s="38"/>
      <c r="Q13" s="32"/>
      <c r="R13" s="32"/>
      <c r="S13" s="32"/>
      <c r="T13" s="39"/>
    </row>
    <row r="14" spans="1:25" ht="15">
      <c r="A14" s="40"/>
      <c r="B14" s="41"/>
      <c r="C14" s="42"/>
      <c r="D14" s="40"/>
      <c r="E14" s="40"/>
      <c r="F14" s="40"/>
      <c r="G14" s="43">
        <f>F14*6%</f>
        <v>0</v>
      </c>
      <c r="H14" s="43"/>
      <c r="I14" s="44">
        <f t="shared" si="4"/>
        <v>0</v>
      </c>
      <c r="J14" s="44">
        <f t="shared" si="0"/>
        <v>0</v>
      </c>
      <c r="K14" s="44">
        <f t="shared" si="1"/>
        <v>0</v>
      </c>
      <c r="L14" s="45"/>
      <c r="M14" s="40"/>
      <c r="N14" s="43">
        <f t="shared" si="2"/>
        <v>0</v>
      </c>
      <c r="O14" s="43">
        <f t="shared" si="3"/>
        <v>0</v>
      </c>
      <c r="P14" s="46"/>
      <c r="Q14" s="40"/>
      <c r="R14" s="47"/>
      <c r="S14" s="47"/>
      <c r="T14" s="48"/>
    </row>
    <row r="15" spans="1:25" ht="15">
      <c r="A15" s="32"/>
      <c r="B15" s="33"/>
      <c r="C15" s="32"/>
      <c r="D15" s="33"/>
      <c r="E15" s="34"/>
      <c r="F15" s="32"/>
      <c r="G15" s="32"/>
      <c r="H15" s="32"/>
      <c r="I15" s="37"/>
      <c r="J15" s="37"/>
      <c r="K15" s="35"/>
      <c r="L15" s="35"/>
      <c r="M15" s="35"/>
      <c r="N15" s="36"/>
      <c r="O15" s="32"/>
      <c r="P15" s="37"/>
      <c r="Q15" s="37"/>
      <c r="R15" s="38"/>
      <c r="S15" s="32"/>
      <c r="T15" s="39"/>
    </row>
    <row r="16" spans="1:25" ht="15">
      <c r="A16" s="40"/>
      <c r="B16" s="41"/>
      <c r="C16" s="42"/>
      <c r="D16" s="40"/>
      <c r="E16" s="40"/>
      <c r="F16" s="40"/>
      <c r="G16" s="43">
        <f>F16*6%</f>
        <v>0</v>
      </c>
      <c r="H16" s="43"/>
      <c r="I16" s="44">
        <f t="shared" si="4"/>
        <v>0</v>
      </c>
      <c r="J16" s="44">
        <f t="shared" si="0"/>
        <v>0</v>
      </c>
      <c r="K16" s="44">
        <f t="shared" si="1"/>
        <v>0</v>
      </c>
      <c r="L16" s="45"/>
      <c r="M16" s="40"/>
      <c r="N16" s="43">
        <f t="shared" si="2"/>
        <v>0</v>
      </c>
      <c r="O16" s="43">
        <f t="shared" si="3"/>
        <v>0</v>
      </c>
      <c r="P16" s="46"/>
      <c r="Q16" s="40"/>
      <c r="R16" s="47"/>
      <c r="S16" s="47"/>
      <c r="T16" s="48"/>
    </row>
    <row r="17" spans="1:22" ht="15">
      <c r="A17" s="32"/>
      <c r="B17" s="33"/>
      <c r="C17" s="34"/>
      <c r="D17" s="32"/>
      <c r="E17" s="32"/>
      <c r="F17" s="32"/>
      <c r="G17" s="37"/>
      <c r="H17" s="37"/>
      <c r="I17" s="37"/>
      <c r="J17" s="35"/>
      <c r="K17" s="35"/>
      <c r="L17" s="36"/>
      <c r="M17" s="32"/>
      <c r="N17" s="37"/>
      <c r="O17" s="37"/>
      <c r="P17" s="38"/>
      <c r="Q17" s="32"/>
      <c r="R17" s="32"/>
      <c r="S17" s="32"/>
      <c r="T17" s="39"/>
    </row>
    <row r="18" spans="1:22" ht="15">
      <c r="A18" s="40"/>
      <c r="B18" s="41"/>
      <c r="C18" s="42"/>
      <c r="D18" s="40"/>
      <c r="E18" s="40"/>
      <c r="F18" s="40"/>
      <c r="G18" s="43">
        <f>F18*6%</f>
        <v>0</v>
      </c>
      <c r="H18" s="43"/>
      <c r="I18" s="44">
        <f t="shared" si="4"/>
        <v>0</v>
      </c>
      <c r="J18" s="44">
        <f t="shared" si="0"/>
        <v>0</v>
      </c>
      <c r="K18" s="44">
        <f t="shared" si="1"/>
        <v>0</v>
      </c>
      <c r="L18" s="45"/>
      <c r="M18" s="40"/>
      <c r="N18" s="43">
        <f t="shared" si="2"/>
        <v>0</v>
      </c>
      <c r="O18" s="43">
        <f t="shared" si="3"/>
        <v>0</v>
      </c>
      <c r="P18" s="46"/>
      <c r="Q18" s="40"/>
      <c r="R18" s="40"/>
      <c r="S18" s="40"/>
      <c r="T18" s="5"/>
    </row>
    <row r="19" spans="1:22" ht="15">
      <c r="A19" s="32"/>
      <c r="B19" s="33"/>
      <c r="C19" s="34"/>
      <c r="D19" s="32"/>
      <c r="E19" s="32"/>
      <c r="F19" s="32"/>
      <c r="G19" s="37"/>
      <c r="H19" s="37"/>
      <c r="I19" s="37"/>
      <c r="J19" s="35"/>
      <c r="K19" s="35"/>
      <c r="L19" s="36"/>
      <c r="M19" s="32"/>
      <c r="N19" s="37"/>
      <c r="O19" s="37"/>
      <c r="P19" s="38"/>
      <c r="Q19" s="32"/>
      <c r="R19" s="32"/>
      <c r="S19" s="32"/>
      <c r="T19" s="39"/>
    </row>
    <row r="20" spans="1:22" ht="15">
      <c r="A20" s="40"/>
      <c r="B20" s="41"/>
      <c r="C20" s="42"/>
      <c r="D20" s="40"/>
      <c r="E20" s="40"/>
      <c r="F20" s="40"/>
      <c r="G20" s="43">
        <f>F20*6%</f>
        <v>0</v>
      </c>
      <c r="H20" s="43"/>
      <c r="I20" s="44">
        <f t="shared" si="4"/>
        <v>0</v>
      </c>
      <c r="J20" s="44">
        <f>S20+T20</f>
        <v>0</v>
      </c>
      <c r="K20" s="44">
        <f t="shared" si="1"/>
        <v>0</v>
      </c>
      <c r="L20" s="45"/>
      <c r="M20" s="40"/>
      <c r="N20" s="43">
        <f>I20-J20-M20-R20</f>
        <v>0</v>
      </c>
      <c r="O20" s="43">
        <f>R20+S20+T20</f>
        <v>0</v>
      </c>
      <c r="P20" s="46"/>
      <c r="Q20" s="40"/>
      <c r="R20" s="47"/>
      <c r="S20" s="47"/>
      <c r="T20" s="48"/>
    </row>
    <row r="21" spans="1:22" ht="15">
      <c r="A21" s="32"/>
      <c r="B21" s="33"/>
      <c r="C21" s="34"/>
      <c r="D21" s="32"/>
      <c r="E21" s="32"/>
      <c r="F21" s="32"/>
      <c r="G21" s="37"/>
      <c r="H21" s="37"/>
      <c r="I21" s="37"/>
      <c r="J21" s="35"/>
      <c r="K21" s="35"/>
      <c r="L21" s="36"/>
      <c r="M21" s="32"/>
      <c r="N21" s="37"/>
      <c r="O21" s="37"/>
      <c r="P21" s="38"/>
      <c r="Q21" s="32"/>
      <c r="R21" s="32"/>
      <c r="S21" s="32"/>
      <c r="T21" s="39"/>
    </row>
    <row r="22" spans="1:22" ht="15">
      <c r="A22" s="40"/>
      <c r="B22" s="41"/>
      <c r="C22" s="42"/>
      <c r="D22" s="40"/>
      <c r="E22" s="40"/>
      <c r="F22" s="40"/>
      <c r="G22" s="43">
        <f>F22*6%</f>
        <v>0</v>
      </c>
      <c r="H22" s="43"/>
      <c r="I22" s="44">
        <f t="shared" si="4"/>
        <v>0</v>
      </c>
      <c r="J22" s="44">
        <f t="shared" si="0"/>
        <v>0</v>
      </c>
      <c r="K22" s="44">
        <f t="shared" si="1"/>
        <v>0</v>
      </c>
      <c r="L22" s="45"/>
      <c r="M22" s="40"/>
      <c r="N22" s="43">
        <f t="shared" si="2"/>
        <v>0</v>
      </c>
      <c r="O22" s="43">
        <f t="shared" si="3"/>
        <v>0</v>
      </c>
      <c r="P22" s="46"/>
      <c r="Q22" s="40"/>
      <c r="R22" s="47"/>
      <c r="S22" s="47"/>
      <c r="T22" s="48"/>
    </row>
    <row r="23" spans="1:22" ht="15">
      <c r="A23" s="32"/>
      <c r="B23" s="33"/>
      <c r="C23" s="34"/>
      <c r="D23" s="32"/>
      <c r="E23" s="32"/>
      <c r="F23" s="32"/>
      <c r="G23" s="37"/>
      <c r="H23" s="37"/>
      <c r="I23" s="37"/>
      <c r="J23" s="35"/>
      <c r="K23" s="35"/>
      <c r="L23" s="36"/>
      <c r="M23" s="32"/>
      <c r="N23" s="37"/>
      <c r="O23" s="37"/>
      <c r="P23" s="38"/>
      <c r="Q23" s="32"/>
      <c r="R23" s="32"/>
      <c r="S23" s="32"/>
      <c r="T23" s="39"/>
    </row>
    <row r="24" spans="1:22" ht="15">
      <c r="A24" s="40"/>
      <c r="B24" s="41"/>
      <c r="C24" s="42"/>
      <c r="D24" s="40"/>
      <c r="E24" s="40"/>
      <c r="F24" s="40"/>
      <c r="G24" s="43">
        <f>F24*6%</f>
        <v>0</v>
      </c>
      <c r="H24" s="43"/>
      <c r="I24" s="44">
        <f t="shared" si="4"/>
        <v>0</v>
      </c>
      <c r="J24" s="44">
        <f t="shared" si="0"/>
        <v>0</v>
      </c>
      <c r="K24" s="44">
        <f t="shared" si="1"/>
        <v>0</v>
      </c>
      <c r="L24" s="45"/>
      <c r="M24" s="40"/>
      <c r="N24" s="43">
        <f t="shared" si="2"/>
        <v>0</v>
      </c>
      <c r="O24" s="43">
        <f t="shared" si="3"/>
        <v>0</v>
      </c>
      <c r="P24" s="46"/>
      <c r="Q24" s="40"/>
      <c r="R24" s="40"/>
      <c r="S24" s="40"/>
      <c r="T24" s="5"/>
    </row>
    <row r="25" spans="1:22" ht="15">
      <c r="A25" s="32"/>
      <c r="B25" s="33"/>
      <c r="C25" s="32"/>
      <c r="D25" s="33"/>
      <c r="E25" s="34"/>
      <c r="F25" s="32"/>
      <c r="G25" s="32"/>
      <c r="H25" s="32"/>
      <c r="I25" s="37"/>
      <c r="J25" s="37"/>
      <c r="K25" s="35"/>
      <c r="L25" s="35"/>
      <c r="M25" s="35"/>
      <c r="N25" s="36"/>
      <c r="O25" s="32"/>
      <c r="P25" s="37"/>
      <c r="Q25" s="37"/>
      <c r="R25" s="38"/>
      <c r="S25" s="32"/>
      <c r="T25" s="39"/>
    </row>
    <row r="26" spans="1:22" ht="15">
      <c r="A26" s="40"/>
      <c r="B26" s="41"/>
      <c r="C26" s="42"/>
      <c r="D26" s="40"/>
      <c r="E26" s="40"/>
      <c r="F26" s="40"/>
      <c r="G26" s="43">
        <f>F26*6%</f>
        <v>0</v>
      </c>
      <c r="H26" s="43"/>
      <c r="I26" s="44">
        <f t="shared" si="4"/>
        <v>0</v>
      </c>
      <c r="J26" s="44">
        <f t="shared" si="0"/>
        <v>0</v>
      </c>
      <c r="K26" s="44">
        <f t="shared" si="1"/>
        <v>0</v>
      </c>
      <c r="L26" s="45"/>
      <c r="M26" s="40"/>
      <c r="N26" s="43">
        <f t="shared" si="2"/>
        <v>0</v>
      </c>
      <c r="O26" s="43">
        <f t="shared" si="3"/>
        <v>0</v>
      </c>
      <c r="P26" s="46"/>
      <c r="Q26" s="40"/>
      <c r="R26" s="40"/>
      <c r="S26" s="40"/>
      <c r="T26" s="5"/>
    </row>
    <row r="27" spans="1:22" ht="15">
      <c r="A27" s="32"/>
      <c r="B27" s="33"/>
      <c r="C27" s="32"/>
      <c r="D27" s="33"/>
      <c r="E27" s="34"/>
      <c r="F27" s="32"/>
      <c r="G27" s="32"/>
      <c r="H27" s="32"/>
      <c r="I27" s="37"/>
      <c r="J27" s="37"/>
      <c r="K27" s="35"/>
      <c r="L27" s="35"/>
      <c r="M27" s="35"/>
      <c r="N27" s="36"/>
      <c r="O27" s="32"/>
      <c r="P27" s="37"/>
      <c r="Q27" s="37"/>
      <c r="R27" s="38"/>
      <c r="S27" s="32"/>
      <c r="T27" s="39"/>
      <c r="U27" s="6"/>
      <c r="V27" s="6"/>
    </row>
    <row r="28" spans="1:22" ht="15">
      <c r="A28" s="40"/>
      <c r="B28" s="41"/>
      <c r="C28" s="42"/>
      <c r="D28" s="40"/>
      <c r="E28" s="40"/>
      <c r="F28" s="40"/>
      <c r="G28" s="43">
        <f>F28*6%</f>
        <v>0</v>
      </c>
      <c r="H28" s="43"/>
      <c r="I28" s="44">
        <f t="shared" si="4"/>
        <v>0</v>
      </c>
      <c r="J28" s="44">
        <f t="shared" si="0"/>
        <v>0</v>
      </c>
      <c r="K28" s="44">
        <f t="shared" si="1"/>
        <v>0</v>
      </c>
      <c r="L28" s="45"/>
      <c r="M28" s="40"/>
      <c r="N28" s="43">
        <f t="shared" si="2"/>
        <v>0</v>
      </c>
      <c r="O28" s="43">
        <f t="shared" si="3"/>
        <v>0</v>
      </c>
      <c r="P28" s="46"/>
      <c r="Q28" s="40"/>
      <c r="R28" s="40"/>
      <c r="S28" s="40"/>
      <c r="T28" s="5"/>
    </row>
    <row r="29" spans="1:22" ht="15">
      <c r="A29" s="32"/>
      <c r="B29" s="33"/>
      <c r="C29" s="32"/>
      <c r="D29" s="33"/>
      <c r="E29" s="34"/>
      <c r="F29" s="32"/>
      <c r="G29" s="32"/>
      <c r="H29" s="32"/>
      <c r="I29" s="37"/>
      <c r="J29" s="37"/>
      <c r="K29" s="35"/>
      <c r="L29" s="35"/>
      <c r="M29" s="35"/>
      <c r="N29" s="36"/>
      <c r="O29" s="32"/>
      <c r="P29" s="37"/>
      <c r="Q29" s="37"/>
      <c r="R29" s="38"/>
      <c r="S29" s="32"/>
      <c r="T29" s="39"/>
      <c r="U29" s="6"/>
      <c r="V29" s="6"/>
    </row>
    <row r="30" spans="1:22" ht="15">
      <c r="A30" s="40"/>
      <c r="B30" s="41"/>
      <c r="C30" s="42"/>
      <c r="D30" s="40"/>
      <c r="E30" s="40"/>
      <c r="F30" s="40"/>
      <c r="G30" s="43">
        <f>F30*6%</f>
        <v>0</v>
      </c>
      <c r="H30" s="43"/>
      <c r="I30" s="44">
        <f t="shared" si="4"/>
        <v>0</v>
      </c>
      <c r="J30" s="44">
        <f t="shared" si="0"/>
        <v>0</v>
      </c>
      <c r="K30" s="44">
        <f t="shared" si="1"/>
        <v>0</v>
      </c>
      <c r="L30" s="45"/>
      <c r="M30" s="40"/>
      <c r="N30" s="43">
        <f t="shared" si="2"/>
        <v>0</v>
      </c>
      <c r="O30" s="43">
        <f t="shared" si="3"/>
        <v>0</v>
      </c>
      <c r="P30" s="46"/>
      <c r="Q30" s="40"/>
      <c r="R30" s="40"/>
      <c r="S30" s="40"/>
      <c r="T30" s="5"/>
    </row>
    <row r="31" spans="1:22" ht="15">
      <c r="A31" s="32"/>
      <c r="B31" s="33"/>
      <c r="C31" s="32"/>
      <c r="D31" s="33"/>
      <c r="E31" s="34"/>
      <c r="F31" s="32"/>
      <c r="G31" s="32"/>
      <c r="H31" s="32"/>
      <c r="I31" s="37"/>
      <c r="J31" s="37"/>
      <c r="K31" s="35"/>
      <c r="L31" s="35"/>
      <c r="M31" s="35"/>
      <c r="N31" s="36"/>
      <c r="O31" s="32"/>
      <c r="P31" s="37"/>
      <c r="Q31" s="37"/>
      <c r="R31" s="38"/>
      <c r="S31" s="32"/>
      <c r="T31" s="39"/>
    </row>
    <row r="32" spans="1:22" ht="15">
      <c r="A32" s="216"/>
      <c r="B32" s="222"/>
      <c r="C32" s="217"/>
      <c r="D32" s="216"/>
      <c r="E32" s="216"/>
      <c r="F32" s="216"/>
      <c r="G32" s="220">
        <f>F32*6%</f>
        <v>0</v>
      </c>
      <c r="H32" s="220"/>
      <c r="I32" s="218">
        <f t="shared" ref="I32" si="5">F32-G32-H32</f>
        <v>0</v>
      </c>
      <c r="J32" s="218">
        <f t="shared" ref="J32" si="6">S32+T32</f>
        <v>0</v>
      </c>
      <c r="K32" s="218">
        <f t="shared" ref="K32" si="7">I32-J32</f>
        <v>0</v>
      </c>
      <c r="L32" s="219"/>
      <c r="M32" s="216"/>
      <c r="N32" s="220">
        <f t="shared" ref="N32" si="8">I32-J32-M32-R32</f>
        <v>0</v>
      </c>
      <c r="O32" s="220">
        <f t="shared" ref="O32" si="9">R32+S32+T32</f>
        <v>0</v>
      </c>
      <c r="P32" s="229"/>
      <c r="Q32" s="216"/>
      <c r="R32" s="216"/>
      <c r="S32" s="216"/>
      <c r="T32" s="215"/>
    </row>
    <row r="33" spans="1:22" ht="15">
      <c r="A33" s="32"/>
      <c r="B33" s="33"/>
      <c r="C33" s="32"/>
      <c r="D33" s="33"/>
      <c r="E33" s="34"/>
      <c r="F33" s="32"/>
      <c r="G33" s="32"/>
      <c r="H33" s="32"/>
      <c r="I33" s="37"/>
      <c r="J33" s="37"/>
      <c r="K33" s="35"/>
      <c r="L33" s="35"/>
      <c r="M33" s="35"/>
      <c r="N33" s="36"/>
      <c r="O33" s="32"/>
      <c r="P33" s="37"/>
      <c r="Q33" s="37"/>
      <c r="R33" s="38"/>
      <c r="S33" s="32"/>
      <c r="T33" s="39"/>
    </row>
    <row r="34" spans="1:22" ht="15">
      <c r="A34" s="216"/>
      <c r="B34" s="222"/>
      <c r="C34" s="217"/>
      <c r="D34" s="216"/>
      <c r="E34" s="216"/>
      <c r="F34" s="216"/>
      <c r="G34" s="220">
        <f>F34*6%</f>
        <v>0</v>
      </c>
      <c r="H34" s="220"/>
      <c r="I34" s="218">
        <f t="shared" ref="I34" si="10">F34-G34-H34</f>
        <v>0</v>
      </c>
      <c r="J34" s="218">
        <f t="shared" ref="J34" si="11">S34+T34</f>
        <v>0</v>
      </c>
      <c r="K34" s="218">
        <f t="shared" ref="K34" si="12">I34-J34</f>
        <v>0</v>
      </c>
      <c r="L34" s="219"/>
      <c r="M34" s="216"/>
      <c r="N34" s="220">
        <f t="shared" ref="N34" si="13">I34-J34-M34-R34</f>
        <v>0</v>
      </c>
      <c r="O34" s="220">
        <f t="shared" ref="O34" si="14">R34+S34+T34</f>
        <v>0</v>
      </c>
      <c r="P34" s="229"/>
      <c r="Q34" s="216"/>
      <c r="R34" s="216"/>
      <c r="S34" s="216"/>
      <c r="T34" s="215"/>
    </row>
    <row r="35" spans="1:22" ht="15">
      <c r="A35" s="32"/>
      <c r="B35" s="33"/>
      <c r="C35" s="32"/>
      <c r="D35" s="33"/>
      <c r="E35" s="34"/>
      <c r="F35" s="32"/>
      <c r="G35" s="32"/>
      <c r="H35" s="32"/>
      <c r="I35" s="37"/>
      <c r="J35" s="37"/>
      <c r="K35" s="35"/>
      <c r="L35" s="35"/>
      <c r="M35" s="35"/>
      <c r="N35" s="36"/>
      <c r="O35" s="32"/>
      <c r="P35" s="37"/>
      <c r="Q35" s="37"/>
      <c r="R35" s="38"/>
      <c r="S35" s="32"/>
      <c r="T35" s="39"/>
      <c r="U35" s="6"/>
      <c r="V35" s="6"/>
    </row>
    <row r="36" spans="1:22" ht="15">
      <c r="A36" s="50"/>
      <c r="B36" s="51"/>
      <c r="C36" s="52"/>
      <c r="D36" s="50"/>
      <c r="E36" s="50"/>
      <c r="F36" s="50"/>
      <c r="G36" s="43">
        <f>F36*6%</f>
        <v>0</v>
      </c>
      <c r="H36" s="53"/>
      <c r="I36" s="78">
        <f t="shared" ref="I36" si="15">F36-G36-H36</f>
        <v>0</v>
      </c>
      <c r="J36" s="54">
        <f t="shared" ref="J36" si="16">S36+T36</f>
        <v>0</v>
      </c>
      <c r="K36" s="54">
        <f t="shared" ref="K36" si="17">I36-J36</f>
        <v>0</v>
      </c>
      <c r="L36" s="55"/>
      <c r="M36" s="50"/>
      <c r="N36" s="53">
        <f t="shared" ref="N36" si="18">I36-J36-M36-R36</f>
        <v>0</v>
      </c>
      <c r="O36" s="53">
        <f t="shared" ref="O36" si="19">R36+S36+T36</f>
        <v>0</v>
      </c>
      <c r="P36" s="56"/>
      <c r="Q36" s="50"/>
      <c r="R36" s="50"/>
      <c r="S36" s="50"/>
      <c r="T36" s="57"/>
    </row>
    <row r="38" spans="1:22">
      <c r="G38" s="7"/>
      <c r="H38" s="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950" priority="49" operator="containsText" text="SIN FACTURA ">
      <formula>NOT(ISERROR(SEARCH("SIN FACTURA ",A2)))</formula>
    </cfRule>
  </conditionalFormatting>
  <conditionalFormatting sqref="J36:T36 A36:H36 A32:T32 I34:I36 A34:H34 J34:T34 A6:H10 I6:I18 J12:V12 J20:V20 J22:V22 A19:T19 A4:T6 J24:V30 J6:T24 J15:V15 A7:I30">
    <cfRule type="containsText" dxfId="949" priority="48" operator="containsText" text="SIN FACTURA">
      <formula>NOT(ISERROR(SEARCH("SIN FACTURA",A4)))</formula>
    </cfRule>
  </conditionalFormatting>
  <conditionalFormatting sqref="C35:H35 J35:V35">
    <cfRule type="containsText" dxfId="948" priority="36" operator="containsText" text="SIN FACTURA">
      <formula>NOT(ISERROR(SEARCH("SIN FACTURA",C35)))</formula>
    </cfRule>
  </conditionalFormatting>
  <conditionalFormatting sqref="A35:B35">
    <cfRule type="containsText" dxfId="947" priority="24" operator="containsText" text="SIN FACTURA">
      <formula>NOT(ISERROR(SEARCH("SIN FACTURA",A35)))</formula>
    </cfRule>
  </conditionalFormatting>
  <conditionalFormatting sqref="I31">
    <cfRule type="containsText" dxfId="946" priority="15" operator="containsText" text="SIN FACTURA">
      <formula>NOT(ISERROR(SEARCH("SIN FACTURA",I31)))</formula>
    </cfRule>
  </conditionalFormatting>
  <conditionalFormatting sqref="C31:H31 J31:T31">
    <cfRule type="containsText" dxfId="945" priority="14" operator="containsText" text="SIN FACTURA">
      <formula>NOT(ISERROR(SEARCH("SIN FACTURA",C31)))</formula>
    </cfRule>
  </conditionalFormatting>
  <conditionalFormatting sqref="A31:B31">
    <cfRule type="containsText" dxfId="944" priority="13" operator="containsText" text="SIN FACTURA">
      <formula>NOT(ISERROR(SEARCH("SIN FACTURA",A31)))</formula>
    </cfRule>
  </conditionalFormatting>
  <conditionalFormatting sqref="I33">
    <cfRule type="containsText" dxfId="943" priority="12" operator="containsText" text="SIN FACTURA">
      <formula>NOT(ISERROR(SEARCH("SIN FACTURA",I33)))</formula>
    </cfRule>
  </conditionalFormatting>
  <conditionalFormatting sqref="C33:H33 J33:T33">
    <cfRule type="containsText" dxfId="942" priority="11" operator="containsText" text="SIN FACTURA">
      <formula>NOT(ISERROR(SEARCH("SIN FACTURA",C33)))</formula>
    </cfRule>
  </conditionalFormatting>
  <conditionalFormatting sqref="A33:B33">
    <cfRule type="containsText" dxfId="941" priority="10" operator="containsText" text="SIN FACTURA">
      <formula>NOT(ISERROR(SEARCH("SIN FACTURA",A33)))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137.xml><?xml version="1.0" encoding="utf-8"?>
<worksheet xmlns="http://schemas.openxmlformats.org/spreadsheetml/2006/main" xmlns:r="http://schemas.openxmlformats.org/officeDocument/2006/relationships">
  <sheetPr codeName="Hoja199"/>
  <dimension ref="A1:Y45"/>
  <sheetViews>
    <sheetView zoomScale="125" zoomScaleNormal="125" zoomScalePageLayoutView="125" workbookViewId="0">
      <pane ySplit="3" topLeftCell="A4" activePane="bottomLeft" state="frozen"/>
      <selection activeCell="C52" sqref="C52"/>
      <selection pane="bottomLeft" activeCell="A4" sqref="A4:XFD4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284</v>
      </c>
      <c r="B1" s="18" t="s">
        <v>99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>F5-G5-H5</f>
        <v>0</v>
      </c>
      <c r="J5" s="44">
        <f t="shared" ref="J5:J43" si="0">S5+T5</f>
        <v>0</v>
      </c>
      <c r="K5" s="44">
        <f t="shared" ref="K5:K43" si="1">I5-J5</f>
        <v>0</v>
      </c>
      <c r="L5" s="45"/>
      <c r="M5" s="40"/>
      <c r="N5" s="43">
        <f t="shared" ref="N5:N43" si="2">I5-J5-M5-R5</f>
        <v>0</v>
      </c>
      <c r="O5" s="43">
        <f t="shared" ref="O5:O43" si="3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ref="I7:I43" si="4">F7-G7-H7</f>
        <v>0</v>
      </c>
      <c r="J7" s="44">
        <f t="shared" si="0"/>
        <v>0</v>
      </c>
      <c r="K7" s="44">
        <f t="shared" si="1"/>
        <v>0</v>
      </c>
      <c r="L7" s="45"/>
      <c r="M7" s="40"/>
      <c r="N7" s="43">
        <f t="shared" si="2"/>
        <v>0</v>
      </c>
      <c r="O7" s="43">
        <f t="shared" si="3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4"/>
        <v>0</v>
      </c>
      <c r="J9" s="44">
        <f t="shared" si="0"/>
        <v>0</v>
      </c>
      <c r="K9" s="44">
        <f t="shared" si="1"/>
        <v>0</v>
      </c>
      <c r="L9" s="45"/>
      <c r="M9" s="40"/>
      <c r="N9" s="43">
        <f t="shared" si="2"/>
        <v>0</v>
      </c>
      <c r="O9" s="43">
        <f t="shared" si="3"/>
        <v>0</v>
      </c>
      <c r="P9" s="46"/>
      <c r="Q9" s="40"/>
      <c r="R9" s="43"/>
      <c r="S9" s="43"/>
      <c r="T9" s="49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4"/>
        <v>0</v>
      </c>
      <c r="J11" s="44">
        <f>S11+T11</f>
        <v>0</v>
      </c>
      <c r="K11" s="44">
        <f>I11-J11</f>
        <v>0</v>
      </c>
      <c r="L11" s="45"/>
      <c r="M11" s="40"/>
      <c r="N11" s="43">
        <f t="shared" si="2"/>
        <v>0</v>
      </c>
      <c r="O11" s="43">
        <f t="shared" si="3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4"/>
        <v>0</v>
      </c>
      <c r="J13" s="44">
        <f t="shared" si="0"/>
        <v>0</v>
      </c>
      <c r="K13" s="44">
        <f t="shared" si="1"/>
        <v>0</v>
      </c>
      <c r="L13" s="45"/>
      <c r="M13" s="40"/>
      <c r="N13" s="43">
        <f t="shared" si="2"/>
        <v>0</v>
      </c>
      <c r="O13" s="43">
        <f t="shared" si="3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4"/>
        <v>0</v>
      </c>
      <c r="J15" s="44">
        <f t="shared" si="0"/>
        <v>0</v>
      </c>
      <c r="K15" s="44">
        <f t="shared" si="1"/>
        <v>0</v>
      </c>
      <c r="L15" s="45"/>
      <c r="M15" s="40"/>
      <c r="N15" s="43">
        <f t="shared" si="2"/>
        <v>0</v>
      </c>
      <c r="O15" s="43">
        <f t="shared" si="3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4"/>
        <v>0</v>
      </c>
      <c r="J17" s="44">
        <f t="shared" si="0"/>
        <v>0</v>
      </c>
      <c r="K17" s="44">
        <f t="shared" si="1"/>
        <v>0</v>
      </c>
      <c r="L17" s="45"/>
      <c r="M17" s="40"/>
      <c r="N17" s="43">
        <f t="shared" si="2"/>
        <v>0</v>
      </c>
      <c r="O17" s="43">
        <f t="shared" si="3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4"/>
        <v>0</v>
      </c>
      <c r="J19" s="44">
        <f>S19+T19</f>
        <v>0</v>
      </c>
      <c r="K19" s="44">
        <f t="shared" si="1"/>
        <v>0</v>
      </c>
      <c r="L19" s="45"/>
      <c r="M19" s="40"/>
      <c r="N19" s="43">
        <f>I19-J19-M19-R19</f>
        <v>0</v>
      </c>
      <c r="O19" s="43">
        <f>R19+S19+T19</f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4"/>
        <v>0</v>
      </c>
      <c r="J21" s="44">
        <f t="shared" si="0"/>
        <v>0</v>
      </c>
      <c r="K21" s="44">
        <f t="shared" si="1"/>
        <v>0</v>
      </c>
      <c r="L21" s="45"/>
      <c r="M21" s="40"/>
      <c r="N21" s="43">
        <f t="shared" si="2"/>
        <v>0</v>
      </c>
      <c r="O21" s="43">
        <f t="shared" si="3"/>
        <v>0</v>
      </c>
      <c r="P21" s="46"/>
      <c r="Q21" s="40"/>
      <c r="R21" s="47"/>
      <c r="S21" s="47"/>
      <c r="T21" s="48"/>
    </row>
    <row r="22" spans="1:22" ht="15">
      <c r="A22" s="32"/>
      <c r="B22" s="33"/>
      <c r="C22" s="34"/>
      <c r="D22" s="32"/>
      <c r="E22" s="32"/>
      <c r="F22" s="32"/>
      <c r="G22" s="37"/>
      <c r="H22" s="37"/>
      <c r="I22" s="37"/>
      <c r="J22" s="35"/>
      <c r="K22" s="35"/>
      <c r="L22" s="36"/>
      <c r="M22" s="32"/>
      <c r="N22" s="37"/>
      <c r="O22" s="37"/>
      <c r="P22" s="38"/>
      <c r="Q22" s="32"/>
      <c r="R22" s="32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4"/>
        <v>0</v>
      </c>
      <c r="J23" s="44">
        <f t="shared" si="0"/>
        <v>0</v>
      </c>
      <c r="K23" s="44">
        <f t="shared" si="1"/>
        <v>0</v>
      </c>
      <c r="L23" s="45"/>
      <c r="M23" s="40"/>
      <c r="N23" s="43">
        <f t="shared" si="2"/>
        <v>0</v>
      </c>
      <c r="O23" s="43">
        <f t="shared" si="3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4"/>
        <v>0</v>
      </c>
      <c r="J25" s="44">
        <f t="shared" si="0"/>
        <v>0</v>
      </c>
      <c r="K25" s="44">
        <f t="shared" si="1"/>
        <v>0</v>
      </c>
      <c r="L25" s="45"/>
      <c r="M25" s="40"/>
      <c r="N25" s="43">
        <f t="shared" si="2"/>
        <v>0</v>
      </c>
      <c r="O25" s="43">
        <f t="shared" si="3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4"/>
        <v>0</v>
      </c>
      <c r="J27" s="44">
        <f t="shared" si="0"/>
        <v>0</v>
      </c>
      <c r="K27" s="44">
        <f t="shared" si="1"/>
        <v>0</v>
      </c>
      <c r="L27" s="45"/>
      <c r="M27" s="40"/>
      <c r="N27" s="43">
        <f t="shared" si="2"/>
        <v>0</v>
      </c>
      <c r="O27" s="43">
        <f t="shared" si="3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4"/>
        <v>0</v>
      </c>
      <c r="J29" s="44">
        <f t="shared" si="0"/>
        <v>0</v>
      </c>
      <c r="K29" s="44">
        <f t="shared" si="1"/>
        <v>0</v>
      </c>
      <c r="L29" s="45"/>
      <c r="M29" s="40"/>
      <c r="N29" s="43">
        <f t="shared" si="2"/>
        <v>0</v>
      </c>
      <c r="O29" s="43">
        <f t="shared" si="3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4"/>
        <v>0</v>
      </c>
      <c r="J31" s="44">
        <f t="shared" si="0"/>
        <v>0</v>
      </c>
      <c r="K31" s="44">
        <f t="shared" si="1"/>
        <v>0</v>
      </c>
      <c r="L31" s="45"/>
      <c r="M31" s="40"/>
      <c r="N31" s="43">
        <f t="shared" si="2"/>
        <v>0</v>
      </c>
      <c r="O31" s="43">
        <f t="shared" si="3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4"/>
        <v>0</v>
      </c>
      <c r="J33" s="44">
        <f t="shared" si="0"/>
        <v>0</v>
      </c>
      <c r="K33" s="44">
        <f t="shared" si="1"/>
        <v>0</v>
      </c>
      <c r="L33" s="45"/>
      <c r="M33" s="40"/>
      <c r="N33" s="43">
        <f t="shared" si="2"/>
        <v>0</v>
      </c>
      <c r="O33" s="43">
        <f t="shared" si="3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4"/>
        <v>0</v>
      </c>
      <c r="J35" s="44">
        <f t="shared" si="0"/>
        <v>0</v>
      </c>
      <c r="K35" s="44">
        <f t="shared" si="1"/>
        <v>0</v>
      </c>
      <c r="L35" s="45"/>
      <c r="M35" s="40"/>
      <c r="N35" s="43">
        <f t="shared" si="2"/>
        <v>0</v>
      </c>
      <c r="O35" s="43">
        <f t="shared" si="3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4"/>
        <v>0</v>
      </c>
      <c r="J37" s="44">
        <f t="shared" si="0"/>
        <v>0</v>
      </c>
      <c r="K37" s="44">
        <f t="shared" si="1"/>
        <v>0</v>
      </c>
      <c r="L37" s="45"/>
      <c r="M37" s="40"/>
      <c r="N37" s="43">
        <f t="shared" si="2"/>
        <v>0</v>
      </c>
      <c r="O37" s="43">
        <f t="shared" si="3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4"/>
        <v>0</v>
      </c>
      <c r="J39" s="44">
        <f t="shared" si="0"/>
        <v>0</v>
      </c>
      <c r="K39" s="44">
        <f t="shared" si="1"/>
        <v>0</v>
      </c>
      <c r="L39" s="45"/>
      <c r="M39" s="40"/>
      <c r="N39" s="43">
        <f t="shared" si="2"/>
        <v>0</v>
      </c>
      <c r="O39" s="43">
        <f t="shared" si="3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4"/>
        <v>0</v>
      </c>
      <c r="J41" s="44">
        <f t="shared" si="0"/>
        <v>0</v>
      </c>
      <c r="K41" s="44">
        <f t="shared" si="1"/>
        <v>0</v>
      </c>
      <c r="L41" s="45"/>
      <c r="M41" s="40"/>
      <c r="N41" s="43">
        <f t="shared" si="2"/>
        <v>0</v>
      </c>
      <c r="O41" s="43">
        <f t="shared" si="3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40"/>
      <c r="B43" s="41"/>
      <c r="C43" s="42"/>
      <c r="D43" s="40"/>
      <c r="E43" s="40"/>
      <c r="F43" s="40"/>
      <c r="G43" s="43">
        <f>F43*6%</f>
        <v>0</v>
      </c>
      <c r="H43" s="43"/>
      <c r="I43" s="44">
        <f t="shared" si="4"/>
        <v>0</v>
      </c>
      <c r="J43" s="44">
        <f t="shared" si="0"/>
        <v>0</v>
      </c>
      <c r="K43" s="44">
        <f t="shared" si="1"/>
        <v>0</v>
      </c>
      <c r="L43" s="45"/>
      <c r="M43" s="40"/>
      <c r="N43" s="43">
        <f t="shared" si="2"/>
        <v>0</v>
      </c>
      <c r="O43" s="43">
        <f t="shared" si="3"/>
        <v>0</v>
      </c>
      <c r="P43" s="46"/>
      <c r="Q43" s="40"/>
      <c r="R43" s="40"/>
      <c r="S43" s="40"/>
      <c r="T43" s="5"/>
    </row>
    <row r="44" spans="1:22" ht="15">
      <c r="A44" s="32"/>
      <c r="B44" s="33"/>
      <c r="C44" s="32"/>
      <c r="D44" s="33"/>
      <c r="E44" s="34"/>
      <c r="F44" s="32"/>
      <c r="G44" s="32"/>
      <c r="H44" s="32"/>
      <c r="I44" s="37"/>
      <c r="J44" s="37"/>
      <c r="K44" s="35"/>
      <c r="L44" s="35"/>
      <c r="M44" s="35"/>
      <c r="N44" s="36"/>
      <c r="O44" s="32"/>
      <c r="P44" s="37"/>
      <c r="Q44" s="37"/>
      <c r="R44" s="38"/>
      <c r="S44" s="32"/>
      <c r="T44" s="39"/>
      <c r="U44" s="6"/>
      <c r="V44" s="6"/>
    </row>
    <row r="45" spans="1:22" ht="15">
      <c r="A45" s="50"/>
      <c r="B45" s="51"/>
      <c r="C45" s="52"/>
      <c r="D45" s="50"/>
      <c r="E45" s="50"/>
      <c r="F45" s="50"/>
      <c r="G45" s="43">
        <f>F45*6%</f>
        <v>0</v>
      </c>
      <c r="H45" s="53"/>
      <c r="I45" s="44">
        <f t="shared" ref="I45" si="5">F45-G45-H45</f>
        <v>0</v>
      </c>
      <c r="J45" s="54">
        <f t="shared" ref="J45" si="6">S45+T45</f>
        <v>0</v>
      </c>
      <c r="K45" s="54">
        <f t="shared" ref="K45" si="7">I45-J45</f>
        <v>0</v>
      </c>
      <c r="L45" s="55"/>
      <c r="M45" s="50"/>
      <c r="N45" s="53">
        <f t="shared" ref="N45" si="8">I45-J45-M45-R45</f>
        <v>0</v>
      </c>
      <c r="O45" s="53">
        <f t="shared" ref="O45" si="9">R45+S45+T45</f>
        <v>0</v>
      </c>
      <c r="P45" s="56"/>
      <c r="Q45" s="50"/>
      <c r="R45" s="50"/>
      <c r="S45" s="50"/>
      <c r="T45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940" priority="50" operator="containsText" text="SIN FACTURA ">
      <formula>NOT(ISERROR(SEARCH("SIN FACTURA ",A2)))</formula>
    </cfRule>
  </conditionalFormatting>
  <conditionalFormatting sqref="A44:B44 A4:T4">
    <cfRule type="containsText" dxfId="939" priority="24" operator="containsText" text="SIN FACTURA">
      <formula>NOT(ISERROR(SEARCH("SIN FACTURA",A4)))</formula>
    </cfRule>
  </conditionalFormatting>
  <conditionalFormatting sqref="J45:T45 J43:T43 J41:T41 J39:T39 J37:T37 J35:T35 J33:T33 J31:T31 J29:T29 J27:T27 J5:T13 I5:I45 A5:H13 A25:H25 A27:H27 A31:H31 A33:H33 A35:H35 A37:H37 A39:H39 A41:H41 A43:H43 A45:H45 A15:H23 J25:T25 J15:T23 A29:H29">
    <cfRule type="containsText" dxfId="938" priority="48" operator="containsText" text="SIN FACTURA">
      <formula>NOT(ISERROR(SEARCH("SIN FACTURA",A5)))</formula>
    </cfRule>
  </conditionalFormatting>
  <conditionalFormatting sqref="C14:H14 J14:V14">
    <cfRule type="containsText" dxfId="937" priority="47" operator="containsText" text="SIN FACTURA">
      <formula>NOT(ISERROR(SEARCH("SIN FACTURA",C14)))</formula>
    </cfRule>
  </conditionalFormatting>
  <conditionalFormatting sqref="C24:H24 J24:V24">
    <cfRule type="containsText" dxfId="936" priority="46" operator="containsText" text="SIN FACTURA">
      <formula>NOT(ISERROR(SEARCH("SIN FACTURA",C24)))</formula>
    </cfRule>
  </conditionalFormatting>
  <conditionalFormatting sqref="C26:H26 J26:V26">
    <cfRule type="containsText" dxfId="935" priority="45" operator="containsText" text="SIN FACTURA">
      <formula>NOT(ISERROR(SEARCH("SIN FACTURA",C26)))</formula>
    </cfRule>
  </conditionalFormatting>
  <conditionalFormatting sqref="C28:H28 J28:V28">
    <cfRule type="containsText" dxfId="934" priority="44" operator="containsText" text="SIN FACTURA">
      <formula>NOT(ISERROR(SEARCH("SIN FACTURA",C28)))</formula>
    </cfRule>
  </conditionalFormatting>
  <conditionalFormatting sqref="C30:H30 J30:V30">
    <cfRule type="containsText" dxfId="933" priority="43" operator="containsText" text="SIN FACTURA">
      <formula>NOT(ISERROR(SEARCH("SIN FACTURA",C30)))</formula>
    </cfRule>
  </conditionalFormatting>
  <conditionalFormatting sqref="C32:H32 J32:V32">
    <cfRule type="containsText" dxfId="932" priority="42" operator="containsText" text="SIN FACTURA">
      <formula>NOT(ISERROR(SEARCH("SIN FACTURA",C32)))</formula>
    </cfRule>
  </conditionalFormatting>
  <conditionalFormatting sqref="C34:H34 J34:V34">
    <cfRule type="containsText" dxfId="931" priority="41" operator="containsText" text="SIN FACTURA">
      <formula>NOT(ISERROR(SEARCH("SIN FACTURA",C34)))</formula>
    </cfRule>
  </conditionalFormatting>
  <conditionalFormatting sqref="C36:H36 J36:V36">
    <cfRule type="containsText" dxfId="930" priority="40" operator="containsText" text="SIN FACTURA">
      <formula>NOT(ISERROR(SEARCH("SIN FACTURA",C36)))</formula>
    </cfRule>
  </conditionalFormatting>
  <conditionalFormatting sqref="C38:H38 J38:V38">
    <cfRule type="containsText" dxfId="929" priority="39" operator="containsText" text="SIN FACTURA">
      <formula>NOT(ISERROR(SEARCH("SIN FACTURA",C38)))</formula>
    </cfRule>
  </conditionalFormatting>
  <conditionalFormatting sqref="C40:H40 J40:V40">
    <cfRule type="containsText" dxfId="928" priority="38" operator="containsText" text="SIN FACTURA">
      <formula>NOT(ISERROR(SEARCH("SIN FACTURA",C40)))</formula>
    </cfRule>
  </conditionalFormatting>
  <conditionalFormatting sqref="C42:H42 J42:V42">
    <cfRule type="containsText" dxfId="927" priority="37" operator="containsText" text="SIN FACTURA">
      <formula>NOT(ISERROR(SEARCH("SIN FACTURA",C42)))</formula>
    </cfRule>
  </conditionalFormatting>
  <conditionalFormatting sqref="C44:H44 J44:V44">
    <cfRule type="containsText" dxfId="926" priority="36" operator="containsText" text="SIN FACTURA">
      <formula>NOT(ISERROR(SEARCH("SIN FACTURA",C44)))</formula>
    </cfRule>
  </conditionalFormatting>
  <conditionalFormatting sqref="A14:B14">
    <cfRule type="containsText" dxfId="925" priority="35" operator="containsText" text="SIN FACTURA">
      <formula>NOT(ISERROR(SEARCH("SIN FACTURA",A14)))</formula>
    </cfRule>
  </conditionalFormatting>
  <conditionalFormatting sqref="A24:B24">
    <cfRule type="containsText" dxfId="924" priority="34" operator="containsText" text="SIN FACTURA">
      <formula>NOT(ISERROR(SEARCH("SIN FACTURA",A24)))</formula>
    </cfRule>
  </conditionalFormatting>
  <conditionalFormatting sqref="A26:B26">
    <cfRule type="containsText" dxfId="923" priority="33" operator="containsText" text="SIN FACTURA">
      <formula>NOT(ISERROR(SEARCH("SIN FACTURA",A26)))</formula>
    </cfRule>
  </conditionalFormatting>
  <conditionalFormatting sqref="A28:B28">
    <cfRule type="containsText" dxfId="922" priority="32" operator="containsText" text="SIN FACTURA">
      <formula>NOT(ISERROR(SEARCH("SIN FACTURA",A28)))</formula>
    </cfRule>
  </conditionalFormatting>
  <conditionalFormatting sqref="A30:B30">
    <cfRule type="containsText" dxfId="921" priority="31" operator="containsText" text="SIN FACTURA">
      <formula>NOT(ISERROR(SEARCH("SIN FACTURA",A30)))</formula>
    </cfRule>
  </conditionalFormatting>
  <conditionalFormatting sqref="A32:B32">
    <cfRule type="containsText" dxfId="920" priority="30" operator="containsText" text="SIN FACTURA">
      <formula>NOT(ISERROR(SEARCH("SIN FACTURA",A32)))</formula>
    </cfRule>
  </conditionalFormatting>
  <conditionalFormatting sqref="A34:B34">
    <cfRule type="containsText" dxfId="919" priority="29" operator="containsText" text="SIN FACTURA">
      <formula>NOT(ISERROR(SEARCH("SIN FACTURA",A34)))</formula>
    </cfRule>
  </conditionalFormatting>
  <conditionalFormatting sqref="A36:B36">
    <cfRule type="containsText" dxfId="918" priority="28" operator="containsText" text="SIN FACTURA">
      <formula>NOT(ISERROR(SEARCH("SIN FACTURA",A36)))</formula>
    </cfRule>
  </conditionalFormatting>
  <conditionalFormatting sqref="A38:B38">
    <cfRule type="containsText" dxfId="917" priority="27" operator="containsText" text="SIN FACTURA">
      <formula>NOT(ISERROR(SEARCH("SIN FACTURA",A38)))</formula>
    </cfRule>
  </conditionalFormatting>
  <conditionalFormatting sqref="A40:B40">
    <cfRule type="containsText" dxfId="916" priority="26" operator="containsText" text="SIN FACTURA">
      <formula>NOT(ISERROR(SEARCH("SIN FACTURA",A40)))</formula>
    </cfRule>
  </conditionalFormatting>
  <conditionalFormatting sqref="A42:B42">
    <cfRule type="containsText" dxfId="915" priority="25" operator="containsText" text="SIN FACTURA">
      <formula>NOT(ISERROR(SEARCH("SIN FACTURA",A42)))</formula>
    </cfRule>
  </conditionalFormatting>
  <conditionalFormatting sqref="A4:T5 J43:T43 J41:T41 J39:T39 J37:T37 J35:T35 J33:T33 J31:T31 J29:T29 J27:T27 J25:T25 J15:T23 J6:T13 I6:I43 A6:H13 A15:H23 A25:H25 A27:H27 A29:H29 A31:H31 A33:H33 A35:H35 A37:H37 A39:H39 A41:H41 A43:H43">
    <cfRule type="containsText" dxfId="914" priority="23" operator="containsText" text="SIN FACTURA">
      <formula>NOT(ISERROR(SEARCH("SIN FACTURA",A4)))</formula>
    </cfRule>
  </conditionalFormatting>
  <conditionalFormatting sqref="C14:H14 J14:V14">
    <cfRule type="containsText" dxfId="913" priority="22" operator="containsText" text="SIN FACTURA">
      <formula>NOT(ISERROR(SEARCH("SIN FACTURA",C14)))</formula>
    </cfRule>
  </conditionalFormatting>
  <conditionalFormatting sqref="C24:H24 J24:V24">
    <cfRule type="containsText" dxfId="912" priority="21" operator="containsText" text="SIN FACTURA">
      <formula>NOT(ISERROR(SEARCH("SIN FACTURA",C24)))</formula>
    </cfRule>
  </conditionalFormatting>
  <conditionalFormatting sqref="C26:H26 J26:V26">
    <cfRule type="containsText" dxfId="911" priority="20" operator="containsText" text="SIN FACTURA">
      <formula>NOT(ISERROR(SEARCH("SIN FACTURA",C26)))</formula>
    </cfRule>
  </conditionalFormatting>
  <conditionalFormatting sqref="C28:H28 J28:V28">
    <cfRule type="containsText" dxfId="910" priority="19" operator="containsText" text="SIN FACTURA">
      <formula>NOT(ISERROR(SEARCH("SIN FACTURA",C28)))</formula>
    </cfRule>
  </conditionalFormatting>
  <conditionalFormatting sqref="C30:H30 J30:V30">
    <cfRule type="containsText" dxfId="909" priority="18" operator="containsText" text="SIN FACTURA">
      <formula>NOT(ISERROR(SEARCH("SIN FACTURA",C30)))</formula>
    </cfRule>
  </conditionalFormatting>
  <conditionalFormatting sqref="C32:H32 J32:V32">
    <cfRule type="containsText" dxfId="908" priority="17" operator="containsText" text="SIN FACTURA">
      <formula>NOT(ISERROR(SEARCH("SIN FACTURA",C32)))</formula>
    </cfRule>
  </conditionalFormatting>
  <conditionalFormatting sqref="C34:H34 J34:V34">
    <cfRule type="containsText" dxfId="907" priority="16" operator="containsText" text="SIN FACTURA">
      <formula>NOT(ISERROR(SEARCH("SIN FACTURA",C34)))</formula>
    </cfRule>
  </conditionalFormatting>
  <conditionalFormatting sqref="C36:H36 J36:V36">
    <cfRule type="containsText" dxfId="906" priority="15" operator="containsText" text="SIN FACTURA">
      <formula>NOT(ISERROR(SEARCH("SIN FACTURA",C36)))</formula>
    </cfRule>
  </conditionalFormatting>
  <conditionalFormatting sqref="C38:H38 J38:V38">
    <cfRule type="containsText" dxfId="905" priority="14" operator="containsText" text="SIN FACTURA">
      <formula>NOT(ISERROR(SEARCH("SIN FACTURA",C38)))</formula>
    </cfRule>
  </conditionalFormatting>
  <conditionalFormatting sqref="C40:H40 J40:V40">
    <cfRule type="containsText" dxfId="904" priority="13" operator="containsText" text="SIN FACTURA">
      <formula>NOT(ISERROR(SEARCH("SIN FACTURA",C40)))</formula>
    </cfRule>
  </conditionalFormatting>
  <conditionalFormatting sqref="C42:H42 J42:V42">
    <cfRule type="containsText" dxfId="903" priority="12" operator="containsText" text="SIN FACTURA">
      <formula>NOT(ISERROR(SEARCH("SIN FACTURA",C42)))</formula>
    </cfRule>
  </conditionalFormatting>
  <conditionalFormatting sqref="A14:B14">
    <cfRule type="containsText" dxfId="902" priority="11" operator="containsText" text="SIN FACTURA">
      <formula>NOT(ISERROR(SEARCH("SIN FACTURA",A14)))</formula>
    </cfRule>
  </conditionalFormatting>
  <conditionalFormatting sqref="A24:B24">
    <cfRule type="containsText" dxfId="901" priority="10" operator="containsText" text="SIN FACTURA">
      <formula>NOT(ISERROR(SEARCH("SIN FACTURA",A24)))</formula>
    </cfRule>
  </conditionalFormatting>
  <conditionalFormatting sqref="A26:B26">
    <cfRule type="containsText" dxfId="900" priority="9" operator="containsText" text="SIN FACTURA">
      <formula>NOT(ISERROR(SEARCH("SIN FACTURA",A26)))</formula>
    </cfRule>
  </conditionalFormatting>
  <conditionalFormatting sqref="A28:B28">
    <cfRule type="containsText" dxfId="899" priority="8" operator="containsText" text="SIN FACTURA">
      <formula>NOT(ISERROR(SEARCH("SIN FACTURA",A28)))</formula>
    </cfRule>
  </conditionalFormatting>
  <conditionalFormatting sqref="A30:B30">
    <cfRule type="containsText" dxfId="898" priority="7" operator="containsText" text="SIN FACTURA">
      <formula>NOT(ISERROR(SEARCH("SIN FACTURA",A30)))</formula>
    </cfRule>
  </conditionalFormatting>
  <conditionalFormatting sqref="A32:B32">
    <cfRule type="containsText" dxfId="897" priority="6" operator="containsText" text="SIN FACTURA">
      <formula>NOT(ISERROR(SEARCH("SIN FACTURA",A32)))</formula>
    </cfRule>
  </conditionalFormatting>
  <conditionalFormatting sqref="A34:B34">
    <cfRule type="containsText" dxfId="896" priority="5" operator="containsText" text="SIN FACTURA">
      <formula>NOT(ISERROR(SEARCH("SIN FACTURA",A34)))</formula>
    </cfRule>
  </conditionalFormatting>
  <conditionalFormatting sqref="A36:B36">
    <cfRule type="containsText" dxfId="895" priority="4" operator="containsText" text="SIN FACTURA">
      <formula>NOT(ISERROR(SEARCH("SIN FACTURA",A36)))</formula>
    </cfRule>
  </conditionalFormatting>
  <conditionalFormatting sqref="A38:B38">
    <cfRule type="containsText" dxfId="894" priority="3" operator="containsText" text="SIN FACTURA">
      <formula>NOT(ISERROR(SEARCH("SIN FACTURA",A38)))</formula>
    </cfRule>
  </conditionalFormatting>
  <conditionalFormatting sqref="A40:B40">
    <cfRule type="containsText" dxfId="893" priority="2" operator="containsText" text="SIN FACTURA">
      <formula>NOT(ISERROR(SEARCH("SIN FACTURA",A40)))</formula>
    </cfRule>
  </conditionalFormatting>
  <conditionalFormatting sqref="A42:B42">
    <cfRule type="containsText" dxfId="892" priority="1" operator="containsText" text="SIN FACTURA">
      <formula>NOT(ISERROR(SEARCH("SIN FACTURA",A42)))</formula>
    </cfRule>
  </conditionalFormatting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>
  <sheetPr codeName="Hoja201"/>
  <dimension ref="A1:Y52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D14" sqref="D14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3.5" style="1" customWidth="1"/>
    <col min="6" max="6" width="10.62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24" t="s">
        <v>102</v>
      </c>
      <c r="B1" s="18" t="s">
        <v>98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>F5-G5-H5</f>
        <v>0</v>
      </c>
      <c r="J5" s="44">
        <f t="shared" ref="J5:J45" si="0">S5+T5</f>
        <v>0</v>
      </c>
      <c r="K5" s="44">
        <f t="shared" ref="K5:K45" si="1">I5-J5</f>
        <v>0</v>
      </c>
      <c r="L5" s="45"/>
      <c r="M5" s="40"/>
      <c r="N5" s="43">
        <f t="shared" ref="N5:N45" si="2">I5-J5-M5-R5</f>
        <v>0</v>
      </c>
      <c r="O5" s="43">
        <f t="shared" ref="O5:O45" si="3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ref="I7:I45" si="4">F7-G7-H7</f>
        <v>0</v>
      </c>
      <c r="J7" s="44">
        <f t="shared" si="0"/>
        <v>0</v>
      </c>
      <c r="K7" s="44">
        <f t="shared" si="1"/>
        <v>0</v>
      </c>
      <c r="L7" s="45"/>
      <c r="M7" s="40"/>
      <c r="N7" s="43">
        <f t="shared" si="2"/>
        <v>0</v>
      </c>
      <c r="O7" s="43">
        <f t="shared" si="3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4"/>
        <v>0</v>
      </c>
      <c r="J9" s="44">
        <f t="shared" si="0"/>
        <v>0</v>
      </c>
      <c r="K9" s="44">
        <f t="shared" si="1"/>
        <v>0</v>
      </c>
      <c r="L9" s="45"/>
      <c r="M9" s="40"/>
      <c r="N9" s="43">
        <f t="shared" si="2"/>
        <v>0</v>
      </c>
      <c r="O9" s="43">
        <f t="shared" si="3"/>
        <v>0</v>
      </c>
      <c r="P9" s="46"/>
      <c r="Q9" s="40"/>
      <c r="R9" s="43"/>
      <c r="S9" s="43"/>
      <c r="T9" s="49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4"/>
        <v>0</v>
      </c>
      <c r="J11" s="44">
        <f>S11+T11</f>
        <v>0</v>
      </c>
      <c r="K11" s="44">
        <f>I11-J11</f>
        <v>0</v>
      </c>
      <c r="L11" s="45"/>
      <c r="M11" s="40"/>
      <c r="N11" s="43">
        <f t="shared" si="2"/>
        <v>0</v>
      </c>
      <c r="O11" s="43">
        <f t="shared" si="3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4"/>
        <v>0</v>
      </c>
      <c r="J13" s="44">
        <f t="shared" si="0"/>
        <v>0</v>
      </c>
      <c r="K13" s="44">
        <f t="shared" si="1"/>
        <v>0</v>
      </c>
      <c r="L13" s="45"/>
      <c r="M13" s="40"/>
      <c r="N13" s="43">
        <f t="shared" si="2"/>
        <v>0</v>
      </c>
      <c r="O13" s="43">
        <f t="shared" si="3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4"/>
        <v>0</v>
      </c>
      <c r="J15" s="44">
        <f t="shared" si="0"/>
        <v>0</v>
      </c>
      <c r="K15" s="44">
        <f t="shared" si="1"/>
        <v>0</v>
      </c>
      <c r="L15" s="45"/>
      <c r="M15" s="40"/>
      <c r="N15" s="43">
        <f t="shared" si="2"/>
        <v>0</v>
      </c>
      <c r="O15" s="43">
        <f t="shared" si="3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4"/>
        <v>0</v>
      </c>
      <c r="J17" s="44">
        <f t="shared" si="0"/>
        <v>0</v>
      </c>
      <c r="K17" s="44">
        <f t="shared" si="1"/>
        <v>0</v>
      </c>
      <c r="L17" s="45"/>
      <c r="M17" s="40"/>
      <c r="N17" s="43">
        <f t="shared" si="2"/>
        <v>0</v>
      </c>
      <c r="O17" s="43">
        <f t="shared" si="3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4"/>
        <v>0</v>
      </c>
      <c r="J19" s="44">
        <f>S19+T19</f>
        <v>0</v>
      </c>
      <c r="K19" s="44">
        <f t="shared" si="1"/>
        <v>0</v>
      </c>
      <c r="L19" s="45"/>
      <c r="M19" s="40"/>
      <c r="N19" s="43">
        <f>I19-J19-M19-R19</f>
        <v>0</v>
      </c>
      <c r="O19" s="43">
        <f>R19+S19+T19</f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4"/>
        <v>0</v>
      </c>
      <c r="J21" s="44">
        <f t="shared" si="0"/>
        <v>0</v>
      </c>
      <c r="K21" s="44">
        <f t="shared" si="1"/>
        <v>0</v>
      </c>
      <c r="L21" s="45"/>
      <c r="M21" s="40"/>
      <c r="N21" s="43">
        <f t="shared" si="2"/>
        <v>0</v>
      </c>
      <c r="O21" s="43">
        <f t="shared" si="3"/>
        <v>0</v>
      </c>
      <c r="P21" s="46"/>
      <c r="Q21" s="40"/>
      <c r="R21" s="47"/>
      <c r="S21" s="47"/>
      <c r="T21" s="48"/>
    </row>
    <row r="22" spans="1:22" ht="15">
      <c r="A22" s="32"/>
      <c r="B22" s="33"/>
      <c r="C22" s="34"/>
      <c r="D22" s="32"/>
      <c r="E22" s="32"/>
      <c r="F22" s="32"/>
      <c r="G22" s="37"/>
      <c r="H22" s="37"/>
      <c r="I22" s="37"/>
      <c r="J22" s="35"/>
      <c r="K22" s="35"/>
      <c r="L22" s="36"/>
      <c r="M22" s="32"/>
      <c r="N22" s="37"/>
      <c r="O22" s="37"/>
      <c r="P22" s="38"/>
      <c r="Q22" s="32"/>
      <c r="R22" s="32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4"/>
        <v>0</v>
      </c>
      <c r="J23" s="44">
        <f t="shared" si="0"/>
        <v>0</v>
      </c>
      <c r="K23" s="44">
        <f t="shared" si="1"/>
        <v>0</v>
      </c>
      <c r="L23" s="45"/>
      <c r="M23" s="40"/>
      <c r="N23" s="43">
        <f t="shared" si="2"/>
        <v>0</v>
      </c>
      <c r="O23" s="43">
        <f t="shared" si="3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4"/>
        <v>0</v>
      </c>
      <c r="J25" s="44">
        <f t="shared" si="0"/>
        <v>0</v>
      </c>
      <c r="K25" s="44">
        <f t="shared" si="1"/>
        <v>0</v>
      </c>
      <c r="L25" s="45"/>
      <c r="M25" s="40"/>
      <c r="N25" s="43">
        <f t="shared" si="2"/>
        <v>0</v>
      </c>
      <c r="O25" s="43">
        <f t="shared" si="3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4"/>
        <v>0</v>
      </c>
      <c r="J27" s="44">
        <f t="shared" si="0"/>
        <v>0</v>
      </c>
      <c r="K27" s="44">
        <f t="shared" si="1"/>
        <v>0</v>
      </c>
      <c r="L27" s="45"/>
      <c r="M27" s="40"/>
      <c r="N27" s="43">
        <f t="shared" si="2"/>
        <v>0</v>
      </c>
      <c r="O27" s="43">
        <f t="shared" si="3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4"/>
        <v>0</v>
      </c>
      <c r="J29" s="44">
        <f t="shared" si="0"/>
        <v>0</v>
      </c>
      <c r="K29" s="44">
        <f t="shared" si="1"/>
        <v>0</v>
      </c>
      <c r="L29" s="45"/>
      <c r="M29" s="40"/>
      <c r="N29" s="43">
        <f t="shared" si="2"/>
        <v>0</v>
      </c>
      <c r="O29" s="43">
        <f t="shared" si="3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4"/>
        <v>0</v>
      </c>
      <c r="J31" s="44">
        <f t="shared" si="0"/>
        <v>0</v>
      </c>
      <c r="K31" s="44">
        <f t="shared" si="1"/>
        <v>0</v>
      </c>
      <c r="L31" s="45"/>
      <c r="M31" s="40"/>
      <c r="N31" s="43">
        <f t="shared" si="2"/>
        <v>0</v>
      </c>
      <c r="O31" s="43">
        <f t="shared" si="3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4"/>
        <v>0</v>
      </c>
      <c r="J33" s="44">
        <f t="shared" si="0"/>
        <v>0</v>
      </c>
      <c r="K33" s="44">
        <f t="shared" si="1"/>
        <v>0</v>
      </c>
      <c r="L33" s="45"/>
      <c r="M33" s="40"/>
      <c r="N33" s="43">
        <f t="shared" si="2"/>
        <v>0</v>
      </c>
      <c r="O33" s="43">
        <f t="shared" si="3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4"/>
        <v>0</v>
      </c>
      <c r="J35" s="44">
        <f t="shared" si="0"/>
        <v>0</v>
      </c>
      <c r="K35" s="44">
        <f t="shared" si="1"/>
        <v>0</v>
      </c>
      <c r="L35" s="45"/>
      <c r="M35" s="40"/>
      <c r="N35" s="43">
        <f t="shared" si="2"/>
        <v>0</v>
      </c>
      <c r="O35" s="43">
        <f t="shared" si="3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4"/>
        <v>0</v>
      </c>
      <c r="J37" s="44">
        <f t="shared" si="0"/>
        <v>0</v>
      </c>
      <c r="K37" s="44">
        <f t="shared" si="1"/>
        <v>0</v>
      </c>
      <c r="L37" s="45"/>
      <c r="M37" s="40"/>
      <c r="N37" s="43">
        <f t="shared" si="2"/>
        <v>0</v>
      </c>
      <c r="O37" s="43">
        <f t="shared" si="3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4"/>
        <v>0</v>
      </c>
      <c r="J39" s="44">
        <f t="shared" si="0"/>
        <v>0</v>
      </c>
      <c r="K39" s="44">
        <f t="shared" si="1"/>
        <v>0</v>
      </c>
      <c r="L39" s="45"/>
      <c r="M39" s="40"/>
      <c r="N39" s="43">
        <f t="shared" si="2"/>
        <v>0</v>
      </c>
      <c r="O39" s="43">
        <f t="shared" si="3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4"/>
        <v>0</v>
      </c>
      <c r="J41" s="44">
        <f t="shared" si="0"/>
        <v>0</v>
      </c>
      <c r="K41" s="44">
        <f t="shared" si="1"/>
        <v>0</v>
      </c>
      <c r="L41" s="45"/>
      <c r="M41" s="40"/>
      <c r="N41" s="43">
        <f t="shared" si="2"/>
        <v>0</v>
      </c>
      <c r="O41" s="43">
        <f t="shared" si="3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40"/>
      <c r="B43" s="41"/>
      <c r="C43" s="42"/>
      <c r="D43" s="40"/>
      <c r="E43" s="40"/>
      <c r="F43" s="40"/>
      <c r="G43" s="43">
        <f>F43*6%</f>
        <v>0</v>
      </c>
      <c r="H43" s="43"/>
      <c r="I43" s="44">
        <f t="shared" si="4"/>
        <v>0</v>
      </c>
      <c r="J43" s="44">
        <f t="shared" si="0"/>
        <v>0</v>
      </c>
      <c r="K43" s="44">
        <f t="shared" si="1"/>
        <v>0</v>
      </c>
      <c r="L43" s="45"/>
      <c r="M43" s="40"/>
      <c r="N43" s="43">
        <f t="shared" si="2"/>
        <v>0</v>
      </c>
      <c r="O43" s="43">
        <f t="shared" si="3"/>
        <v>0</v>
      </c>
      <c r="P43" s="46"/>
      <c r="Q43" s="40"/>
      <c r="R43" s="40"/>
      <c r="S43" s="40"/>
      <c r="T43" s="5"/>
    </row>
    <row r="44" spans="1:22" ht="15">
      <c r="A44" s="32"/>
      <c r="B44" s="33"/>
      <c r="C44" s="32"/>
      <c r="D44" s="33"/>
      <c r="E44" s="34"/>
      <c r="F44" s="32"/>
      <c r="G44" s="32"/>
      <c r="H44" s="32"/>
      <c r="I44" s="37"/>
      <c r="J44" s="37"/>
      <c r="K44" s="35"/>
      <c r="L44" s="35"/>
      <c r="M44" s="35"/>
      <c r="N44" s="36"/>
      <c r="O44" s="32"/>
      <c r="P44" s="37"/>
      <c r="Q44" s="37"/>
      <c r="R44" s="38"/>
      <c r="S44" s="32"/>
      <c r="T44" s="39"/>
      <c r="U44" s="6"/>
      <c r="V44" s="6"/>
    </row>
    <row r="45" spans="1:22" ht="15">
      <c r="A45" s="40"/>
      <c r="B45" s="41"/>
      <c r="C45" s="42"/>
      <c r="D45" s="40"/>
      <c r="E45" s="40"/>
      <c r="F45" s="40"/>
      <c r="G45" s="43">
        <f>F45*6%</f>
        <v>0</v>
      </c>
      <c r="H45" s="43"/>
      <c r="I45" s="44">
        <f t="shared" si="4"/>
        <v>0</v>
      </c>
      <c r="J45" s="44">
        <f t="shared" si="0"/>
        <v>0</v>
      </c>
      <c r="K45" s="44">
        <f t="shared" si="1"/>
        <v>0</v>
      </c>
      <c r="L45" s="45"/>
      <c r="M45" s="40"/>
      <c r="N45" s="43">
        <f t="shared" si="2"/>
        <v>0</v>
      </c>
      <c r="O45" s="43">
        <f t="shared" si="3"/>
        <v>0</v>
      </c>
      <c r="P45" s="46"/>
      <c r="Q45" s="40"/>
      <c r="R45" s="40"/>
      <c r="S45" s="40"/>
      <c r="T45" s="5"/>
    </row>
    <row r="46" spans="1:22" ht="15">
      <c r="A46" s="58"/>
      <c r="B46" s="59"/>
      <c r="C46" s="60"/>
      <c r="D46" s="58"/>
      <c r="E46" s="58"/>
      <c r="F46" s="58"/>
      <c r="G46" s="58"/>
      <c r="H46" s="58"/>
      <c r="I46" s="61">
        <f t="shared" ref="I46:I52" si="5">F46-G46</f>
        <v>0</v>
      </c>
      <c r="J46" s="61">
        <f t="shared" ref="J46:J52" si="6">S46+T46</f>
        <v>0</v>
      </c>
      <c r="K46" s="61">
        <f t="shared" ref="K46:K52" si="7">I46-J46</f>
        <v>0</v>
      </c>
      <c r="L46" s="62"/>
      <c r="M46" s="58"/>
      <c r="N46" s="63">
        <f t="shared" ref="N46:N52" si="8">I46-J46-M46-R46</f>
        <v>0</v>
      </c>
      <c r="O46" s="63">
        <f t="shared" ref="O46:O52" si="9">R46+S46+T46</f>
        <v>0</v>
      </c>
      <c r="P46" s="64"/>
      <c r="Q46" s="58"/>
      <c r="R46" s="58"/>
      <c r="S46" s="58"/>
      <c r="T46" s="68"/>
    </row>
    <row r="47" spans="1:22" ht="15">
      <c r="A47" s="40"/>
      <c r="B47" s="41"/>
      <c r="C47" s="42"/>
      <c r="D47" s="40"/>
      <c r="E47" s="40"/>
      <c r="F47" s="40"/>
      <c r="G47" s="40"/>
      <c r="H47" s="40"/>
      <c r="I47" s="44">
        <f t="shared" si="5"/>
        <v>0</v>
      </c>
      <c r="J47" s="44">
        <f t="shared" si="6"/>
        <v>0</v>
      </c>
      <c r="K47" s="44">
        <f t="shared" si="7"/>
        <v>0</v>
      </c>
      <c r="L47" s="45"/>
      <c r="M47" s="40"/>
      <c r="N47" s="43">
        <f t="shared" si="8"/>
        <v>0</v>
      </c>
      <c r="O47" s="43">
        <f t="shared" si="9"/>
        <v>0</v>
      </c>
      <c r="P47" s="46"/>
      <c r="Q47" s="40"/>
      <c r="R47" s="40"/>
      <c r="S47" s="40"/>
      <c r="T47" s="5"/>
    </row>
    <row r="48" spans="1:22" ht="15">
      <c r="A48" s="58"/>
      <c r="B48" s="59"/>
      <c r="C48" s="60"/>
      <c r="D48" s="58"/>
      <c r="E48" s="58"/>
      <c r="F48" s="58"/>
      <c r="G48" s="58"/>
      <c r="H48" s="58"/>
      <c r="I48" s="61">
        <f t="shared" si="5"/>
        <v>0</v>
      </c>
      <c r="J48" s="61">
        <f t="shared" si="6"/>
        <v>0</v>
      </c>
      <c r="K48" s="61">
        <f t="shared" si="7"/>
        <v>0</v>
      </c>
      <c r="L48" s="62"/>
      <c r="M48" s="58"/>
      <c r="N48" s="63">
        <f t="shared" si="8"/>
        <v>0</v>
      </c>
      <c r="O48" s="63">
        <f t="shared" si="9"/>
        <v>0</v>
      </c>
      <c r="P48" s="64"/>
      <c r="Q48" s="58"/>
      <c r="R48" s="58"/>
      <c r="S48" s="58"/>
      <c r="T48" s="68"/>
    </row>
    <row r="49" spans="1:20" ht="15">
      <c r="A49" s="40"/>
      <c r="B49" s="41"/>
      <c r="C49" s="42"/>
      <c r="D49" s="40"/>
      <c r="E49" s="40"/>
      <c r="F49" s="40"/>
      <c r="G49" s="40"/>
      <c r="H49" s="40"/>
      <c r="I49" s="44">
        <f t="shared" si="5"/>
        <v>0</v>
      </c>
      <c r="J49" s="44">
        <f t="shared" si="6"/>
        <v>0</v>
      </c>
      <c r="K49" s="44">
        <f t="shared" si="7"/>
        <v>0</v>
      </c>
      <c r="L49" s="45"/>
      <c r="M49" s="40"/>
      <c r="N49" s="43">
        <f t="shared" si="8"/>
        <v>0</v>
      </c>
      <c r="O49" s="43">
        <f t="shared" si="9"/>
        <v>0</v>
      </c>
      <c r="P49" s="46"/>
      <c r="Q49" s="40"/>
      <c r="R49" s="40"/>
      <c r="S49" s="40"/>
      <c r="T49" s="5"/>
    </row>
    <row r="50" spans="1:20" ht="15">
      <c r="A50" s="58"/>
      <c r="B50" s="59"/>
      <c r="C50" s="60"/>
      <c r="D50" s="58"/>
      <c r="E50" s="58"/>
      <c r="F50" s="58"/>
      <c r="G50" s="58"/>
      <c r="H50" s="58"/>
      <c r="I50" s="61">
        <f t="shared" si="5"/>
        <v>0</v>
      </c>
      <c r="J50" s="61">
        <f t="shared" si="6"/>
        <v>0</v>
      </c>
      <c r="K50" s="61">
        <f t="shared" si="7"/>
        <v>0</v>
      </c>
      <c r="L50" s="62"/>
      <c r="M50" s="58"/>
      <c r="N50" s="63">
        <f t="shared" si="8"/>
        <v>0</v>
      </c>
      <c r="O50" s="63">
        <f t="shared" si="9"/>
        <v>0</v>
      </c>
      <c r="P50" s="64"/>
      <c r="Q50" s="58"/>
      <c r="R50" s="58"/>
      <c r="S50" s="58"/>
      <c r="T50" s="68"/>
    </row>
    <row r="51" spans="1:20" ht="15">
      <c r="A51" s="40"/>
      <c r="B51" s="41"/>
      <c r="C51" s="42"/>
      <c r="D51" s="40"/>
      <c r="E51" s="40"/>
      <c r="F51" s="40"/>
      <c r="G51" s="40"/>
      <c r="H51" s="40"/>
      <c r="I51" s="44">
        <f t="shared" si="5"/>
        <v>0</v>
      </c>
      <c r="J51" s="44">
        <f t="shared" si="6"/>
        <v>0</v>
      </c>
      <c r="K51" s="44">
        <f t="shared" si="7"/>
        <v>0</v>
      </c>
      <c r="L51" s="45"/>
      <c r="M51" s="40"/>
      <c r="N51" s="43">
        <f t="shared" si="8"/>
        <v>0</v>
      </c>
      <c r="O51" s="43">
        <f t="shared" si="9"/>
        <v>0</v>
      </c>
      <c r="P51" s="46"/>
      <c r="Q51" s="40"/>
      <c r="R51" s="40"/>
      <c r="S51" s="40"/>
      <c r="T51" s="5"/>
    </row>
    <row r="52" spans="1:20" ht="15">
      <c r="A52" s="69"/>
      <c r="B52" s="70"/>
      <c r="C52" s="71"/>
      <c r="D52" s="69"/>
      <c r="E52" s="69"/>
      <c r="F52" s="69"/>
      <c r="G52" s="69"/>
      <c r="H52" s="69"/>
      <c r="I52" s="72">
        <f t="shared" si="5"/>
        <v>0</v>
      </c>
      <c r="J52" s="72">
        <f t="shared" si="6"/>
        <v>0</v>
      </c>
      <c r="K52" s="72">
        <f t="shared" si="7"/>
        <v>0</v>
      </c>
      <c r="L52" s="73"/>
      <c r="M52" s="69"/>
      <c r="N52" s="74">
        <f t="shared" si="8"/>
        <v>0</v>
      </c>
      <c r="O52" s="74">
        <f t="shared" si="9"/>
        <v>0</v>
      </c>
      <c r="P52" s="75"/>
      <c r="Q52" s="69"/>
      <c r="R52" s="69"/>
      <c r="S52" s="69"/>
      <c r="T52" s="76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451" priority="27" operator="containsText" text="SIN FACTURA ">
      <formula>NOT(ISERROR(SEARCH("SIN FACTURA ",A2)))</formula>
    </cfRule>
  </conditionalFormatting>
  <conditionalFormatting sqref="A46:T52">
    <cfRule type="containsText" dxfId="1450" priority="26" operator="containsText" text="SIN FACTURA">
      <formula>NOT(ISERROR(SEARCH("SIN FACTURA",A46)))</formula>
    </cfRule>
  </conditionalFormatting>
  <conditionalFormatting sqref="A4:T5 J45:T45 J43:T43 J41:T41 J39:T39 J37:T37 J35:T35 J33:T33 J31:T31 J29:T29 J27:T27 J25:T25 J15:T23 J6:T13 I6:I45 A6:H13 A15:H23 A25:H25 A27:H27 A29:H29 A31:H31 A33:H33 A35:H35 A37:H37 A39:H39 A41:H41 A43:H43 A45:H45">
    <cfRule type="containsText" dxfId="1449" priority="25" operator="containsText" text="SIN FACTURA">
      <formula>NOT(ISERROR(SEARCH("SIN FACTURA",A4)))</formula>
    </cfRule>
  </conditionalFormatting>
  <conditionalFormatting sqref="C14:H14 J14:V14">
    <cfRule type="containsText" dxfId="1448" priority="24" operator="containsText" text="SIN FACTURA">
      <formula>NOT(ISERROR(SEARCH("SIN FACTURA",C14)))</formula>
    </cfRule>
  </conditionalFormatting>
  <conditionalFormatting sqref="C24:H24 J24:V24">
    <cfRule type="containsText" dxfId="1447" priority="23" operator="containsText" text="SIN FACTURA">
      <formula>NOT(ISERROR(SEARCH("SIN FACTURA",C24)))</formula>
    </cfRule>
  </conditionalFormatting>
  <conditionalFormatting sqref="C26:H26 J26:V26">
    <cfRule type="containsText" dxfId="1446" priority="22" operator="containsText" text="SIN FACTURA">
      <formula>NOT(ISERROR(SEARCH("SIN FACTURA",C26)))</formula>
    </cfRule>
  </conditionalFormatting>
  <conditionalFormatting sqref="C28:H28 J28:V28">
    <cfRule type="containsText" dxfId="1445" priority="21" operator="containsText" text="SIN FACTURA">
      <formula>NOT(ISERROR(SEARCH("SIN FACTURA",C28)))</formula>
    </cfRule>
  </conditionalFormatting>
  <conditionalFormatting sqref="C30:H30 J30:V30">
    <cfRule type="containsText" dxfId="1444" priority="20" operator="containsText" text="SIN FACTURA">
      <formula>NOT(ISERROR(SEARCH("SIN FACTURA",C30)))</formula>
    </cfRule>
  </conditionalFormatting>
  <conditionalFormatting sqref="C32:H32 J32:V32">
    <cfRule type="containsText" dxfId="1443" priority="19" operator="containsText" text="SIN FACTURA">
      <formula>NOT(ISERROR(SEARCH("SIN FACTURA",C32)))</formula>
    </cfRule>
  </conditionalFormatting>
  <conditionalFormatting sqref="C34:H34 J34:V34">
    <cfRule type="containsText" dxfId="1442" priority="18" operator="containsText" text="SIN FACTURA">
      <formula>NOT(ISERROR(SEARCH("SIN FACTURA",C34)))</formula>
    </cfRule>
  </conditionalFormatting>
  <conditionalFormatting sqref="C36:H36 J36:V36">
    <cfRule type="containsText" dxfId="1441" priority="17" operator="containsText" text="SIN FACTURA">
      <formula>NOT(ISERROR(SEARCH("SIN FACTURA",C36)))</formula>
    </cfRule>
  </conditionalFormatting>
  <conditionalFormatting sqref="C38:H38 J38:V38">
    <cfRule type="containsText" dxfId="1440" priority="16" operator="containsText" text="SIN FACTURA">
      <formula>NOT(ISERROR(SEARCH("SIN FACTURA",C38)))</formula>
    </cfRule>
  </conditionalFormatting>
  <conditionalFormatting sqref="C40:H40 J40:V40">
    <cfRule type="containsText" dxfId="1439" priority="15" operator="containsText" text="SIN FACTURA">
      <formula>NOT(ISERROR(SEARCH("SIN FACTURA",C40)))</formula>
    </cfRule>
  </conditionalFormatting>
  <conditionalFormatting sqref="C42:H42 J42:V42">
    <cfRule type="containsText" dxfId="1438" priority="14" operator="containsText" text="SIN FACTURA">
      <formula>NOT(ISERROR(SEARCH("SIN FACTURA",C42)))</formula>
    </cfRule>
  </conditionalFormatting>
  <conditionalFormatting sqref="C44:H44 J44:V44">
    <cfRule type="containsText" dxfId="1437" priority="13" operator="containsText" text="SIN FACTURA">
      <formula>NOT(ISERROR(SEARCH("SIN FACTURA",C44)))</formula>
    </cfRule>
  </conditionalFormatting>
  <conditionalFormatting sqref="A14:B14">
    <cfRule type="containsText" dxfId="1436" priority="12" operator="containsText" text="SIN FACTURA">
      <formula>NOT(ISERROR(SEARCH("SIN FACTURA",A14)))</formula>
    </cfRule>
  </conditionalFormatting>
  <conditionalFormatting sqref="A24:B24">
    <cfRule type="containsText" dxfId="1435" priority="11" operator="containsText" text="SIN FACTURA">
      <formula>NOT(ISERROR(SEARCH("SIN FACTURA",A24)))</formula>
    </cfRule>
  </conditionalFormatting>
  <conditionalFormatting sqref="A26:B26">
    <cfRule type="containsText" dxfId="1434" priority="10" operator="containsText" text="SIN FACTURA">
      <formula>NOT(ISERROR(SEARCH("SIN FACTURA",A26)))</formula>
    </cfRule>
  </conditionalFormatting>
  <conditionalFormatting sqref="A28:B28">
    <cfRule type="containsText" dxfId="1433" priority="9" operator="containsText" text="SIN FACTURA">
      <formula>NOT(ISERROR(SEARCH("SIN FACTURA",A28)))</formula>
    </cfRule>
  </conditionalFormatting>
  <conditionalFormatting sqref="A30:B30">
    <cfRule type="containsText" dxfId="1432" priority="8" operator="containsText" text="SIN FACTURA">
      <formula>NOT(ISERROR(SEARCH("SIN FACTURA",A30)))</formula>
    </cfRule>
  </conditionalFormatting>
  <conditionalFormatting sqref="A32:B32">
    <cfRule type="containsText" dxfId="1431" priority="7" operator="containsText" text="SIN FACTURA">
      <formula>NOT(ISERROR(SEARCH("SIN FACTURA",A32)))</formula>
    </cfRule>
  </conditionalFormatting>
  <conditionalFormatting sqref="A44:B44">
    <cfRule type="containsText" dxfId="1430" priority="1" operator="containsText" text="SIN FACTURA">
      <formula>NOT(ISERROR(SEARCH("SIN FACTURA",A44)))</formula>
    </cfRule>
  </conditionalFormatting>
  <conditionalFormatting sqref="A34:B34">
    <cfRule type="containsText" dxfId="1429" priority="6" operator="containsText" text="SIN FACTURA">
      <formula>NOT(ISERROR(SEARCH("SIN FACTURA",A34)))</formula>
    </cfRule>
  </conditionalFormatting>
  <conditionalFormatting sqref="A36:B36">
    <cfRule type="containsText" dxfId="1428" priority="5" operator="containsText" text="SIN FACTURA">
      <formula>NOT(ISERROR(SEARCH("SIN FACTURA",A36)))</formula>
    </cfRule>
  </conditionalFormatting>
  <conditionalFormatting sqref="A38:B38">
    <cfRule type="containsText" dxfId="1427" priority="4" operator="containsText" text="SIN FACTURA">
      <formula>NOT(ISERROR(SEARCH("SIN FACTURA",A38)))</formula>
    </cfRule>
  </conditionalFormatting>
  <conditionalFormatting sqref="A40:B40">
    <cfRule type="containsText" dxfId="1426" priority="3" operator="containsText" text="SIN FACTURA">
      <formula>NOT(ISERROR(SEARCH("SIN FACTURA",A40)))</formula>
    </cfRule>
  </conditionalFormatting>
  <conditionalFormatting sqref="A42:B42">
    <cfRule type="containsText" dxfId="1425" priority="2" operator="containsText" text="SIN FACTURA">
      <formula>NOT(ISERROR(SEARCH("SIN FACTURA",A42)))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139.xml><?xml version="1.0" encoding="utf-8"?>
<worksheet xmlns="http://schemas.openxmlformats.org/spreadsheetml/2006/main" xmlns:r="http://schemas.openxmlformats.org/officeDocument/2006/relationships">
  <sheetPr codeName="Hoja64"/>
  <dimension ref="A1:Y44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96</v>
      </c>
      <c r="B1" s="18" t="s">
        <v>45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40"/>
      <c r="B43" s="41"/>
      <c r="C43" s="42"/>
      <c r="D43" s="40"/>
      <c r="E43" s="40"/>
      <c r="F43" s="40"/>
      <c r="G43" s="43">
        <f>F43*6%</f>
        <v>0</v>
      </c>
      <c r="H43" s="43"/>
      <c r="I43" s="44">
        <f t="shared" si="0"/>
        <v>0</v>
      </c>
      <c r="J43" s="44">
        <f t="shared" si="1"/>
        <v>0</v>
      </c>
      <c r="K43" s="44">
        <f t="shared" si="2"/>
        <v>0</v>
      </c>
      <c r="L43" s="45"/>
      <c r="M43" s="40"/>
      <c r="N43" s="43">
        <f t="shared" si="3"/>
        <v>0</v>
      </c>
      <c r="O43" s="43">
        <f t="shared" si="4"/>
        <v>0</v>
      </c>
      <c r="P43" s="46"/>
      <c r="Q43" s="40"/>
      <c r="R43" s="40"/>
      <c r="S43" s="40"/>
      <c r="T43" s="5"/>
    </row>
    <row r="44" spans="1:22" ht="15">
      <c r="A44" s="69"/>
      <c r="B44" s="70"/>
      <c r="C44" s="71"/>
      <c r="D44" s="69"/>
      <c r="E44" s="69"/>
      <c r="F44" s="69"/>
      <c r="G44" s="69"/>
      <c r="H44" s="69"/>
      <c r="I44" s="72">
        <f t="shared" ref="I44" si="5">F44-G44</f>
        <v>0</v>
      </c>
      <c r="J44" s="72">
        <f t="shared" ref="J44" si="6">S44+T44</f>
        <v>0</v>
      </c>
      <c r="K44" s="72">
        <f t="shared" ref="K44" si="7">I44-J44</f>
        <v>0</v>
      </c>
      <c r="L44" s="73"/>
      <c r="M44" s="69"/>
      <c r="N44" s="74">
        <f t="shared" ref="N44" si="8">I44-J44-M44-R44</f>
        <v>0</v>
      </c>
      <c r="O44" s="74">
        <f t="shared" ref="O44" si="9">R44+S44+T44</f>
        <v>0</v>
      </c>
      <c r="P44" s="75"/>
      <c r="Q44" s="69"/>
      <c r="R44" s="69"/>
      <c r="S44" s="69"/>
      <c r="T44" s="76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891" priority="27" operator="containsText" text="SIN FACTURA ">
      <formula>NOT(ISERROR(SEARCH("SIN FACTURA ",A2)))</formula>
    </cfRule>
  </conditionalFormatting>
  <conditionalFormatting sqref="A44:T44 A4:T4 J5:T11 I5:I43 A5:H11">
    <cfRule type="containsText" dxfId="890" priority="26" operator="containsText" text="SIN FACTURA">
      <formula>NOT(ISERROR(SEARCH("SIN FACTURA",A4)))</formula>
    </cfRule>
  </conditionalFormatting>
  <conditionalFormatting sqref="J43:T43 J41:T41 J39:T39 J37:T37 J35:T35 J33:T33 J31:T31 J29:T29 J27:T27 J25:T25 J23:T23 J13:T21 A13:H21 A23:H23 A25:H25 A27:H27 A29:H29 A31:H31 A33:H33 A35:H35 A37:H37 A39:H39 A41:H41 A43:H43">
    <cfRule type="containsText" dxfId="889" priority="25" operator="containsText" text="SIN FACTURA">
      <formula>NOT(ISERROR(SEARCH("SIN FACTURA",A13)))</formula>
    </cfRule>
  </conditionalFormatting>
  <conditionalFormatting sqref="C12:H12 J12:V12">
    <cfRule type="containsText" dxfId="888" priority="24" operator="containsText" text="SIN FACTURA">
      <formula>NOT(ISERROR(SEARCH("SIN FACTURA",C12)))</formula>
    </cfRule>
  </conditionalFormatting>
  <conditionalFormatting sqref="C22:H22 J22:V22">
    <cfRule type="containsText" dxfId="887" priority="23" operator="containsText" text="SIN FACTURA">
      <formula>NOT(ISERROR(SEARCH("SIN FACTURA",C22)))</formula>
    </cfRule>
  </conditionalFormatting>
  <conditionalFormatting sqref="C24:H24 J24:V24">
    <cfRule type="containsText" dxfId="886" priority="22" operator="containsText" text="SIN FACTURA">
      <formula>NOT(ISERROR(SEARCH("SIN FACTURA",C24)))</formula>
    </cfRule>
  </conditionalFormatting>
  <conditionalFormatting sqref="C26:H26 J26:V26">
    <cfRule type="containsText" dxfId="885" priority="21" operator="containsText" text="SIN FACTURA">
      <formula>NOT(ISERROR(SEARCH("SIN FACTURA",C26)))</formula>
    </cfRule>
  </conditionalFormatting>
  <conditionalFormatting sqref="C28:H28 J28:V28">
    <cfRule type="containsText" dxfId="884" priority="20" operator="containsText" text="SIN FACTURA">
      <formula>NOT(ISERROR(SEARCH("SIN FACTURA",C28)))</formula>
    </cfRule>
  </conditionalFormatting>
  <conditionalFormatting sqref="C30:H30 J30:V30">
    <cfRule type="containsText" dxfId="883" priority="19" operator="containsText" text="SIN FACTURA">
      <formula>NOT(ISERROR(SEARCH("SIN FACTURA",C30)))</formula>
    </cfRule>
  </conditionalFormatting>
  <conditionalFormatting sqref="C32:H32 J32:V32">
    <cfRule type="containsText" dxfId="882" priority="18" operator="containsText" text="SIN FACTURA">
      <formula>NOT(ISERROR(SEARCH("SIN FACTURA",C32)))</formula>
    </cfRule>
  </conditionalFormatting>
  <conditionalFormatting sqref="C34:H34 J34:V34">
    <cfRule type="containsText" dxfId="881" priority="17" operator="containsText" text="SIN FACTURA">
      <formula>NOT(ISERROR(SEARCH("SIN FACTURA",C34)))</formula>
    </cfRule>
  </conditionalFormatting>
  <conditionalFormatting sqref="C36:H36 J36:V36">
    <cfRule type="containsText" dxfId="880" priority="16" operator="containsText" text="SIN FACTURA">
      <formula>NOT(ISERROR(SEARCH("SIN FACTURA",C36)))</formula>
    </cfRule>
  </conditionalFormatting>
  <conditionalFormatting sqref="C38:H38 J38:V38">
    <cfRule type="containsText" dxfId="879" priority="15" operator="containsText" text="SIN FACTURA">
      <formula>NOT(ISERROR(SEARCH("SIN FACTURA",C38)))</formula>
    </cfRule>
  </conditionalFormatting>
  <conditionalFormatting sqref="C40:H40 J40:V40">
    <cfRule type="containsText" dxfId="878" priority="14" operator="containsText" text="SIN FACTURA">
      <formula>NOT(ISERROR(SEARCH("SIN FACTURA",C40)))</formula>
    </cfRule>
  </conditionalFormatting>
  <conditionalFormatting sqref="C42:H42 J42:V42">
    <cfRule type="containsText" dxfId="877" priority="13" operator="containsText" text="SIN FACTURA">
      <formula>NOT(ISERROR(SEARCH("SIN FACTURA",C42)))</formula>
    </cfRule>
  </conditionalFormatting>
  <conditionalFormatting sqref="A12:B12">
    <cfRule type="containsText" dxfId="876" priority="12" operator="containsText" text="SIN FACTURA">
      <formula>NOT(ISERROR(SEARCH("SIN FACTURA",A12)))</formula>
    </cfRule>
  </conditionalFormatting>
  <conditionalFormatting sqref="A22:B22">
    <cfRule type="containsText" dxfId="875" priority="11" operator="containsText" text="SIN FACTURA">
      <formula>NOT(ISERROR(SEARCH("SIN FACTURA",A22)))</formula>
    </cfRule>
  </conditionalFormatting>
  <conditionalFormatting sqref="A24:B24">
    <cfRule type="containsText" dxfId="874" priority="10" operator="containsText" text="SIN FACTURA">
      <formula>NOT(ISERROR(SEARCH("SIN FACTURA",A24)))</formula>
    </cfRule>
  </conditionalFormatting>
  <conditionalFormatting sqref="A26:B26">
    <cfRule type="containsText" dxfId="873" priority="9" operator="containsText" text="SIN FACTURA">
      <formula>NOT(ISERROR(SEARCH("SIN FACTURA",A26)))</formula>
    </cfRule>
  </conditionalFormatting>
  <conditionalFormatting sqref="A28:B28">
    <cfRule type="containsText" dxfId="872" priority="8" operator="containsText" text="SIN FACTURA">
      <formula>NOT(ISERROR(SEARCH("SIN FACTURA",A28)))</formula>
    </cfRule>
  </conditionalFormatting>
  <conditionalFormatting sqref="A30:B30">
    <cfRule type="containsText" dxfId="871" priority="7" operator="containsText" text="SIN FACTURA">
      <formula>NOT(ISERROR(SEARCH("SIN FACTURA",A30)))</formula>
    </cfRule>
  </conditionalFormatting>
  <conditionalFormatting sqref="A42:B42">
    <cfRule type="containsText" dxfId="870" priority="1" operator="containsText" text="SIN FACTURA">
      <formula>NOT(ISERROR(SEARCH("SIN FACTURA",A42)))</formula>
    </cfRule>
  </conditionalFormatting>
  <conditionalFormatting sqref="A32:B32">
    <cfRule type="containsText" dxfId="869" priority="6" operator="containsText" text="SIN FACTURA">
      <formula>NOT(ISERROR(SEARCH("SIN FACTURA",A32)))</formula>
    </cfRule>
  </conditionalFormatting>
  <conditionalFormatting sqref="A34:B34">
    <cfRule type="containsText" dxfId="868" priority="5" operator="containsText" text="SIN FACTURA">
      <formula>NOT(ISERROR(SEARCH("SIN FACTURA",A34)))</formula>
    </cfRule>
  </conditionalFormatting>
  <conditionalFormatting sqref="A36:B36">
    <cfRule type="containsText" dxfId="867" priority="4" operator="containsText" text="SIN FACTURA">
      <formula>NOT(ISERROR(SEARCH("SIN FACTURA",A36)))</formula>
    </cfRule>
  </conditionalFormatting>
  <conditionalFormatting sqref="A38:B38">
    <cfRule type="containsText" dxfId="866" priority="3" operator="containsText" text="SIN FACTURA">
      <formula>NOT(ISERROR(SEARCH("SIN FACTURA",A38)))</formula>
    </cfRule>
  </conditionalFormatting>
  <conditionalFormatting sqref="A40:B40">
    <cfRule type="containsText" dxfId="865" priority="2" operator="containsText" text="SIN FACTURA">
      <formula>NOT(ISERROR(SEARCH("SIN FACTURA",A40)))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140.xml><?xml version="1.0" encoding="utf-8"?>
<worksheet xmlns="http://schemas.openxmlformats.org/spreadsheetml/2006/main" xmlns:r="http://schemas.openxmlformats.org/officeDocument/2006/relationships">
  <sheetPr codeName="Hoja65"/>
  <dimension ref="A1:Y58"/>
  <sheetViews>
    <sheetView topLeftCell="B1" zoomScale="125" zoomScaleNormal="125" zoomScalePageLayoutView="125" workbookViewId="0">
      <pane ySplit="4" topLeftCell="A5" activePane="bottomLeft" state="frozen"/>
      <selection activeCell="C52" sqref="C52"/>
      <selection pane="bottomLeft" activeCell="D11" sqref="D11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115</v>
      </c>
      <c r="B1" s="18" t="s">
        <v>25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3"/>
      <c r="E5" s="43"/>
      <c r="F5" s="43"/>
      <c r="G5" s="43">
        <f>F5*6%</f>
        <v>0</v>
      </c>
      <c r="H5" s="43"/>
      <c r="I5" s="44">
        <f t="shared" ref="I5:I41" si="0">F5-G5-H5</f>
        <v>0</v>
      </c>
      <c r="J5" s="44">
        <f t="shared" ref="J5:J41" si="1">S5+T5</f>
        <v>0</v>
      </c>
      <c r="K5" s="44">
        <f t="shared" ref="K5:K41" si="2">I5-J5</f>
        <v>0</v>
      </c>
      <c r="L5" s="45"/>
      <c r="M5" s="40"/>
      <c r="N5" s="43">
        <f t="shared" ref="N5:N41" si="3">I5-J5-M5-R5</f>
        <v>0</v>
      </c>
      <c r="O5" s="43">
        <f t="shared" ref="O5:O41" si="4">R5+S5+T5</f>
        <v>0</v>
      </c>
      <c r="P5" s="46"/>
      <c r="Q5" s="40"/>
      <c r="R5" s="43"/>
      <c r="S5" s="43"/>
      <c r="T5" s="49"/>
    </row>
    <row r="6" spans="1:25" ht="15">
      <c r="A6" s="32"/>
      <c r="B6" s="33"/>
      <c r="C6" s="34"/>
      <c r="D6" s="37"/>
      <c r="E6" s="37"/>
      <c r="F6" s="37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3"/>
      <c r="E7" s="43"/>
      <c r="F7" s="43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>I7-J7</f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>S15+T15</f>
        <v>0</v>
      </c>
      <c r="K15" s="44">
        <f t="shared" si="2"/>
        <v>0</v>
      </c>
      <c r="L15" s="45"/>
      <c r="M15" s="40"/>
      <c r="N15" s="43">
        <f>I15-J15-M15-R15</f>
        <v>0</v>
      </c>
      <c r="O15" s="43">
        <f>R15+S15+T15</f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58"/>
      <c r="B42" s="59"/>
      <c r="C42" s="60"/>
      <c r="D42" s="58"/>
      <c r="E42" s="58"/>
      <c r="F42" s="58"/>
      <c r="G42" s="58"/>
      <c r="H42" s="58"/>
      <c r="I42" s="61">
        <f t="shared" ref="I42:I58" si="5">F42-G42</f>
        <v>0</v>
      </c>
      <c r="J42" s="61">
        <f>S42+T42</f>
        <v>0</v>
      </c>
      <c r="K42" s="61">
        <f>I42-J42</f>
        <v>0</v>
      </c>
      <c r="L42" s="62"/>
      <c r="M42" s="58"/>
      <c r="N42" s="63">
        <f t="shared" ref="N42:N58" si="6">I42-J42-M42-R42</f>
        <v>0</v>
      </c>
      <c r="O42" s="63">
        <f t="shared" ref="O42:O58" si="7">R42+S42+T42</f>
        <v>0</v>
      </c>
      <c r="P42" s="64"/>
      <c r="Q42" s="58"/>
      <c r="R42" s="65"/>
      <c r="S42" s="65"/>
      <c r="T42" s="66"/>
    </row>
    <row r="43" spans="1:22" ht="1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9"/>
    </row>
    <row r="44" spans="1:22" ht="15">
      <c r="A44" s="58"/>
      <c r="B44" s="59"/>
      <c r="C44" s="60"/>
      <c r="D44" s="63"/>
      <c r="E44" s="58"/>
      <c r="F44" s="58"/>
      <c r="G44" s="58"/>
      <c r="H44" s="58"/>
      <c r="I44" s="61">
        <f t="shared" si="5"/>
        <v>0</v>
      </c>
      <c r="J44" s="61">
        <f>S44+T44</f>
        <v>0</v>
      </c>
      <c r="K44" s="61">
        <f>I44-J44</f>
        <v>0</v>
      </c>
      <c r="L44" s="62"/>
      <c r="M44" s="58"/>
      <c r="N44" s="63">
        <f t="shared" si="6"/>
        <v>0</v>
      </c>
      <c r="O44" s="63">
        <f t="shared" si="7"/>
        <v>0</v>
      </c>
      <c r="P44" s="87"/>
      <c r="Q44" s="58"/>
      <c r="R44" s="65"/>
      <c r="S44" s="65"/>
      <c r="T44" s="66"/>
    </row>
    <row r="45" spans="1:22" ht="1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9"/>
    </row>
    <row r="46" spans="1:22" ht="15">
      <c r="A46" s="58"/>
      <c r="B46" s="59"/>
      <c r="C46" s="60"/>
      <c r="D46" s="58"/>
      <c r="E46" s="58"/>
      <c r="F46" s="58"/>
      <c r="G46" s="58"/>
      <c r="H46" s="58"/>
      <c r="I46" s="61">
        <f t="shared" si="5"/>
        <v>0</v>
      </c>
      <c r="J46" s="61">
        <f>S46+T46</f>
        <v>0</v>
      </c>
      <c r="K46" s="61">
        <f>I46-J46</f>
        <v>0</v>
      </c>
      <c r="L46" s="62"/>
      <c r="M46" s="58"/>
      <c r="N46" s="63">
        <f t="shared" si="6"/>
        <v>0</v>
      </c>
      <c r="O46" s="63">
        <f t="shared" si="7"/>
        <v>0</v>
      </c>
      <c r="P46" s="87"/>
      <c r="Q46" s="58"/>
      <c r="R46" s="65"/>
      <c r="S46" s="65"/>
      <c r="T46" s="66"/>
    </row>
    <row r="47" spans="1:22" ht="15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9"/>
    </row>
    <row r="48" spans="1:22" ht="15">
      <c r="A48" s="58"/>
      <c r="B48" s="62"/>
      <c r="C48" s="60"/>
      <c r="D48" s="58"/>
      <c r="E48" s="58"/>
      <c r="F48" s="58"/>
      <c r="G48" s="58"/>
      <c r="H48" s="58"/>
      <c r="I48" s="61">
        <f t="shared" si="5"/>
        <v>0</v>
      </c>
      <c r="J48" s="61">
        <f>S48+T48</f>
        <v>0</v>
      </c>
      <c r="K48" s="61">
        <f>I48-J48</f>
        <v>0</v>
      </c>
      <c r="L48" s="62"/>
      <c r="M48" s="58"/>
      <c r="N48" s="63">
        <f t="shared" si="6"/>
        <v>0</v>
      </c>
      <c r="O48" s="63">
        <f t="shared" si="7"/>
        <v>0</v>
      </c>
      <c r="P48" s="87"/>
      <c r="Q48" s="58"/>
      <c r="R48" s="65"/>
      <c r="S48" s="65"/>
      <c r="T48" s="66"/>
    </row>
    <row r="49" spans="1:20" ht="1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9"/>
    </row>
    <row r="50" spans="1:20" ht="15">
      <c r="A50" s="58"/>
      <c r="B50" s="59"/>
      <c r="C50" s="60"/>
      <c r="D50" s="58"/>
      <c r="E50" s="58"/>
      <c r="F50" s="58"/>
      <c r="G50" s="58"/>
      <c r="H50" s="58"/>
      <c r="I50" s="61">
        <f t="shared" si="5"/>
        <v>0</v>
      </c>
      <c r="J50" s="61">
        <f>S50+T50</f>
        <v>0</v>
      </c>
      <c r="K50" s="61">
        <f t="shared" ref="K50:K58" si="8">I50-J50</f>
        <v>0</v>
      </c>
      <c r="L50" s="62"/>
      <c r="M50" s="58"/>
      <c r="N50" s="63">
        <f t="shared" si="6"/>
        <v>0</v>
      </c>
      <c r="O50" s="63">
        <f t="shared" si="7"/>
        <v>0</v>
      </c>
      <c r="P50" s="64"/>
      <c r="Q50" s="58"/>
      <c r="R50" s="58"/>
      <c r="S50" s="58"/>
      <c r="T50" s="68"/>
    </row>
    <row r="51" spans="1:20" ht="15">
      <c r="A51" s="40"/>
      <c r="B51" s="41"/>
      <c r="C51" s="42"/>
      <c r="D51" s="40"/>
      <c r="E51" s="40"/>
      <c r="F51" s="40"/>
      <c r="G51" s="40"/>
      <c r="H51" s="40"/>
      <c r="I51" s="44">
        <f t="shared" si="5"/>
        <v>0</v>
      </c>
      <c r="J51" s="44">
        <f t="shared" ref="J51:J58" si="9">S51+T51</f>
        <v>0</v>
      </c>
      <c r="K51" s="44">
        <f t="shared" si="8"/>
        <v>0</v>
      </c>
      <c r="L51" s="45"/>
      <c r="M51" s="40"/>
      <c r="N51" s="43">
        <f t="shared" si="6"/>
        <v>0</v>
      </c>
      <c r="O51" s="43">
        <f t="shared" si="7"/>
        <v>0</v>
      </c>
      <c r="P51" s="46"/>
      <c r="Q51" s="40"/>
      <c r="R51" s="40"/>
      <c r="S51" s="40"/>
      <c r="T51" s="5"/>
    </row>
    <row r="52" spans="1:20" ht="15">
      <c r="A52" s="58"/>
      <c r="B52" s="59"/>
      <c r="C52" s="60"/>
      <c r="D52" s="58"/>
      <c r="E52" s="58"/>
      <c r="F52" s="58"/>
      <c r="G52" s="58"/>
      <c r="H52" s="58"/>
      <c r="I52" s="61">
        <f t="shared" si="5"/>
        <v>0</v>
      </c>
      <c r="J52" s="61">
        <f t="shared" si="9"/>
        <v>0</v>
      </c>
      <c r="K52" s="61">
        <f t="shared" si="8"/>
        <v>0</v>
      </c>
      <c r="L52" s="62"/>
      <c r="M52" s="58"/>
      <c r="N52" s="63">
        <f t="shared" si="6"/>
        <v>0</v>
      </c>
      <c r="O52" s="63">
        <f t="shared" si="7"/>
        <v>0</v>
      </c>
      <c r="P52" s="64"/>
      <c r="Q52" s="58"/>
      <c r="R52" s="58"/>
      <c r="S52" s="58"/>
      <c r="T52" s="68"/>
    </row>
    <row r="53" spans="1:20" ht="15">
      <c r="A53" s="40"/>
      <c r="B53" s="41"/>
      <c r="C53" s="42"/>
      <c r="D53" s="40"/>
      <c r="E53" s="40"/>
      <c r="F53" s="40"/>
      <c r="G53" s="40"/>
      <c r="H53" s="40"/>
      <c r="I53" s="44">
        <f t="shared" si="5"/>
        <v>0</v>
      </c>
      <c r="J53" s="44">
        <f t="shared" si="9"/>
        <v>0</v>
      </c>
      <c r="K53" s="44">
        <f t="shared" si="8"/>
        <v>0</v>
      </c>
      <c r="L53" s="45"/>
      <c r="M53" s="40"/>
      <c r="N53" s="43">
        <f t="shared" si="6"/>
        <v>0</v>
      </c>
      <c r="O53" s="43">
        <f t="shared" si="7"/>
        <v>0</v>
      </c>
      <c r="P53" s="46"/>
      <c r="Q53" s="40"/>
      <c r="R53" s="40"/>
      <c r="S53" s="40"/>
      <c r="T53" s="5"/>
    </row>
    <row r="54" spans="1:20" ht="15">
      <c r="A54" s="58"/>
      <c r="B54" s="59"/>
      <c r="C54" s="60"/>
      <c r="D54" s="58"/>
      <c r="E54" s="58"/>
      <c r="F54" s="58"/>
      <c r="G54" s="58"/>
      <c r="H54" s="58"/>
      <c r="I54" s="61">
        <f t="shared" si="5"/>
        <v>0</v>
      </c>
      <c r="J54" s="61">
        <f t="shared" si="9"/>
        <v>0</v>
      </c>
      <c r="K54" s="61">
        <f t="shared" si="8"/>
        <v>0</v>
      </c>
      <c r="L54" s="62"/>
      <c r="M54" s="58"/>
      <c r="N54" s="63">
        <f t="shared" si="6"/>
        <v>0</v>
      </c>
      <c r="O54" s="63">
        <f t="shared" si="7"/>
        <v>0</v>
      </c>
      <c r="P54" s="64"/>
      <c r="Q54" s="58"/>
      <c r="R54" s="58"/>
      <c r="S54" s="58"/>
      <c r="T54" s="68"/>
    </row>
    <row r="55" spans="1:20" ht="15">
      <c r="A55" s="40"/>
      <c r="B55" s="41"/>
      <c r="C55" s="42"/>
      <c r="D55" s="40"/>
      <c r="E55" s="40"/>
      <c r="F55" s="40"/>
      <c r="G55" s="40"/>
      <c r="H55" s="40"/>
      <c r="I55" s="44">
        <f t="shared" si="5"/>
        <v>0</v>
      </c>
      <c r="J55" s="44">
        <f t="shared" si="9"/>
        <v>0</v>
      </c>
      <c r="K55" s="44">
        <f t="shared" si="8"/>
        <v>0</v>
      </c>
      <c r="L55" s="45"/>
      <c r="M55" s="40"/>
      <c r="N55" s="43">
        <f t="shared" si="6"/>
        <v>0</v>
      </c>
      <c r="O55" s="43">
        <f t="shared" si="7"/>
        <v>0</v>
      </c>
      <c r="P55" s="46"/>
      <c r="Q55" s="40"/>
      <c r="R55" s="40"/>
      <c r="S55" s="40"/>
      <c r="T55" s="5"/>
    </row>
    <row r="56" spans="1:20" ht="15">
      <c r="A56" s="58"/>
      <c r="B56" s="59"/>
      <c r="C56" s="60"/>
      <c r="D56" s="58"/>
      <c r="E56" s="58"/>
      <c r="F56" s="58"/>
      <c r="G56" s="58"/>
      <c r="H56" s="58"/>
      <c r="I56" s="61">
        <f t="shared" si="5"/>
        <v>0</v>
      </c>
      <c r="J56" s="61">
        <f t="shared" si="9"/>
        <v>0</v>
      </c>
      <c r="K56" s="61">
        <f t="shared" si="8"/>
        <v>0</v>
      </c>
      <c r="L56" s="62"/>
      <c r="M56" s="58"/>
      <c r="N56" s="63">
        <f t="shared" si="6"/>
        <v>0</v>
      </c>
      <c r="O56" s="63">
        <f t="shared" si="7"/>
        <v>0</v>
      </c>
      <c r="P56" s="64"/>
      <c r="Q56" s="58"/>
      <c r="R56" s="58"/>
      <c r="S56" s="58"/>
      <c r="T56" s="68"/>
    </row>
    <row r="57" spans="1:20" ht="15">
      <c r="A57" s="40"/>
      <c r="B57" s="41"/>
      <c r="C57" s="42"/>
      <c r="D57" s="40"/>
      <c r="E57" s="40"/>
      <c r="F57" s="40"/>
      <c r="G57" s="40"/>
      <c r="H57" s="40"/>
      <c r="I57" s="44">
        <f t="shared" si="5"/>
        <v>0</v>
      </c>
      <c r="J57" s="44">
        <f t="shared" si="9"/>
        <v>0</v>
      </c>
      <c r="K57" s="44">
        <f t="shared" si="8"/>
        <v>0</v>
      </c>
      <c r="L57" s="45"/>
      <c r="M57" s="40"/>
      <c r="N57" s="43">
        <f t="shared" si="6"/>
        <v>0</v>
      </c>
      <c r="O57" s="43">
        <f t="shared" si="7"/>
        <v>0</v>
      </c>
      <c r="P57" s="46"/>
      <c r="Q57" s="40"/>
      <c r="R57" s="40"/>
      <c r="S57" s="40"/>
      <c r="T57" s="5"/>
    </row>
    <row r="58" spans="1:20" ht="15">
      <c r="A58" s="69"/>
      <c r="B58" s="70"/>
      <c r="C58" s="71"/>
      <c r="D58" s="69"/>
      <c r="E58" s="69"/>
      <c r="F58" s="69"/>
      <c r="G58" s="69"/>
      <c r="H58" s="69"/>
      <c r="I58" s="72">
        <f t="shared" si="5"/>
        <v>0</v>
      </c>
      <c r="J58" s="72">
        <f t="shared" si="9"/>
        <v>0</v>
      </c>
      <c r="K58" s="72">
        <f t="shared" si="8"/>
        <v>0</v>
      </c>
      <c r="L58" s="73"/>
      <c r="M58" s="69"/>
      <c r="N58" s="74">
        <f t="shared" si="6"/>
        <v>0</v>
      </c>
      <c r="O58" s="74">
        <f t="shared" si="7"/>
        <v>0</v>
      </c>
      <c r="P58" s="75"/>
      <c r="Q58" s="69"/>
      <c r="R58" s="69"/>
      <c r="S58" s="69"/>
      <c r="T58" s="76"/>
    </row>
  </sheetData>
  <mergeCells count="5">
    <mergeCell ref="C2:F2"/>
    <mergeCell ref="G2:L2"/>
    <mergeCell ref="M2:O2"/>
    <mergeCell ref="A2:B2"/>
    <mergeCell ref="P2:T2"/>
  </mergeCells>
  <phoneticPr fontId="23" type="noConversion"/>
  <conditionalFormatting sqref="C2 G2:H2 M2 A3:T3 A2">
    <cfRule type="containsText" dxfId="864" priority="58" operator="containsText" text="SIN FACTURA ">
      <formula>NOT(ISERROR(SEARCH("SIN FACTURA ",A2)))</formula>
    </cfRule>
  </conditionalFormatting>
  <conditionalFormatting sqref="A42:H42 A44:H44 A46:H46 A48:H48 A50:H58 J42:T42 J44:T44 J46:T46 J48:T48 J50:T58 J5:T9 I5:I41 A5:H9 A4:T4">
    <cfRule type="containsText" dxfId="863" priority="57" operator="containsText" text="SIN FACTURA">
      <formula>NOT(ISERROR(SEARCH("SIN FACTURA",A4)))</formula>
    </cfRule>
  </conditionalFormatting>
  <conditionalFormatting sqref="A28:B28">
    <cfRule type="containsText" dxfId="862" priority="7" operator="containsText" text="SIN FACTURA">
      <formula>NOT(ISERROR(SEARCH("SIN FACTURA",A28)))</formula>
    </cfRule>
  </conditionalFormatting>
  <conditionalFormatting sqref="J41:T41 J39:T39 J37:T37 J35:T35 J33:T33 J31:T31 J29:T29 J27:T27 J25:T25 J23:T23 J21:T21 J11:T19 A11:H19 A21:H21 A23:H23 A25:H25 A27:H27 A29:H29 A31:H31 A33:H33 A35:H35 A37:H37 A39:H39 A41:H41">
    <cfRule type="containsText" dxfId="861" priority="25" operator="containsText" text="SIN FACTURA">
      <formula>NOT(ISERROR(SEARCH("SIN FACTURA",A11)))</formula>
    </cfRule>
  </conditionalFormatting>
  <conditionalFormatting sqref="C26:H26 J26:V26">
    <cfRule type="containsText" dxfId="860" priority="20" operator="containsText" text="SIN FACTURA">
      <formula>NOT(ISERROR(SEARCH("SIN FACTURA",C26)))</formula>
    </cfRule>
  </conditionalFormatting>
  <conditionalFormatting sqref="C20:H20 J20:V20">
    <cfRule type="containsText" dxfId="859" priority="23" operator="containsText" text="SIN FACTURA">
      <formula>NOT(ISERROR(SEARCH("SIN FACTURA",C20)))</formula>
    </cfRule>
  </conditionalFormatting>
  <conditionalFormatting sqref="C24:H24 J24:V24">
    <cfRule type="containsText" dxfId="858" priority="21" operator="containsText" text="SIN FACTURA">
      <formula>NOT(ISERROR(SEARCH("SIN FACTURA",C24)))</formula>
    </cfRule>
  </conditionalFormatting>
  <conditionalFormatting sqref="C28:H28 J28:V28">
    <cfRule type="containsText" dxfId="857" priority="19" operator="containsText" text="SIN FACTURA">
      <formula>NOT(ISERROR(SEARCH("SIN FACTURA",C28)))</formula>
    </cfRule>
  </conditionalFormatting>
  <conditionalFormatting sqref="C30:H30 J30:V30">
    <cfRule type="containsText" dxfId="856" priority="18" operator="containsText" text="SIN FACTURA">
      <formula>NOT(ISERROR(SEARCH("SIN FACTURA",C30)))</formula>
    </cfRule>
  </conditionalFormatting>
  <conditionalFormatting sqref="C32:H32 J32:V32">
    <cfRule type="containsText" dxfId="855" priority="17" operator="containsText" text="SIN FACTURA">
      <formula>NOT(ISERROR(SEARCH("SIN FACTURA",C32)))</formula>
    </cfRule>
  </conditionalFormatting>
  <conditionalFormatting sqref="C34:H34 J34:V34">
    <cfRule type="containsText" dxfId="854" priority="16" operator="containsText" text="SIN FACTURA">
      <formula>NOT(ISERROR(SEARCH("SIN FACTURA",C34)))</formula>
    </cfRule>
  </conditionalFormatting>
  <conditionalFormatting sqref="C36:H36 J36:V36">
    <cfRule type="containsText" dxfId="853" priority="15" operator="containsText" text="SIN FACTURA">
      <formula>NOT(ISERROR(SEARCH("SIN FACTURA",C36)))</formula>
    </cfRule>
  </conditionalFormatting>
  <conditionalFormatting sqref="I42">
    <cfRule type="containsText" dxfId="852" priority="39" operator="containsText" text="SIN FACTURA">
      <formula>NOT(ISERROR(SEARCH("SIN FACTURA",I42)))</formula>
    </cfRule>
  </conditionalFormatting>
  <conditionalFormatting sqref="I44">
    <cfRule type="containsText" dxfId="851" priority="38" operator="containsText" text="SIN FACTURA">
      <formula>NOT(ISERROR(SEARCH("SIN FACTURA",I44)))</formula>
    </cfRule>
  </conditionalFormatting>
  <conditionalFormatting sqref="I46">
    <cfRule type="containsText" dxfId="850" priority="37" operator="containsText" text="SIN FACTURA">
      <formula>NOT(ISERROR(SEARCH("SIN FACTURA",I46)))</formula>
    </cfRule>
  </conditionalFormatting>
  <conditionalFormatting sqref="I48">
    <cfRule type="containsText" dxfId="849" priority="36" operator="containsText" text="SIN FACTURA">
      <formula>NOT(ISERROR(SEARCH("SIN FACTURA",I48)))</formula>
    </cfRule>
  </conditionalFormatting>
  <conditionalFormatting sqref="I50:I58">
    <cfRule type="containsText" dxfId="848" priority="35" operator="containsText" text="SIN FACTURA">
      <formula>NOT(ISERROR(SEARCH("SIN FACTURA",I50)))</formula>
    </cfRule>
  </conditionalFormatting>
  <conditionalFormatting sqref="A24:B24">
    <cfRule type="containsText" dxfId="847" priority="9" operator="containsText" text="SIN FACTURA">
      <formula>NOT(ISERROR(SEARCH("SIN FACTURA",A24)))</formula>
    </cfRule>
  </conditionalFormatting>
  <conditionalFormatting sqref="A26:B26">
    <cfRule type="containsText" dxfId="846" priority="8" operator="containsText" text="SIN FACTURA">
      <formula>NOT(ISERROR(SEARCH("SIN FACTURA",A26)))</formula>
    </cfRule>
  </conditionalFormatting>
  <conditionalFormatting sqref="A30:B30">
    <cfRule type="containsText" dxfId="845" priority="6" operator="containsText" text="SIN FACTURA">
      <formula>NOT(ISERROR(SEARCH("SIN FACTURA",A30)))</formula>
    </cfRule>
  </conditionalFormatting>
  <conditionalFormatting sqref="A32:B32">
    <cfRule type="containsText" dxfId="844" priority="5" operator="containsText" text="SIN FACTURA">
      <formula>NOT(ISERROR(SEARCH("SIN FACTURA",A32)))</formula>
    </cfRule>
  </conditionalFormatting>
  <conditionalFormatting sqref="A36:B36">
    <cfRule type="containsText" dxfId="843" priority="3" operator="containsText" text="SIN FACTURA">
      <formula>NOT(ISERROR(SEARCH("SIN FACTURA",A36)))</formula>
    </cfRule>
  </conditionalFormatting>
  <conditionalFormatting sqref="A38:B38">
    <cfRule type="containsText" dxfId="842" priority="2" operator="containsText" text="SIN FACTURA">
      <formula>NOT(ISERROR(SEARCH("SIN FACTURA",A38)))</formula>
    </cfRule>
  </conditionalFormatting>
  <conditionalFormatting sqref="A40:B40">
    <cfRule type="containsText" dxfId="841" priority="1" operator="containsText" text="SIN FACTURA">
      <formula>NOT(ISERROR(SEARCH("SIN FACTURA",A40)))</formula>
    </cfRule>
  </conditionalFormatting>
  <conditionalFormatting sqref="C10:H10 J10:V10">
    <cfRule type="containsText" dxfId="840" priority="24" operator="containsText" text="SIN FACTURA">
      <formula>NOT(ISERROR(SEARCH("SIN FACTURA",C10)))</formula>
    </cfRule>
  </conditionalFormatting>
  <conditionalFormatting sqref="C22:H22 J22:V22">
    <cfRule type="containsText" dxfId="839" priority="22" operator="containsText" text="SIN FACTURA">
      <formula>NOT(ISERROR(SEARCH("SIN FACTURA",C22)))</formula>
    </cfRule>
  </conditionalFormatting>
  <conditionalFormatting sqref="C38:H38 J38:V38">
    <cfRule type="containsText" dxfId="838" priority="14" operator="containsText" text="SIN FACTURA">
      <formula>NOT(ISERROR(SEARCH("SIN FACTURA",C38)))</formula>
    </cfRule>
  </conditionalFormatting>
  <conditionalFormatting sqref="C40:H40 J40:V40">
    <cfRule type="containsText" dxfId="837" priority="13" operator="containsText" text="SIN FACTURA">
      <formula>NOT(ISERROR(SEARCH("SIN FACTURA",C40)))</formula>
    </cfRule>
  </conditionalFormatting>
  <conditionalFormatting sqref="A10:B10">
    <cfRule type="containsText" dxfId="836" priority="12" operator="containsText" text="SIN FACTURA">
      <formula>NOT(ISERROR(SEARCH("SIN FACTURA",A10)))</formula>
    </cfRule>
  </conditionalFormatting>
  <conditionalFormatting sqref="A20:B20">
    <cfRule type="containsText" dxfId="835" priority="11" operator="containsText" text="SIN FACTURA">
      <formula>NOT(ISERROR(SEARCH("SIN FACTURA",A20)))</formula>
    </cfRule>
  </conditionalFormatting>
  <conditionalFormatting sqref="A22:B22">
    <cfRule type="containsText" dxfId="834" priority="10" operator="containsText" text="SIN FACTURA">
      <formula>NOT(ISERROR(SEARCH("SIN FACTURA",A22)))</formula>
    </cfRule>
  </conditionalFormatting>
  <conditionalFormatting sqref="A34:B34">
    <cfRule type="containsText" dxfId="833" priority="4" operator="containsText" text="SIN FACTURA">
      <formula>NOT(ISERROR(SEARCH("SIN FACTURA",A34)))</formula>
    </cfRule>
  </conditionalFormatting>
  <pageMargins left="0.75" right="0.75" top="1" bottom="1" header="0.5" footer="0.5"/>
  <pageSetup paperSize="9" orientation="portrait" horizontalDpi="4294967292" verticalDpi="4294967292"/>
  <ignoredErrors>
    <ignoredError sqref="K42:K58" calculatedColumn="1"/>
  </ignoredErrors>
</worksheet>
</file>

<file path=xl/worksheets/sheet141.xml><?xml version="1.0" encoding="utf-8"?>
<worksheet xmlns="http://schemas.openxmlformats.org/spreadsheetml/2006/main" xmlns:r="http://schemas.openxmlformats.org/officeDocument/2006/relationships">
  <sheetPr codeName="Hoja66"/>
  <dimension ref="A1:Y65"/>
  <sheetViews>
    <sheetView zoomScale="130" zoomScaleNormal="130" zoomScalePageLayoutView="130" workbookViewId="0">
      <pane ySplit="4" topLeftCell="A5" activePane="bottomLeft" state="frozen"/>
      <selection pane="bottomLeft" activeCell="A16" sqref="A16"/>
    </sheetView>
  </sheetViews>
  <sheetFormatPr baseColWidth="10" defaultColWidth="10.875" defaultRowHeight="15.75"/>
  <cols>
    <col min="1" max="1" width="29.75" style="1" customWidth="1"/>
    <col min="2" max="2" width="10.875" style="2" customWidth="1"/>
    <col min="3" max="3" width="10.625" bestFit="1" customWidth="1"/>
    <col min="4" max="4" width="10.125" style="9" bestFit="1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103</v>
      </c>
      <c r="B1" s="18" t="s">
        <v>268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240" t="s">
        <v>207</v>
      </c>
      <c r="E4" s="240"/>
      <c r="F4" s="240"/>
      <c r="G4" s="241"/>
      <c r="H4" s="241"/>
      <c r="I4" s="242"/>
      <c r="J4" s="242"/>
      <c r="K4" s="242"/>
      <c r="L4" s="243"/>
      <c r="M4" s="32"/>
      <c r="N4" s="37"/>
      <c r="O4" s="37"/>
      <c r="P4" s="38"/>
      <c r="Q4" s="32"/>
      <c r="R4" s="32"/>
      <c r="S4" s="32"/>
      <c r="T4" s="39"/>
    </row>
    <row r="5" spans="1:25" ht="15">
      <c r="A5" s="119" t="s">
        <v>169</v>
      </c>
      <c r="B5" s="120"/>
      <c r="C5" s="121"/>
      <c r="D5" s="40"/>
      <c r="E5" s="145"/>
      <c r="F5" s="111" t="s">
        <v>194</v>
      </c>
      <c r="G5" s="112"/>
      <c r="H5" s="112"/>
      <c r="I5" s="113"/>
      <c r="J5" s="44"/>
      <c r="K5" s="44"/>
      <c r="L5" s="45"/>
      <c r="M5" s="40"/>
      <c r="N5" s="43"/>
      <c r="O5" s="43"/>
      <c r="P5" s="46"/>
      <c r="Q5" s="40"/>
      <c r="R5" s="47"/>
      <c r="S5" s="47"/>
      <c r="T5" s="48"/>
    </row>
    <row r="6" spans="1:25" s="13" customFormat="1" ht="15">
      <c r="A6" s="270"/>
      <c r="B6" s="292"/>
      <c r="C6" s="293"/>
      <c r="D6" s="262"/>
      <c r="E6" s="263"/>
      <c r="F6" s="264"/>
      <c r="G6" s="265"/>
      <c r="H6" s="265"/>
      <c r="I6" s="266"/>
      <c r="J6" s="232"/>
      <c r="K6" s="232"/>
      <c r="L6" s="233"/>
      <c r="M6" s="230"/>
      <c r="N6" s="231"/>
      <c r="O6" s="231"/>
      <c r="P6" s="234"/>
      <c r="Q6" s="230"/>
      <c r="R6" s="267"/>
      <c r="S6" s="267"/>
      <c r="T6" s="268"/>
    </row>
    <row r="7" spans="1:25" s="13" customFormat="1" ht="15">
      <c r="A7" s="270"/>
      <c r="B7" s="292"/>
      <c r="C7" s="293"/>
      <c r="D7" s="262"/>
      <c r="E7" s="263"/>
      <c r="F7" s="264"/>
      <c r="G7" s="265"/>
      <c r="H7" s="265"/>
      <c r="I7" s="266"/>
      <c r="J7" s="232"/>
      <c r="K7" s="232"/>
      <c r="L7" s="233"/>
      <c r="M7" s="230"/>
      <c r="N7" s="231"/>
      <c r="O7" s="231"/>
      <c r="P7" s="234"/>
      <c r="Q7" s="230"/>
      <c r="R7" s="267"/>
      <c r="S7" s="267"/>
      <c r="T7" s="268"/>
    </row>
    <row r="8" spans="1:25" s="13" customFormat="1" ht="15">
      <c r="A8" s="263"/>
      <c r="B8" s="284"/>
      <c r="C8" s="285"/>
      <c r="D8" s="262"/>
      <c r="E8" s="263"/>
      <c r="F8" s="264"/>
      <c r="G8" s="265"/>
      <c r="H8" s="265"/>
      <c r="I8" s="266"/>
      <c r="J8" s="232"/>
      <c r="K8" s="232"/>
      <c r="L8" s="233"/>
      <c r="M8" s="230"/>
      <c r="N8" s="231"/>
      <c r="O8" s="231"/>
      <c r="P8" s="234"/>
      <c r="Q8" s="230"/>
      <c r="R8" s="267"/>
      <c r="S8" s="267"/>
      <c r="T8" s="268"/>
    </row>
    <row r="9" spans="1:25" ht="15">
      <c r="A9" s="146" t="s">
        <v>170</v>
      </c>
      <c r="B9" s="147"/>
      <c r="C9" s="148">
        <v>0</v>
      </c>
      <c r="D9" s="240" t="s">
        <v>207</v>
      </c>
      <c r="E9" s="240"/>
      <c r="F9" s="240"/>
      <c r="G9" s="241"/>
      <c r="H9" s="241"/>
      <c r="I9" s="242"/>
      <c r="J9" s="242"/>
      <c r="K9" s="242"/>
      <c r="L9" s="243"/>
      <c r="M9" s="111"/>
      <c r="N9" s="112"/>
      <c r="O9" s="112"/>
      <c r="P9" s="114"/>
      <c r="Q9" s="111"/>
      <c r="R9" s="115"/>
      <c r="S9" s="115"/>
      <c r="T9" s="116"/>
      <c r="U9" s="13"/>
    </row>
    <row r="10" spans="1:25" ht="15">
      <c r="A10" s="32"/>
      <c r="B10" s="33"/>
      <c r="C10" s="34"/>
      <c r="D10" s="32"/>
      <c r="E10" s="32"/>
      <c r="F10" s="32"/>
      <c r="G10" s="32"/>
      <c r="H10" s="32"/>
      <c r="I10" s="35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58"/>
      <c r="B11" s="59"/>
      <c r="C11" s="60"/>
      <c r="D11" s="63"/>
      <c r="E11" s="63"/>
      <c r="F11" s="63"/>
      <c r="G11" s="58"/>
      <c r="H11" s="58"/>
      <c r="I11" s="61"/>
      <c r="J11" s="61"/>
      <c r="K11" s="61"/>
      <c r="L11" s="62"/>
      <c r="M11" s="58"/>
      <c r="N11" s="63"/>
      <c r="O11" s="63"/>
      <c r="P11" s="64"/>
      <c r="Q11" s="58"/>
      <c r="R11" s="58"/>
      <c r="S11" s="58"/>
      <c r="T11" s="68"/>
    </row>
    <row r="12" spans="1:25" ht="15">
      <c r="A12" s="95"/>
      <c r="B12" s="96"/>
      <c r="C12" s="97"/>
      <c r="D12" s="98"/>
      <c r="E12" s="98"/>
      <c r="F12" s="98"/>
      <c r="G12" s="95"/>
      <c r="H12" s="95"/>
      <c r="I12" s="99"/>
      <c r="J12" s="99"/>
      <c r="K12" s="99"/>
      <c r="L12" s="45"/>
      <c r="M12" s="40"/>
      <c r="N12" s="43"/>
      <c r="O12" s="43"/>
      <c r="P12" s="46"/>
      <c r="Q12" s="40"/>
      <c r="R12" s="40"/>
      <c r="S12" s="40"/>
      <c r="T12" s="5"/>
    </row>
    <row r="13" spans="1:25" ht="15">
      <c r="A13" s="58"/>
      <c r="B13" s="59"/>
      <c r="C13" s="60"/>
      <c r="D13" s="63"/>
      <c r="E13" s="63"/>
      <c r="F13" s="63"/>
      <c r="G13" s="58"/>
      <c r="H13" s="58"/>
      <c r="I13" s="61"/>
      <c r="J13" s="61"/>
      <c r="K13" s="61"/>
      <c r="L13" s="62"/>
      <c r="M13" s="58"/>
      <c r="N13" s="63"/>
      <c r="O13" s="63"/>
      <c r="P13" s="64"/>
      <c r="Q13" s="58"/>
      <c r="R13" s="58"/>
      <c r="S13" s="58"/>
      <c r="T13" s="68"/>
    </row>
    <row r="14" spans="1:25" ht="15">
      <c r="A14" s="40"/>
      <c r="B14" s="41"/>
      <c r="C14" s="42"/>
      <c r="D14" s="40"/>
      <c r="E14" s="40"/>
      <c r="F14" s="40"/>
      <c r="G14" s="40"/>
      <c r="H14" s="40"/>
      <c r="I14" s="44"/>
      <c r="J14" s="44"/>
      <c r="K14" s="44"/>
      <c r="L14" s="45"/>
      <c r="M14" s="40"/>
      <c r="N14" s="43"/>
      <c r="O14" s="43"/>
      <c r="P14" s="46"/>
      <c r="Q14" s="40"/>
      <c r="R14" s="40"/>
      <c r="S14" s="40"/>
      <c r="T14" s="5"/>
    </row>
    <row r="15" spans="1:25" ht="15">
      <c r="A15" s="58"/>
      <c r="B15" s="59"/>
      <c r="C15" s="60"/>
      <c r="D15" s="58"/>
      <c r="E15" s="58"/>
      <c r="F15" s="58"/>
      <c r="G15" s="58"/>
      <c r="H15" s="58"/>
      <c r="I15" s="61"/>
      <c r="J15" s="61"/>
      <c r="K15" s="61"/>
      <c r="L15" s="62"/>
      <c r="M15" s="58"/>
      <c r="N15" s="63"/>
      <c r="O15" s="63"/>
      <c r="P15" s="64"/>
      <c r="Q15" s="58"/>
      <c r="R15" s="58"/>
      <c r="S15" s="58"/>
      <c r="T15" s="68"/>
    </row>
    <row r="16" spans="1:25" ht="15">
      <c r="A16" s="40"/>
      <c r="B16" s="41"/>
      <c r="C16" s="42"/>
      <c r="D16" s="40"/>
      <c r="E16" s="40"/>
      <c r="F16" s="40"/>
      <c r="G16" s="40"/>
      <c r="H16" s="40"/>
      <c r="I16" s="44"/>
      <c r="J16" s="44"/>
      <c r="K16" s="44"/>
      <c r="L16" s="45"/>
      <c r="M16" s="40"/>
      <c r="N16" s="43"/>
      <c r="O16" s="43"/>
      <c r="P16" s="46"/>
      <c r="Q16" s="40"/>
      <c r="R16" s="40"/>
      <c r="S16" s="40"/>
      <c r="T16" s="5"/>
    </row>
    <row r="17" spans="1:20" ht="15">
      <c r="A17" s="58"/>
      <c r="B17" s="59"/>
      <c r="C17" s="60"/>
      <c r="D17" s="58"/>
      <c r="E17" s="58"/>
      <c r="F17" s="58"/>
      <c r="G17" s="58"/>
      <c r="H17" s="58"/>
      <c r="I17" s="61"/>
      <c r="J17" s="61"/>
      <c r="K17" s="61"/>
      <c r="L17" s="62"/>
      <c r="M17" s="58"/>
      <c r="N17" s="63"/>
      <c r="O17" s="63"/>
      <c r="P17" s="64"/>
      <c r="Q17" s="58"/>
      <c r="R17" s="58"/>
      <c r="S17" s="58"/>
      <c r="T17" s="68"/>
    </row>
    <row r="18" spans="1:20" ht="15">
      <c r="A18" s="40"/>
      <c r="B18" s="41"/>
      <c r="C18" s="42"/>
      <c r="D18" s="40"/>
      <c r="E18" s="40"/>
      <c r="F18" s="40"/>
      <c r="G18" s="40"/>
      <c r="H18" s="40"/>
      <c r="I18" s="44"/>
      <c r="J18" s="44"/>
      <c r="K18" s="44"/>
      <c r="L18" s="45"/>
      <c r="M18" s="40"/>
      <c r="N18" s="43"/>
      <c r="O18" s="43"/>
      <c r="P18" s="46"/>
      <c r="Q18" s="40"/>
      <c r="R18" s="40"/>
      <c r="S18" s="40"/>
      <c r="T18" s="5"/>
    </row>
    <row r="19" spans="1:20" ht="15">
      <c r="A19" s="58"/>
      <c r="B19" s="59"/>
      <c r="C19" s="60"/>
      <c r="D19" s="63"/>
      <c r="E19" s="63"/>
      <c r="F19" s="63"/>
      <c r="G19" s="58"/>
      <c r="H19" s="58"/>
      <c r="I19" s="61"/>
      <c r="J19" s="61"/>
      <c r="K19" s="61"/>
      <c r="L19" s="62"/>
      <c r="M19" s="58"/>
      <c r="N19" s="63"/>
      <c r="O19" s="63"/>
      <c r="P19" s="64"/>
      <c r="Q19" s="58"/>
      <c r="R19" s="58"/>
      <c r="S19" s="58"/>
      <c r="T19" s="68"/>
    </row>
    <row r="20" spans="1:20" ht="15">
      <c r="A20" s="40"/>
      <c r="B20" s="41"/>
      <c r="C20" s="42"/>
      <c r="D20" s="43"/>
      <c r="E20" s="43"/>
      <c r="F20" s="43"/>
      <c r="G20" s="40"/>
      <c r="H20" s="40"/>
      <c r="I20" s="44"/>
      <c r="J20" s="44"/>
      <c r="K20" s="44"/>
      <c r="L20" s="45"/>
      <c r="M20" s="40"/>
      <c r="N20" s="43"/>
      <c r="O20" s="43"/>
      <c r="P20" s="46"/>
      <c r="Q20" s="40"/>
      <c r="R20" s="40"/>
      <c r="S20" s="40"/>
      <c r="T20" s="5"/>
    </row>
    <row r="21" spans="1:20">
      <c r="A21" s="58"/>
      <c r="B21" s="59"/>
      <c r="C21" s="101"/>
      <c r="D21" s="60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102"/>
      <c r="R21" s="58"/>
      <c r="S21" s="58"/>
      <c r="T21" s="68"/>
    </row>
    <row r="22" spans="1:20" ht="15">
      <c r="A22" s="149"/>
      <c r="B22" s="41"/>
      <c r="C22" s="42"/>
      <c r="D22" s="149"/>
      <c r="E22" s="149"/>
      <c r="F22" s="149"/>
      <c r="G22" s="40"/>
      <c r="H22" s="40"/>
      <c r="I22" s="44"/>
      <c r="J22" s="44"/>
      <c r="K22" s="44"/>
      <c r="L22" s="45"/>
      <c r="M22" s="40"/>
      <c r="N22" s="43"/>
      <c r="O22" s="43"/>
      <c r="P22" s="46"/>
      <c r="Q22" s="40"/>
      <c r="R22" s="40"/>
      <c r="S22" s="40"/>
      <c r="T22" s="5"/>
    </row>
    <row r="23" spans="1:20" ht="15">
      <c r="A23" s="58"/>
      <c r="B23" s="59"/>
      <c r="C23" s="60"/>
      <c r="D23" s="58"/>
      <c r="E23" s="58"/>
      <c r="F23" s="58"/>
      <c r="G23" s="58"/>
      <c r="H23" s="58"/>
      <c r="I23" s="61"/>
      <c r="J23" s="61"/>
      <c r="K23" s="61"/>
      <c r="L23" s="62"/>
      <c r="M23" s="58"/>
      <c r="N23" s="63"/>
      <c r="O23" s="63"/>
      <c r="P23" s="64"/>
      <c r="Q23" s="58"/>
      <c r="R23" s="58"/>
      <c r="S23" s="58"/>
      <c r="T23" s="68"/>
    </row>
    <row r="24" spans="1:20" ht="15">
      <c r="A24" s="40"/>
      <c r="B24" s="41"/>
      <c r="C24" s="42"/>
      <c r="D24" s="40"/>
      <c r="E24" s="40"/>
      <c r="F24" s="40"/>
      <c r="G24" s="40"/>
      <c r="H24" s="40"/>
      <c r="I24" s="44"/>
      <c r="J24" s="44"/>
      <c r="K24" s="44"/>
      <c r="L24" s="45"/>
      <c r="M24" s="40"/>
      <c r="N24" s="43"/>
      <c r="O24" s="43"/>
      <c r="P24" s="46"/>
      <c r="Q24" s="40"/>
      <c r="R24" s="40"/>
      <c r="S24" s="40"/>
      <c r="T24" s="5"/>
    </row>
    <row r="25" spans="1:20" ht="15">
      <c r="A25" s="58"/>
      <c r="B25" s="59"/>
      <c r="C25" s="60"/>
      <c r="D25" s="58"/>
      <c r="E25" s="58"/>
      <c r="F25" s="58"/>
      <c r="G25" s="58"/>
      <c r="H25" s="58"/>
      <c r="I25" s="61"/>
      <c r="J25" s="61"/>
      <c r="K25" s="61"/>
      <c r="L25" s="62"/>
      <c r="M25" s="58"/>
      <c r="N25" s="63"/>
      <c r="O25" s="63"/>
      <c r="P25" s="64"/>
      <c r="Q25" s="58"/>
      <c r="R25" s="58"/>
      <c r="S25" s="58"/>
      <c r="T25" s="68"/>
    </row>
    <row r="26" spans="1:20" ht="15">
      <c r="A26" s="40"/>
      <c r="B26" s="41"/>
      <c r="C26" s="42"/>
      <c r="D26" s="40"/>
      <c r="E26" s="40"/>
      <c r="F26" s="40"/>
      <c r="G26" s="40"/>
      <c r="H26" s="40"/>
      <c r="I26" s="44"/>
      <c r="J26" s="44"/>
      <c r="K26" s="44"/>
      <c r="L26" s="45"/>
      <c r="M26" s="40"/>
      <c r="N26" s="43"/>
      <c r="O26" s="43"/>
      <c r="P26" s="46"/>
      <c r="Q26" s="40"/>
      <c r="R26" s="40"/>
      <c r="S26" s="40"/>
      <c r="T26" s="5"/>
    </row>
    <row r="27" spans="1:20" ht="15">
      <c r="A27" s="58"/>
      <c r="B27" s="59"/>
      <c r="C27" s="60"/>
      <c r="D27" s="58"/>
      <c r="E27" s="58"/>
      <c r="F27" s="58"/>
      <c r="G27" s="58"/>
      <c r="H27" s="58"/>
      <c r="I27" s="61"/>
      <c r="J27" s="61"/>
      <c r="K27" s="61"/>
      <c r="L27" s="62"/>
      <c r="M27" s="58"/>
      <c r="N27" s="63"/>
      <c r="O27" s="63"/>
      <c r="P27" s="64"/>
      <c r="Q27" s="58"/>
      <c r="R27" s="58"/>
      <c r="S27" s="58"/>
      <c r="T27" s="68"/>
    </row>
    <row r="28" spans="1:20" ht="15">
      <c r="A28" s="40"/>
      <c r="B28" s="41"/>
      <c r="C28" s="42"/>
      <c r="D28" s="40"/>
      <c r="E28" s="40"/>
      <c r="F28" s="40"/>
      <c r="G28" s="40"/>
      <c r="H28" s="40"/>
      <c r="I28" s="44"/>
      <c r="J28" s="44"/>
      <c r="K28" s="44"/>
      <c r="L28" s="45"/>
      <c r="M28" s="40"/>
      <c r="N28" s="43"/>
      <c r="O28" s="43"/>
      <c r="P28" s="46"/>
      <c r="Q28" s="40"/>
      <c r="R28" s="40"/>
      <c r="S28" s="40"/>
      <c r="T28" s="5"/>
    </row>
    <row r="29" spans="1:20" ht="15">
      <c r="A29" s="58"/>
      <c r="B29" s="59"/>
      <c r="C29" s="60"/>
      <c r="D29" s="58"/>
      <c r="E29" s="58"/>
      <c r="F29" s="58"/>
      <c r="G29" s="58"/>
      <c r="H29" s="58"/>
      <c r="I29" s="61"/>
      <c r="J29" s="61"/>
      <c r="K29" s="61"/>
      <c r="L29" s="62"/>
      <c r="M29" s="58"/>
      <c r="N29" s="63"/>
      <c r="O29" s="63"/>
      <c r="P29" s="64"/>
      <c r="Q29" s="58"/>
      <c r="R29" s="58"/>
      <c r="S29" s="58"/>
      <c r="T29" s="68"/>
    </row>
    <row r="30" spans="1:20" ht="15">
      <c r="A30" s="40"/>
      <c r="B30" s="41"/>
      <c r="C30" s="42"/>
      <c r="D30" s="40"/>
      <c r="E30" s="40"/>
      <c r="F30" s="40"/>
      <c r="G30" s="40"/>
      <c r="H30" s="40"/>
      <c r="I30" s="44"/>
      <c r="J30" s="44"/>
      <c r="K30" s="44"/>
      <c r="L30" s="45"/>
      <c r="M30" s="40"/>
      <c r="N30" s="43"/>
      <c r="O30" s="43"/>
      <c r="P30" s="46"/>
      <c r="Q30" s="40"/>
      <c r="R30" s="40"/>
      <c r="S30" s="40"/>
      <c r="T30" s="5"/>
    </row>
    <row r="31" spans="1:20" ht="15">
      <c r="A31" s="58"/>
      <c r="B31" s="59"/>
      <c r="C31" s="60"/>
      <c r="D31" s="58"/>
      <c r="E31" s="58"/>
      <c r="F31" s="58"/>
      <c r="G31" s="58"/>
      <c r="H31" s="58"/>
      <c r="I31" s="61"/>
      <c r="J31" s="61"/>
      <c r="K31" s="61"/>
      <c r="L31" s="62"/>
      <c r="M31" s="58"/>
      <c r="N31" s="63"/>
      <c r="O31" s="63"/>
      <c r="P31" s="64"/>
      <c r="Q31" s="58"/>
      <c r="R31" s="58"/>
      <c r="S31" s="58"/>
      <c r="T31" s="68"/>
    </row>
    <row r="32" spans="1:20" ht="15">
      <c r="A32" s="40"/>
      <c r="B32" s="41"/>
      <c r="C32" s="42"/>
      <c r="D32" s="40"/>
      <c r="E32" s="40"/>
      <c r="F32" s="40"/>
      <c r="G32" s="40"/>
      <c r="H32" s="40"/>
      <c r="I32" s="44"/>
      <c r="J32" s="44"/>
      <c r="K32" s="44"/>
      <c r="L32" s="45"/>
      <c r="M32" s="40"/>
      <c r="N32" s="43"/>
      <c r="O32" s="43"/>
      <c r="P32" s="46"/>
      <c r="Q32" s="40"/>
      <c r="R32" s="40"/>
      <c r="S32" s="40"/>
      <c r="T32" s="5"/>
    </row>
    <row r="33" spans="1:20" ht="15">
      <c r="A33" s="58"/>
      <c r="B33" s="59"/>
      <c r="C33" s="60"/>
      <c r="D33" s="58"/>
      <c r="E33" s="58"/>
      <c r="F33" s="58"/>
      <c r="G33" s="58"/>
      <c r="H33" s="58"/>
      <c r="I33" s="61"/>
      <c r="J33" s="61"/>
      <c r="K33" s="61"/>
      <c r="L33" s="62"/>
      <c r="M33" s="58"/>
      <c r="N33" s="63"/>
      <c r="O33" s="63"/>
      <c r="P33" s="64"/>
      <c r="Q33" s="58"/>
      <c r="R33" s="58"/>
      <c r="S33" s="58"/>
      <c r="T33" s="68"/>
    </row>
    <row r="34" spans="1:20" ht="15">
      <c r="A34" s="40"/>
      <c r="B34" s="41"/>
      <c r="C34" s="42"/>
      <c r="D34" s="40"/>
      <c r="E34" s="40"/>
      <c r="F34" s="40"/>
      <c r="G34" s="40"/>
      <c r="H34" s="40"/>
      <c r="I34" s="44"/>
      <c r="J34" s="44"/>
      <c r="K34" s="44"/>
      <c r="L34" s="45"/>
      <c r="M34" s="40"/>
      <c r="N34" s="43"/>
      <c r="O34" s="43"/>
      <c r="P34" s="46"/>
      <c r="Q34" s="40"/>
      <c r="R34" s="40"/>
      <c r="S34" s="40"/>
      <c r="T34" s="5"/>
    </row>
    <row r="35" spans="1:20" ht="15">
      <c r="A35" s="58"/>
      <c r="B35" s="59"/>
      <c r="C35" s="60"/>
      <c r="D35" s="58"/>
      <c r="E35" s="58"/>
      <c r="F35" s="58"/>
      <c r="G35" s="58"/>
      <c r="H35" s="58"/>
      <c r="I35" s="61"/>
      <c r="J35" s="61"/>
      <c r="K35" s="61"/>
      <c r="L35" s="62"/>
      <c r="M35" s="58"/>
      <c r="N35" s="63"/>
      <c r="O35" s="63"/>
      <c r="P35" s="64"/>
      <c r="Q35" s="58"/>
      <c r="R35" s="58"/>
      <c r="S35" s="58"/>
      <c r="T35" s="68"/>
    </row>
    <row r="36" spans="1:20" ht="15">
      <c r="A36" s="40"/>
      <c r="B36" s="41"/>
      <c r="C36" s="42"/>
      <c r="D36" s="40"/>
      <c r="E36" s="40"/>
      <c r="F36" s="40"/>
      <c r="G36" s="40"/>
      <c r="H36" s="40"/>
      <c r="I36" s="44"/>
      <c r="J36" s="44"/>
      <c r="K36" s="44"/>
      <c r="L36" s="45"/>
      <c r="M36" s="40"/>
      <c r="N36" s="43"/>
      <c r="O36" s="43"/>
      <c r="P36" s="46"/>
      <c r="Q36" s="40"/>
      <c r="R36" s="40"/>
      <c r="S36" s="40"/>
      <c r="T36" s="5"/>
    </row>
    <row r="37" spans="1:20" ht="15">
      <c r="A37" s="58"/>
      <c r="B37" s="59"/>
      <c r="C37" s="60"/>
      <c r="D37" s="58"/>
      <c r="E37" s="58"/>
      <c r="F37" s="58"/>
      <c r="G37" s="58"/>
      <c r="H37" s="58"/>
      <c r="I37" s="61"/>
      <c r="J37" s="61"/>
      <c r="K37" s="61"/>
      <c r="L37" s="62"/>
      <c r="M37" s="58"/>
      <c r="N37" s="63"/>
      <c r="O37" s="63"/>
      <c r="P37" s="64"/>
      <c r="Q37" s="58"/>
      <c r="R37" s="58"/>
      <c r="S37" s="58"/>
      <c r="T37" s="68"/>
    </row>
    <row r="38" spans="1:20" ht="15">
      <c r="A38" s="40"/>
      <c r="B38" s="41"/>
      <c r="C38" s="42"/>
      <c r="D38" s="40"/>
      <c r="E38" s="40"/>
      <c r="F38" s="40"/>
      <c r="G38" s="40"/>
      <c r="H38" s="40"/>
      <c r="I38" s="44"/>
      <c r="J38" s="44"/>
      <c r="K38" s="44"/>
      <c r="L38" s="45"/>
      <c r="M38" s="40"/>
      <c r="N38" s="43"/>
      <c r="O38" s="43"/>
      <c r="P38" s="46"/>
      <c r="Q38" s="40"/>
      <c r="R38" s="40"/>
      <c r="S38" s="40"/>
      <c r="T38" s="5"/>
    </row>
    <row r="39" spans="1:20" ht="15">
      <c r="A39" s="58"/>
      <c r="B39" s="59"/>
      <c r="C39" s="60"/>
      <c r="D39" s="59"/>
      <c r="E39" s="58"/>
      <c r="F39" s="58"/>
      <c r="G39" s="58"/>
      <c r="H39" s="58"/>
      <c r="I39" s="63"/>
      <c r="J39" s="61"/>
      <c r="K39" s="61"/>
      <c r="L39" s="62"/>
      <c r="M39" s="58"/>
      <c r="N39" s="63"/>
      <c r="O39" s="63"/>
      <c r="P39" s="64"/>
      <c r="Q39" s="58"/>
      <c r="R39" s="58"/>
      <c r="S39" s="58"/>
      <c r="T39" s="68"/>
    </row>
    <row r="40" spans="1:20" ht="15">
      <c r="A40" s="40"/>
      <c r="B40" s="41"/>
      <c r="C40" s="42"/>
      <c r="D40" s="41"/>
      <c r="E40" s="40"/>
      <c r="F40" s="40"/>
      <c r="G40" s="40"/>
      <c r="H40" s="40"/>
      <c r="I40" s="43"/>
      <c r="J40" s="44"/>
      <c r="K40" s="44"/>
      <c r="L40" s="45"/>
      <c r="M40" s="40"/>
      <c r="N40" s="43"/>
      <c r="O40" s="43"/>
      <c r="P40" s="46"/>
      <c r="Q40" s="40"/>
      <c r="R40" s="40"/>
      <c r="S40" s="40"/>
      <c r="T40" s="5"/>
    </row>
    <row r="41" spans="1:20" ht="15">
      <c r="A41" s="58"/>
      <c r="B41" s="59"/>
      <c r="C41" s="60"/>
      <c r="D41" s="59"/>
      <c r="E41" s="58"/>
      <c r="F41" s="58"/>
      <c r="G41" s="58"/>
      <c r="H41" s="58"/>
      <c r="I41" s="63"/>
      <c r="J41" s="61"/>
      <c r="K41" s="61"/>
      <c r="L41" s="62"/>
      <c r="M41" s="58"/>
      <c r="N41" s="63"/>
      <c r="O41" s="63"/>
      <c r="P41" s="64"/>
      <c r="Q41" s="58"/>
      <c r="R41" s="58"/>
      <c r="S41" s="58"/>
      <c r="T41" s="68"/>
    </row>
    <row r="42" spans="1:20" ht="15">
      <c r="A42" s="40"/>
      <c r="B42" s="41"/>
      <c r="C42" s="42"/>
      <c r="D42" s="41"/>
      <c r="E42" s="40"/>
      <c r="F42" s="40"/>
      <c r="G42" s="40"/>
      <c r="H42" s="40"/>
      <c r="I42" s="43"/>
      <c r="J42" s="44"/>
      <c r="K42" s="44"/>
      <c r="L42" s="45"/>
      <c r="M42" s="40"/>
      <c r="N42" s="43"/>
      <c r="O42" s="43"/>
      <c r="P42" s="46"/>
      <c r="Q42" s="40"/>
      <c r="R42" s="40"/>
      <c r="S42" s="40"/>
      <c r="T42" s="5"/>
    </row>
    <row r="43" spans="1:20" ht="15">
      <c r="A43" s="58"/>
      <c r="B43" s="59"/>
      <c r="C43" s="60"/>
      <c r="D43" s="58"/>
      <c r="E43" s="58"/>
      <c r="F43" s="58"/>
      <c r="G43" s="58"/>
      <c r="H43" s="58"/>
      <c r="I43" s="61"/>
      <c r="J43" s="61"/>
      <c r="K43" s="61"/>
      <c r="L43" s="62"/>
      <c r="M43" s="58"/>
      <c r="N43" s="63"/>
      <c r="O43" s="63"/>
      <c r="P43" s="64"/>
      <c r="Q43" s="58"/>
      <c r="R43" s="58"/>
      <c r="S43" s="58"/>
      <c r="T43" s="68"/>
    </row>
    <row r="44" spans="1:20" ht="15">
      <c r="A44" s="40"/>
      <c r="B44" s="41"/>
      <c r="C44" s="42"/>
      <c r="D44" s="40"/>
      <c r="E44" s="40"/>
      <c r="F44" s="40"/>
      <c r="G44" s="40"/>
      <c r="H44" s="40"/>
      <c r="I44" s="44"/>
      <c r="J44" s="44"/>
      <c r="K44" s="44"/>
      <c r="L44" s="45"/>
      <c r="M44" s="40"/>
      <c r="N44" s="43"/>
      <c r="O44" s="43"/>
      <c r="P44" s="46"/>
      <c r="Q44" s="40"/>
      <c r="R44" s="40"/>
      <c r="S44" s="40"/>
      <c r="T44" s="5"/>
    </row>
    <row r="45" spans="1:20" ht="15">
      <c r="A45" s="58"/>
      <c r="B45" s="59"/>
      <c r="C45" s="60"/>
      <c r="D45" s="58"/>
      <c r="E45" s="58"/>
      <c r="F45" s="58"/>
      <c r="G45" s="58"/>
      <c r="H45" s="58"/>
      <c r="I45" s="61"/>
      <c r="J45" s="61"/>
      <c r="K45" s="61"/>
      <c r="L45" s="62"/>
      <c r="M45" s="58"/>
      <c r="N45" s="63"/>
      <c r="O45" s="63"/>
      <c r="P45" s="64"/>
      <c r="Q45" s="58"/>
      <c r="R45" s="58"/>
      <c r="S45" s="58"/>
      <c r="T45" s="68"/>
    </row>
    <row r="46" spans="1:20" ht="15">
      <c r="A46" s="40"/>
      <c r="B46" s="41"/>
      <c r="C46" s="42"/>
      <c r="D46" s="40"/>
      <c r="E46" s="40"/>
      <c r="F46" s="40"/>
      <c r="G46" s="40"/>
      <c r="H46" s="40"/>
      <c r="I46" s="44"/>
      <c r="J46" s="44"/>
      <c r="K46" s="44"/>
      <c r="L46" s="45"/>
      <c r="M46" s="40"/>
      <c r="N46" s="43"/>
      <c r="O46" s="43"/>
      <c r="P46" s="46"/>
      <c r="Q46" s="40"/>
      <c r="R46" s="40"/>
      <c r="S46" s="40"/>
      <c r="T46" s="5"/>
    </row>
    <row r="47" spans="1:20" ht="15">
      <c r="A47" s="58"/>
      <c r="B47" s="59"/>
      <c r="C47" s="60"/>
      <c r="D47" s="58"/>
      <c r="E47" s="58"/>
      <c r="F47" s="58"/>
      <c r="G47" s="58"/>
      <c r="H47" s="58"/>
      <c r="I47" s="61"/>
      <c r="J47" s="103"/>
      <c r="K47" s="61"/>
      <c r="L47" s="62"/>
      <c r="M47" s="58"/>
      <c r="N47" s="63"/>
      <c r="O47" s="63"/>
      <c r="P47" s="64"/>
      <c r="Q47" s="58"/>
      <c r="R47" s="58"/>
      <c r="S47" s="58"/>
      <c r="T47" s="68"/>
    </row>
    <row r="48" spans="1:20" ht="15">
      <c r="A48" s="40"/>
      <c r="B48" s="41"/>
      <c r="C48" s="42"/>
      <c r="D48" s="40"/>
      <c r="E48" s="40"/>
      <c r="F48" s="40"/>
      <c r="G48" s="40"/>
      <c r="H48" s="40"/>
      <c r="I48" s="44"/>
      <c r="J48" s="92"/>
      <c r="K48" s="44"/>
      <c r="L48" s="45"/>
      <c r="M48" s="40"/>
      <c r="N48" s="43"/>
      <c r="O48" s="43"/>
      <c r="P48" s="46"/>
      <c r="Q48" s="40"/>
      <c r="R48" s="40"/>
      <c r="S48" s="40"/>
      <c r="T48" s="5"/>
    </row>
    <row r="49" spans="1:20" ht="15">
      <c r="A49" s="58"/>
      <c r="B49" s="59"/>
      <c r="C49" s="60"/>
      <c r="D49" s="58"/>
      <c r="E49" s="58"/>
      <c r="F49" s="58"/>
      <c r="G49" s="58"/>
      <c r="H49" s="58"/>
      <c r="I49" s="61"/>
      <c r="J49" s="61"/>
      <c r="K49" s="61"/>
      <c r="L49" s="62"/>
      <c r="M49" s="58"/>
      <c r="N49" s="63"/>
      <c r="O49" s="63"/>
      <c r="P49" s="64"/>
      <c r="Q49" s="58"/>
      <c r="R49" s="58"/>
      <c r="S49" s="58"/>
      <c r="T49" s="68"/>
    </row>
    <row r="50" spans="1:20" ht="15">
      <c r="A50" s="40"/>
      <c r="B50" s="41"/>
      <c r="C50" s="42"/>
      <c r="D50" s="40"/>
      <c r="E50" s="40"/>
      <c r="F50" s="40"/>
      <c r="G50" s="40"/>
      <c r="H50" s="40"/>
      <c r="I50" s="44"/>
      <c r="J50" s="44"/>
      <c r="K50" s="44"/>
      <c r="L50" s="45"/>
      <c r="M50" s="40"/>
      <c r="N50" s="43"/>
      <c r="O50" s="43"/>
      <c r="P50" s="46"/>
      <c r="Q50" s="40"/>
      <c r="R50" s="40"/>
      <c r="S50" s="40"/>
      <c r="T50" s="5"/>
    </row>
    <row r="51" spans="1:20" ht="15">
      <c r="A51" s="58"/>
      <c r="B51" s="59"/>
      <c r="C51" s="60"/>
      <c r="D51" s="58"/>
      <c r="E51" s="58"/>
      <c r="F51" s="58"/>
      <c r="G51" s="58"/>
      <c r="H51" s="58"/>
      <c r="I51" s="61"/>
      <c r="J51" s="61"/>
      <c r="K51" s="61"/>
      <c r="L51" s="62"/>
      <c r="M51" s="58"/>
      <c r="N51" s="63"/>
      <c r="O51" s="63"/>
      <c r="P51" s="64"/>
      <c r="Q51" s="58"/>
      <c r="R51" s="58"/>
      <c r="S51" s="58"/>
      <c r="T51" s="68"/>
    </row>
    <row r="52" spans="1:20" ht="15">
      <c r="A52" s="40"/>
      <c r="B52" s="41"/>
      <c r="C52" s="42"/>
      <c r="D52" s="40"/>
      <c r="E52" s="40"/>
      <c r="F52" s="40"/>
      <c r="G52" s="40"/>
      <c r="H52" s="40"/>
      <c r="I52" s="44"/>
      <c r="J52" s="44"/>
      <c r="K52" s="44"/>
      <c r="L52" s="45"/>
      <c r="M52" s="40"/>
      <c r="N52" s="43"/>
      <c r="O52" s="43"/>
      <c r="P52" s="46"/>
      <c r="Q52" s="40"/>
      <c r="R52" s="40"/>
      <c r="S52" s="40"/>
      <c r="T52" s="5"/>
    </row>
    <row r="53" spans="1:20" ht="15">
      <c r="A53" s="58"/>
      <c r="B53" s="59"/>
      <c r="C53" s="60"/>
      <c r="D53" s="58"/>
      <c r="E53" s="58"/>
      <c r="F53" s="58"/>
      <c r="G53" s="58"/>
      <c r="H53" s="58"/>
      <c r="I53" s="61"/>
      <c r="J53" s="61"/>
      <c r="K53" s="61"/>
      <c r="L53" s="62"/>
      <c r="M53" s="58"/>
      <c r="N53" s="63"/>
      <c r="O53" s="63"/>
      <c r="P53" s="64"/>
      <c r="Q53" s="58"/>
      <c r="R53" s="58"/>
      <c r="S53" s="58"/>
      <c r="T53" s="68"/>
    </row>
    <row r="54" spans="1:20" ht="15">
      <c r="A54" s="40"/>
      <c r="B54" s="41"/>
      <c r="C54" s="42"/>
      <c r="D54" s="40"/>
      <c r="E54" s="40"/>
      <c r="F54" s="40"/>
      <c r="G54" s="40"/>
      <c r="H54" s="40"/>
      <c r="I54" s="44"/>
      <c r="J54" s="44"/>
      <c r="K54" s="44"/>
      <c r="L54" s="45"/>
      <c r="M54" s="40"/>
      <c r="N54" s="43"/>
      <c r="O54" s="43"/>
      <c r="P54" s="46"/>
      <c r="Q54" s="40"/>
      <c r="R54" s="40"/>
      <c r="S54" s="40"/>
      <c r="T54" s="5"/>
    </row>
    <row r="55" spans="1:20" ht="15">
      <c r="A55" s="58"/>
      <c r="B55" s="59"/>
      <c r="C55" s="60"/>
      <c r="D55" s="58"/>
      <c r="E55" s="58"/>
      <c r="F55" s="58"/>
      <c r="G55" s="58"/>
      <c r="H55" s="58"/>
      <c r="I55" s="61"/>
      <c r="J55" s="61"/>
      <c r="K55" s="61"/>
      <c r="L55" s="62"/>
      <c r="M55" s="58"/>
      <c r="N55" s="63"/>
      <c r="O55" s="63"/>
      <c r="P55" s="64"/>
      <c r="Q55" s="58"/>
      <c r="R55" s="58"/>
      <c r="S55" s="58"/>
      <c r="T55" s="68"/>
    </row>
    <row r="56" spans="1:20" ht="15">
      <c r="A56" s="40"/>
      <c r="B56" s="41"/>
      <c r="C56" s="42"/>
      <c r="D56" s="40"/>
      <c r="E56" s="40"/>
      <c r="F56" s="40"/>
      <c r="G56" s="40"/>
      <c r="H56" s="40"/>
      <c r="I56" s="44"/>
      <c r="J56" s="44"/>
      <c r="K56" s="44"/>
      <c r="L56" s="45"/>
      <c r="M56" s="40"/>
      <c r="N56" s="43"/>
      <c r="O56" s="43"/>
      <c r="P56" s="46"/>
      <c r="Q56" s="40"/>
      <c r="R56" s="40"/>
      <c r="S56" s="40"/>
      <c r="T56" s="5"/>
    </row>
    <row r="57" spans="1:20" ht="15">
      <c r="A57" s="58"/>
      <c r="B57" s="59"/>
      <c r="C57" s="60"/>
      <c r="D57" s="58"/>
      <c r="E57" s="58"/>
      <c r="F57" s="58"/>
      <c r="G57" s="58"/>
      <c r="H57" s="58"/>
      <c r="I57" s="61"/>
      <c r="J57" s="61"/>
      <c r="K57" s="61"/>
      <c r="L57" s="62"/>
      <c r="M57" s="58"/>
      <c r="N57" s="63"/>
      <c r="O57" s="63"/>
      <c r="P57" s="64"/>
      <c r="Q57" s="58"/>
      <c r="R57" s="58"/>
      <c r="S57" s="58"/>
      <c r="T57" s="68"/>
    </row>
    <row r="58" spans="1:20" ht="15">
      <c r="A58" s="40"/>
      <c r="B58" s="41"/>
      <c r="C58" s="42"/>
      <c r="D58" s="40"/>
      <c r="E58" s="40"/>
      <c r="F58" s="40"/>
      <c r="G58" s="40"/>
      <c r="H58" s="40"/>
      <c r="I58" s="44"/>
      <c r="J58" s="44"/>
      <c r="K58" s="44"/>
      <c r="L58" s="45"/>
      <c r="M58" s="40"/>
      <c r="N58" s="43"/>
      <c r="O58" s="43"/>
      <c r="P58" s="46"/>
      <c r="Q58" s="40"/>
      <c r="R58" s="40"/>
      <c r="S58" s="40"/>
      <c r="T58" s="5"/>
    </row>
    <row r="59" spans="1:20" ht="15">
      <c r="A59" s="58"/>
      <c r="B59" s="59"/>
      <c r="C59" s="60"/>
      <c r="D59" s="58"/>
      <c r="E59" s="58"/>
      <c r="F59" s="58"/>
      <c r="G59" s="58"/>
      <c r="H59" s="58"/>
      <c r="I59" s="61"/>
      <c r="J59" s="61"/>
      <c r="K59" s="61"/>
      <c r="L59" s="62"/>
      <c r="M59" s="58"/>
      <c r="N59" s="63"/>
      <c r="O59" s="63"/>
      <c r="P59" s="64"/>
      <c r="Q59" s="58"/>
      <c r="R59" s="58"/>
      <c r="S59" s="58"/>
      <c r="T59" s="68"/>
    </row>
    <row r="60" spans="1:20" ht="15">
      <c r="A60" s="40"/>
      <c r="B60" s="41"/>
      <c r="C60" s="42"/>
      <c r="D60" s="40"/>
      <c r="E60" s="40"/>
      <c r="F60" s="40"/>
      <c r="G60" s="40"/>
      <c r="H60" s="40"/>
      <c r="I60" s="44"/>
      <c r="J60" s="44"/>
      <c r="K60" s="44"/>
      <c r="L60" s="45"/>
      <c r="M60" s="40"/>
      <c r="N60" s="43"/>
      <c r="O60" s="43"/>
      <c r="P60" s="46"/>
      <c r="Q60" s="40"/>
      <c r="R60" s="40"/>
      <c r="S60" s="40"/>
      <c r="T60" s="5"/>
    </row>
    <row r="61" spans="1:20" ht="15">
      <c r="A61" s="58"/>
      <c r="B61" s="59"/>
      <c r="C61" s="60"/>
      <c r="D61" s="58"/>
      <c r="E61" s="58"/>
      <c r="F61" s="58"/>
      <c r="G61" s="58"/>
      <c r="H61" s="58"/>
      <c r="I61" s="61"/>
      <c r="J61" s="61"/>
      <c r="K61" s="61"/>
      <c r="L61" s="62"/>
      <c r="M61" s="58"/>
      <c r="N61" s="63"/>
      <c r="O61" s="63"/>
      <c r="P61" s="64"/>
      <c r="Q61" s="58"/>
      <c r="R61" s="58"/>
      <c r="S61" s="58"/>
      <c r="T61" s="68"/>
    </row>
    <row r="62" spans="1:20" ht="15">
      <c r="A62" s="40"/>
      <c r="B62" s="41"/>
      <c r="C62" s="42"/>
      <c r="D62" s="40"/>
      <c r="E62" s="40"/>
      <c r="F62" s="40"/>
      <c r="G62" s="40"/>
      <c r="H62" s="40"/>
      <c r="I62" s="44"/>
      <c r="J62" s="44"/>
      <c r="K62" s="44"/>
      <c r="L62" s="45"/>
      <c r="M62" s="40"/>
      <c r="N62" s="43"/>
      <c r="O62" s="43"/>
      <c r="P62" s="46"/>
      <c r="Q62" s="40"/>
      <c r="R62" s="40"/>
      <c r="S62" s="40"/>
      <c r="T62" s="5"/>
    </row>
    <row r="63" spans="1:20" ht="15">
      <c r="A63" s="58"/>
      <c r="B63" s="59"/>
      <c r="C63" s="60"/>
      <c r="D63" s="58"/>
      <c r="E63" s="58"/>
      <c r="F63" s="58"/>
      <c r="G63" s="58"/>
      <c r="H63" s="58"/>
      <c r="I63" s="61"/>
      <c r="J63" s="61"/>
      <c r="K63" s="61"/>
      <c r="L63" s="62"/>
      <c r="M63" s="58"/>
      <c r="N63" s="63"/>
      <c r="O63" s="63"/>
      <c r="P63" s="64"/>
      <c r="Q63" s="58"/>
      <c r="R63" s="58"/>
      <c r="S63" s="58"/>
      <c r="T63" s="68"/>
    </row>
    <row r="64" spans="1:20" ht="15">
      <c r="A64" s="40"/>
      <c r="B64" s="41"/>
      <c r="C64" s="42"/>
      <c r="D64" s="40"/>
      <c r="E64" s="40"/>
      <c r="F64" s="40"/>
      <c r="G64" s="40"/>
      <c r="H64" s="40"/>
      <c r="I64" s="44"/>
      <c r="J64" s="44"/>
      <c r="K64" s="44"/>
      <c r="L64" s="45"/>
      <c r="M64" s="40"/>
      <c r="N64" s="43"/>
      <c r="O64" s="43"/>
      <c r="P64" s="46"/>
      <c r="Q64" s="40"/>
      <c r="R64" s="40"/>
      <c r="S64" s="40"/>
      <c r="T64" s="5"/>
    </row>
    <row r="65" spans="1:20">
      <c r="A65" s="79"/>
      <c r="B65" s="80"/>
      <c r="C65" s="94"/>
      <c r="D65" s="81"/>
      <c r="E65" s="79"/>
      <c r="F65" s="79"/>
      <c r="G65" s="79"/>
      <c r="H65" s="79"/>
      <c r="I65" s="82"/>
      <c r="J65" s="82"/>
      <c r="K65" s="82"/>
      <c r="L65" s="83"/>
      <c r="M65" s="79"/>
      <c r="N65" s="84"/>
      <c r="O65" s="84"/>
      <c r="P65" s="85"/>
      <c r="Q65" s="79"/>
      <c r="R65" s="79"/>
      <c r="S65" s="79"/>
      <c r="T65" s="150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832" priority="52" operator="containsText" text="SIN FACTURA ">
      <formula>NOT(ISERROR(SEARCH("SIN FACTURA ",A2)))</formula>
    </cfRule>
  </conditionalFormatting>
  <conditionalFormatting sqref="G26:T26 E26 A27:A46 A49 D25:T25 A25:C26 B27:C49 D27:T64 A50:C64 A22:T23 A19:T20 A4:T12">
    <cfRule type="containsText" dxfId="831" priority="51" operator="containsText" text="SIN FACTURA">
      <formula>NOT(ISERROR(SEARCH("SIN FACTURA",A4)))</formula>
    </cfRule>
  </conditionalFormatting>
  <pageMargins left="0.75" right="0.75" top="1" bottom="1" header="0.5" footer="0.5"/>
  <pageSetup paperSize="9" orientation="portrait" horizontalDpi="4294967292" verticalDpi="4294967292" r:id="rId1"/>
</worksheet>
</file>

<file path=xl/worksheets/sheet142.xml><?xml version="1.0" encoding="utf-8"?>
<worksheet xmlns="http://schemas.openxmlformats.org/spreadsheetml/2006/main" xmlns:r="http://schemas.openxmlformats.org/officeDocument/2006/relationships">
  <sheetPr codeName="Hoja206"/>
  <dimension ref="A1:Y48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C23" sqref="C23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4">
        <v>341</v>
      </c>
      <c r="B1" s="15" t="s">
        <v>82</v>
      </c>
      <c r="C1" s="1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6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>F5-G5-H5</f>
        <v>0</v>
      </c>
      <c r="J5" s="44">
        <f t="shared" ref="J5:J45" si="0">S5+T5</f>
        <v>0</v>
      </c>
      <c r="K5" s="44">
        <f t="shared" ref="K5:K45" si="1">I5-J5</f>
        <v>0</v>
      </c>
      <c r="L5" s="45"/>
      <c r="M5" s="40"/>
      <c r="N5" s="43">
        <f t="shared" ref="N5:N45" si="2">I5-J5-M5-R5</f>
        <v>0</v>
      </c>
      <c r="O5" s="43">
        <f t="shared" ref="O5:O45" si="3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ref="I7:I45" si="4">F7-G7-H7</f>
        <v>0</v>
      </c>
      <c r="J7" s="44">
        <f t="shared" si="0"/>
        <v>0</v>
      </c>
      <c r="K7" s="44">
        <f t="shared" si="1"/>
        <v>0</v>
      </c>
      <c r="L7" s="45"/>
      <c r="M7" s="40"/>
      <c r="N7" s="43">
        <f t="shared" si="2"/>
        <v>0</v>
      </c>
      <c r="O7" s="43">
        <f t="shared" si="3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4"/>
        <v>0</v>
      </c>
      <c r="J9" s="44">
        <f t="shared" si="0"/>
        <v>0</v>
      </c>
      <c r="K9" s="44">
        <f t="shared" si="1"/>
        <v>0</v>
      </c>
      <c r="L9" s="45"/>
      <c r="M9" s="40"/>
      <c r="N9" s="43">
        <f t="shared" si="2"/>
        <v>0</v>
      </c>
      <c r="O9" s="43">
        <f t="shared" si="3"/>
        <v>0</v>
      </c>
      <c r="P9" s="46"/>
      <c r="Q9" s="40"/>
      <c r="R9" s="43"/>
      <c r="S9" s="43"/>
      <c r="T9" s="49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4"/>
        <v>0</v>
      </c>
      <c r="J11" s="44">
        <f>S11+T11</f>
        <v>0</v>
      </c>
      <c r="K11" s="44">
        <f>I11-J11</f>
        <v>0</v>
      </c>
      <c r="L11" s="45"/>
      <c r="M11" s="40"/>
      <c r="N11" s="43">
        <f t="shared" si="2"/>
        <v>0</v>
      </c>
      <c r="O11" s="43">
        <f t="shared" si="3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4"/>
        <v>0</v>
      </c>
      <c r="J13" s="44">
        <f t="shared" si="0"/>
        <v>0</v>
      </c>
      <c r="K13" s="44">
        <f t="shared" si="1"/>
        <v>0</v>
      </c>
      <c r="L13" s="45"/>
      <c r="M13" s="40"/>
      <c r="N13" s="43">
        <f t="shared" si="2"/>
        <v>0</v>
      </c>
      <c r="O13" s="43">
        <f t="shared" si="3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4"/>
        <v>0</v>
      </c>
      <c r="J15" s="44">
        <f t="shared" si="0"/>
        <v>0</v>
      </c>
      <c r="K15" s="44">
        <f t="shared" si="1"/>
        <v>0</v>
      </c>
      <c r="L15" s="45"/>
      <c r="M15" s="40"/>
      <c r="N15" s="43">
        <f t="shared" si="2"/>
        <v>0</v>
      </c>
      <c r="O15" s="43">
        <f t="shared" si="3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4"/>
        <v>0</v>
      </c>
      <c r="J17" s="44">
        <f t="shared" si="0"/>
        <v>0</v>
      </c>
      <c r="K17" s="44">
        <f t="shared" si="1"/>
        <v>0</v>
      </c>
      <c r="L17" s="45"/>
      <c r="M17" s="40"/>
      <c r="N17" s="43">
        <f t="shared" si="2"/>
        <v>0</v>
      </c>
      <c r="O17" s="43">
        <f t="shared" si="3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4"/>
        <v>0</v>
      </c>
      <c r="J19" s="44">
        <f>S19+T19</f>
        <v>0</v>
      </c>
      <c r="K19" s="44">
        <f t="shared" si="1"/>
        <v>0</v>
      </c>
      <c r="L19" s="45"/>
      <c r="M19" s="40"/>
      <c r="N19" s="43">
        <f>I19-J19-M19-R19</f>
        <v>0</v>
      </c>
      <c r="O19" s="43">
        <f>R19+S19+T19</f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4"/>
        <v>0</v>
      </c>
      <c r="J21" s="44">
        <f t="shared" si="0"/>
        <v>0</v>
      </c>
      <c r="K21" s="44">
        <f t="shared" si="1"/>
        <v>0</v>
      </c>
      <c r="L21" s="45"/>
      <c r="M21" s="40"/>
      <c r="N21" s="43">
        <f t="shared" si="2"/>
        <v>0</v>
      </c>
      <c r="O21" s="43">
        <f t="shared" si="3"/>
        <v>0</v>
      </c>
      <c r="P21" s="46"/>
      <c r="Q21" s="40"/>
      <c r="R21" s="47"/>
      <c r="S21" s="47"/>
      <c r="T21" s="48"/>
    </row>
    <row r="22" spans="1:22" ht="15">
      <c r="A22" s="32"/>
      <c r="B22" s="33"/>
      <c r="C22" s="34"/>
      <c r="D22" s="32"/>
      <c r="E22" s="32"/>
      <c r="F22" s="32"/>
      <c r="G22" s="37"/>
      <c r="H22" s="37"/>
      <c r="I22" s="37"/>
      <c r="J22" s="35"/>
      <c r="K22" s="35"/>
      <c r="L22" s="36"/>
      <c r="M22" s="32"/>
      <c r="N22" s="37"/>
      <c r="O22" s="37"/>
      <c r="P22" s="38"/>
      <c r="Q22" s="32"/>
      <c r="R22" s="32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4"/>
        <v>0</v>
      </c>
      <c r="J23" s="44">
        <f t="shared" si="0"/>
        <v>0</v>
      </c>
      <c r="K23" s="44">
        <f t="shared" si="1"/>
        <v>0</v>
      </c>
      <c r="L23" s="45"/>
      <c r="M23" s="40"/>
      <c r="N23" s="43">
        <f t="shared" si="2"/>
        <v>0</v>
      </c>
      <c r="O23" s="43">
        <f t="shared" si="3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4"/>
        <v>0</v>
      </c>
      <c r="J25" s="44">
        <f t="shared" si="0"/>
        <v>0</v>
      </c>
      <c r="K25" s="44">
        <f t="shared" si="1"/>
        <v>0</v>
      </c>
      <c r="L25" s="45"/>
      <c r="M25" s="40"/>
      <c r="N25" s="43">
        <f t="shared" si="2"/>
        <v>0</v>
      </c>
      <c r="O25" s="43">
        <f t="shared" si="3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4"/>
        <v>0</v>
      </c>
      <c r="J27" s="44">
        <f t="shared" si="0"/>
        <v>0</v>
      </c>
      <c r="K27" s="44">
        <f t="shared" si="1"/>
        <v>0</v>
      </c>
      <c r="L27" s="45"/>
      <c r="M27" s="40"/>
      <c r="N27" s="43">
        <f t="shared" si="2"/>
        <v>0</v>
      </c>
      <c r="O27" s="43">
        <f t="shared" si="3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4"/>
        <v>0</v>
      </c>
      <c r="J29" s="44">
        <f t="shared" si="0"/>
        <v>0</v>
      </c>
      <c r="K29" s="44">
        <f t="shared" si="1"/>
        <v>0</v>
      </c>
      <c r="L29" s="45"/>
      <c r="M29" s="40"/>
      <c r="N29" s="43">
        <f t="shared" si="2"/>
        <v>0</v>
      </c>
      <c r="O29" s="43">
        <f t="shared" si="3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4"/>
        <v>0</v>
      </c>
      <c r="J31" s="44">
        <f t="shared" si="0"/>
        <v>0</v>
      </c>
      <c r="K31" s="44">
        <f t="shared" si="1"/>
        <v>0</v>
      </c>
      <c r="L31" s="45"/>
      <c r="M31" s="40"/>
      <c r="N31" s="43">
        <f t="shared" si="2"/>
        <v>0</v>
      </c>
      <c r="O31" s="43">
        <f t="shared" si="3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4"/>
        <v>0</v>
      </c>
      <c r="J33" s="44">
        <f t="shared" si="0"/>
        <v>0</v>
      </c>
      <c r="K33" s="44">
        <f t="shared" si="1"/>
        <v>0</v>
      </c>
      <c r="L33" s="45"/>
      <c r="M33" s="40"/>
      <c r="N33" s="43">
        <f t="shared" si="2"/>
        <v>0</v>
      </c>
      <c r="O33" s="43">
        <f t="shared" si="3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4"/>
        <v>0</v>
      </c>
      <c r="J35" s="44">
        <f t="shared" si="0"/>
        <v>0</v>
      </c>
      <c r="K35" s="44">
        <f t="shared" si="1"/>
        <v>0</v>
      </c>
      <c r="L35" s="45"/>
      <c r="M35" s="40"/>
      <c r="N35" s="43">
        <f t="shared" si="2"/>
        <v>0</v>
      </c>
      <c r="O35" s="43">
        <f t="shared" si="3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4"/>
        <v>0</v>
      </c>
      <c r="J37" s="44">
        <f t="shared" si="0"/>
        <v>0</v>
      </c>
      <c r="K37" s="44">
        <f t="shared" si="1"/>
        <v>0</v>
      </c>
      <c r="L37" s="45"/>
      <c r="M37" s="40"/>
      <c r="N37" s="43">
        <f t="shared" si="2"/>
        <v>0</v>
      </c>
      <c r="O37" s="43">
        <f t="shared" si="3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4"/>
        <v>0</v>
      </c>
      <c r="J39" s="44">
        <f t="shared" si="0"/>
        <v>0</v>
      </c>
      <c r="K39" s="44">
        <f t="shared" si="1"/>
        <v>0</v>
      </c>
      <c r="L39" s="45"/>
      <c r="M39" s="40"/>
      <c r="N39" s="43">
        <f t="shared" si="2"/>
        <v>0</v>
      </c>
      <c r="O39" s="43">
        <f t="shared" si="3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4"/>
        <v>0</v>
      </c>
      <c r="J41" s="44">
        <f t="shared" si="0"/>
        <v>0</v>
      </c>
      <c r="K41" s="44">
        <f t="shared" si="1"/>
        <v>0</v>
      </c>
      <c r="L41" s="45"/>
      <c r="M41" s="40"/>
      <c r="N41" s="43">
        <f t="shared" si="2"/>
        <v>0</v>
      </c>
      <c r="O41" s="43">
        <f t="shared" si="3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40"/>
      <c r="B43" s="41"/>
      <c r="C43" s="42"/>
      <c r="D43" s="40"/>
      <c r="E43" s="40"/>
      <c r="F43" s="40"/>
      <c r="G43" s="43">
        <f>F43*6%</f>
        <v>0</v>
      </c>
      <c r="H43" s="43"/>
      <c r="I43" s="44">
        <f t="shared" si="4"/>
        <v>0</v>
      </c>
      <c r="J43" s="44">
        <f t="shared" si="0"/>
        <v>0</v>
      </c>
      <c r="K43" s="44">
        <f t="shared" si="1"/>
        <v>0</v>
      </c>
      <c r="L43" s="45"/>
      <c r="M43" s="40"/>
      <c r="N43" s="43">
        <f t="shared" si="2"/>
        <v>0</v>
      </c>
      <c r="O43" s="43">
        <f t="shared" si="3"/>
        <v>0</v>
      </c>
      <c r="P43" s="46"/>
      <c r="Q43" s="40"/>
      <c r="R43" s="40"/>
      <c r="S43" s="40"/>
      <c r="T43" s="5"/>
    </row>
    <row r="44" spans="1:22" ht="15">
      <c r="A44" s="32"/>
      <c r="B44" s="33"/>
      <c r="C44" s="32"/>
      <c r="D44" s="33"/>
      <c r="E44" s="34"/>
      <c r="F44" s="32"/>
      <c r="G44" s="32"/>
      <c r="H44" s="32"/>
      <c r="I44" s="37"/>
      <c r="J44" s="37"/>
      <c r="K44" s="35"/>
      <c r="L44" s="35"/>
      <c r="M44" s="35"/>
      <c r="N44" s="36"/>
      <c r="O44" s="32"/>
      <c r="P44" s="37"/>
      <c r="Q44" s="37"/>
      <c r="R44" s="38"/>
      <c r="S44" s="32"/>
      <c r="T44" s="39"/>
      <c r="U44" s="6"/>
      <c r="V44" s="6"/>
    </row>
    <row r="45" spans="1:22" ht="15">
      <c r="A45" s="40"/>
      <c r="B45" s="41"/>
      <c r="C45" s="42"/>
      <c r="D45" s="40"/>
      <c r="E45" s="40"/>
      <c r="F45" s="40"/>
      <c r="G45" s="43">
        <f>F45*6%</f>
        <v>0</v>
      </c>
      <c r="H45" s="43"/>
      <c r="I45" s="44">
        <f t="shared" si="4"/>
        <v>0</v>
      </c>
      <c r="J45" s="44">
        <f t="shared" si="0"/>
        <v>0</v>
      </c>
      <c r="K45" s="44">
        <f t="shared" si="1"/>
        <v>0</v>
      </c>
      <c r="L45" s="45"/>
      <c r="M45" s="40"/>
      <c r="N45" s="43">
        <f t="shared" si="2"/>
        <v>0</v>
      </c>
      <c r="O45" s="43">
        <f t="shared" si="3"/>
        <v>0</v>
      </c>
      <c r="P45" s="46"/>
      <c r="Q45" s="40"/>
      <c r="R45" s="40"/>
      <c r="S45" s="40"/>
      <c r="T45" s="5"/>
    </row>
    <row r="46" spans="1:22" ht="15">
      <c r="A46" s="58"/>
      <c r="B46" s="59"/>
      <c r="C46" s="60"/>
      <c r="D46" s="58"/>
      <c r="E46" s="58"/>
      <c r="F46" s="58"/>
      <c r="G46" s="58"/>
      <c r="H46" s="58"/>
      <c r="I46" s="61">
        <f t="shared" ref="I46:I48" si="5">F46-G46</f>
        <v>0</v>
      </c>
      <c r="J46" s="61">
        <f t="shared" ref="J46:J48" si="6">S46+T46</f>
        <v>0</v>
      </c>
      <c r="K46" s="61">
        <f t="shared" ref="K46:K48" si="7">I46-J46</f>
        <v>0</v>
      </c>
      <c r="L46" s="62"/>
      <c r="M46" s="58"/>
      <c r="N46" s="63">
        <f t="shared" ref="N46:N48" si="8">I46-J46-M46-R46</f>
        <v>0</v>
      </c>
      <c r="O46" s="63">
        <f t="shared" ref="O46:O48" si="9">R46+S46+T46</f>
        <v>0</v>
      </c>
      <c r="P46" s="64"/>
      <c r="Q46" s="58"/>
      <c r="R46" s="58"/>
      <c r="S46" s="58"/>
      <c r="T46" s="68"/>
    </row>
    <row r="47" spans="1:22" ht="15">
      <c r="A47" s="40"/>
      <c r="B47" s="41"/>
      <c r="C47" s="42"/>
      <c r="D47" s="40"/>
      <c r="E47" s="40"/>
      <c r="F47" s="40"/>
      <c r="G47" s="40"/>
      <c r="H47" s="40"/>
      <c r="I47" s="44">
        <f t="shared" si="5"/>
        <v>0</v>
      </c>
      <c r="J47" s="44">
        <f t="shared" si="6"/>
        <v>0</v>
      </c>
      <c r="K47" s="44">
        <f t="shared" si="7"/>
        <v>0</v>
      </c>
      <c r="L47" s="45"/>
      <c r="M47" s="40"/>
      <c r="N47" s="43">
        <f t="shared" si="8"/>
        <v>0</v>
      </c>
      <c r="O47" s="43">
        <f t="shared" si="9"/>
        <v>0</v>
      </c>
      <c r="P47" s="46"/>
      <c r="Q47" s="40"/>
      <c r="R47" s="40"/>
      <c r="S47" s="40"/>
      <c r="T47" s="5"/>
    </row>
    <row r="48" spans="1:22" ht="15">
      <c r="A48" s="69"/>
      <c r="B48" s="70"/>
      <c r="C48" s="71"/>
      <c r="D48" s="69"/>
      <c r="E48" s="69"/>
      <c r="F48" s="69"/>
      <c r="G48" s="69"/>
      <c r="H48" s="69"/>
      <c r="I48" s="72">
        <f t="shared" si="5"/>
        <v>0</v>
      </c>
      <c r="J48" s="72">
        <f t="shared" si="6"/>
        <v>0</v>
      </c>
      <c r="K48" s="72">
        <f t="shared" si="7"/>
        <v>0</v>
      </c>
      <c r="L48" s="73"/>
      <c r="M48" s="69"/>
      <c r="N48" s="74">
        <f t="shared" si="8"/>
        <v>0</v>
      </c>
      <c r="O48" s="74">
        <f t="shared" si="9"/>
        <v>0</v>
      </c>
      <c r="P48" s="75"/>
      <c r="Q48" s="69"/>
      <c r="R48" s="69"/>
      <c r="S48" s="69"/>
      <c r="T48" s="76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424" priority="28" operator="containsText" text="SIN FACTURA ">
      <formula>NOT(ISERROR(SEARCH("SIN FACTURA ",A2)))</formula>
    </cfRule>
  </conditionalFormatting>
  <conditionalFormatting sqref="A46:T48">
    <cfRule type="containsText" dxfId="1423" priority="27" operator="containsText" text="SIN FACTURA">
      <formula>NOT(ISERROR(SEARCH("SIN FACTURA",A46)))</formula>
    </cfRule>
  </conditionalFormatting>
  <conditionalFormatting sqref="A44:B44">
    <cfRule type="containsText" dxfId="1422" priority="1" operator="containsText" text="SIN FACTURA">
      <formula>NOT(ISERROR(SEARCH("SIN FACTURA",A44)))</formula>
    </cfRule>
  </conditionalFormatting>
  <conditionalFormatting sqref="A4:T5 J45:T45 J43:T43 J41:T41 J39:T39 J37:T37 J35:T35 J33:T33 J31:T31 J29:T29 J27:T27 J25:T25 J15:T23 J6:T13 I6:I45 A6:H13 A15:H23 A25:H25 A27:H27 A29:H29 A31:H31 A33:H33 A35:H35 A37:H37 A39:H39 A41:H41 A43:H43 A45:H45">
    <cfRule type="containsText" dxfId="1421" priority="25" operator="containsText" text="SIN FACTURA">
      <formula>NOT(ISERROR(SEARCH("SIN FACTURA",A4)))</formula>
    </cfRule>
  </conditionalFormatting>
  <conditionalFormatting sqref="C14:H14 J14:V14">
    <cfRule type="containsText" dxfId="1420" priority="24" operator="containsText" text="SIN FACTURA">
      <formula>NOT(ISERROR(SEARCH("SIN FACTURA",C14)))</formula>
    </cfRule>
  </conditionalFormatting>
  <conditionalFormatting sqref="C24:H24 J24:V24">
    <cfRule type="containsText" dxfId="1419" priority="23" operator="containsText" text="SIN FACTURA">
      <formula>NOT(ISERROR(SEARCH("SIN FACTURA",C24)))</formula>
    </cfRule>
  </conditionalFormatting>
  <conditionalFormatting sqref="C26:H26 J26:V26">
    <cfRule type="containsText" dxfId="1418" priority="22" operator="containsText" text="SIN FACTURA">
      <formula>NOT(ISERROR(SEARCH("SIN FACTURA",C26)))</formula>
    </cfRule>
  </conditionalFormatting>
  <conditionalFormatting sqref="C28:H28 J28:V28">
    <cfRule type="containsText" dxfId="1417" priority="21" operator="containsText" text="SIN FACTURA">
      <formula>NOT(ISERROR(SEARCH("SIN FACTURA",C28)))</formula>
    </cfRule>
  </conditionalFormatting>
  <conditionalFormatting sqref="C30:H30 J30:V30">
    <cfRule type="containsText" dxfId="1416" priority="20" operator="containsText" text="SIN FACTURA">
      <formula>NOT(ISERROR(SEARCH("SIN FACTURA",C30)))</formula>
    </cfRule>
  </conditionalFormatting>
  <conditionalFormatting sqref="C32:H32 J32:V32">
    <cfRule type="containsText" dxfId="1415" priority="19" operator="containsText" text="SIN FACTURA">
      <formula>NOT(ISERROR(SEARCH("SIN FACTURA",C32)))</formula>
    </cfRule>
  </conditionalFormatting>
  <conditionalFormatting sqref="C34:H34 J34:V34">
    <cfRule type="containsText" dxfId="1414" priority="18" operator="containsText" text="SIN FACTURA">
      <formula>NOT(ISERROR(SEARCH("SIN FACTURA",C34)))</formula>
    </cfRule>
  </conditionalFormatting>
  <conditionalFormatting sqref="C36:H36 J36:V36">
    <cfRule type="containsText" dxfId="1413" priority="17" operator="containsText" text="SIN FACTURA">
      <formula>NOT(ISERROR(SEARCH("SIN FACTURA",C36)))</formula>
    </cfRule>
  </conditionalFormatting>
  <conditionalFormatting sqref="C38:H38 J38:V38">
    <cfRule type="containsText" dxfId="1412" priority="16" operator="containsText" text="SIN FACTURA">
      <formula>NOT(ISERROR(SEARCH("SIN FACTURA",C38)))</formula>
    </cfRule>
  </conditionalFormatting>
  <conditionalFormatting sqref="C40:H40 J40:V40">
    <cfRule type="containsText" dxfId="1411" priority="15" operator="containsText" text="SIN FACTURA">
      <formula>NOT(ISERROR(SEARCH("SIN FACTURA",C40)))</formula>
    </cfRule>
  </conditionalFormatting>
  <conditionalFormatting sqref="C42:H42 J42:V42">
    <cfRule type="containsText" dxfId="1410" priority="14" operator="containsText" text="SIN FACTURA">
      <formula>NOT(ISERROR(SEARCH("SIN FACTURA",C42)))</formula>
    </cfRule>
  </conditionalFormatting>
  <conditionalFormatting sqref="C44:H44 J44:V44">
    <cfRule type="containsText" dxfId="1409" priority="13" operator="containsText" text="SIN FACTURA">
      <formula>NOT(ISERROR(SEARCH("SIN FACTURA",C44)))</formula>
    </cfRule>
  </conditionalFormatting>
  <conditionalFormatting sqref="A14:B14">
    <cfRule type="containsText" dxfId="1408" priority="12" operator="containsText" text="SIN FACTURA">
      <formula>NOT(ISERROR(SEARCH("SIN FACTURA",A14)))</formula>
    </cfRule>
  </conditionalFormatting>
  <conditionalFormatting sqref="A24:B24">
    <cfRule type="containsText" dxfId="1407" priority="11" operator="containsText" text="SIN FACTURA">
      <formula>NOT(ISERROR(SEARCH("SIN FACTURA",A24)))</formula>
    </cfRule>
  </conditionalFormatting>
  <conditionalFormatting sqref="A26:B26">
    <cfRule type="containsText" dxfId="1406" priority="10" operator="containsText" text="SIN FACTURA">
      <formula>NOT(ISERROR(SEARCH("SIN FACTURA",A26)))</formula>
    </cfRule>
  </conditionalFormatting>
  <conditionalFormatting sqref="A28:B28">
    <cfRule type="containsText" dxfId="1405" priority="9" operator="containsText" text="SIN FACTURA">
      <formula>NOT(ISERROR(SEARCH("SIN FACTURA",A28)))</formula>
    </cfRule>
  </conditionalFormatting>
  <conditionalFormatting sqref="A30:B30">
    <cfRule type="containsText" dxfId="1404" priority="8" operator="containsText" text="SIN FACTURA">
      <formula>NOT(ISERROR(SEARCH("SIN FACTURA",A30)))</formula>
    </cfRule>
  </conditionalFormatting>
  <conditionalFormatting sqref="A32:B32">
    <cfRule type="containsText" dxfId="1403" priority="7" operator="containsText" text="SIN FACTURA">
      <formula>NOT(ISERROR(SEARCH("SIN FACTURA",A32)))</formula>
    </cfRule>
  </conditionalFormatting>
  <conditionalFormatting sqref="A34:B34">
    <cfRule type="containsText" dxfId="1402" priority="6" operator="containsText" text="SIN FACTURA">
      <formula>NOT(ISERROR(SEARCH("SIN FACTURA",A34)))</formula>
    </cfRule>
  </conditionalFormatting>
  <conditionalFormatting sqref="A36:B36">
    <cfRule type="containsText" dxfId="1401" priority="5" operator="containsText" text="SIN FACTURA">
      <formula>NOT(ISERROR(SEARCH("SIN FACTURA",A36)))</formula>
    </cfRule>
  </conditionalFormatting>
  <conditionalFormatting sqref="A38:B38">
    <cfRule type="containsText" dxfId="1400" priority="4" operator="containsText" text="SIN FACTURA">
      <formula>NOT(ISERROR(SEARCH("SIN FACTURA",A38)))</formula>
    </cfRule>
  </conditionalFormatting>
  <conditionalFormatting sqref="A40:B40">
    <cfRule type="containsText" dxfId="1399" priority="3" operator="containsText" text="SIN FACTURA">
      <formula>NOT(ISERROR(SEARCH("SIN FACTURA",A40)))</formula>
    </cfRule>
  </conditionalFormatting>
  <conditionalFormatting sqref="A42:B42">
    <cfRule type="containsText" dxfId="1398" priority="2" operator="containsText" text="SIN FACTURA">
      <formula>NOT(ISERROR(SEARCH("SIN FACTURA",A42)))</formula>
    </cfRule>
  </conditionalFormatting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>
  <sheetPr codeName="Hoja209"/>
  <dimension ref="A1:Y37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12"/>
    </sheetView>
  </sheetViews>
  <sheetFormatPr baseColWidth="10" defaultColWidth="10.875" defaultRowHeight="15.75"/>
  <cols>
    <col min="1" max="1" width="17.625" style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4">
        <v>266</v>
      </c>
      <c r="B1" s="15" t="s">
        <v>62</v>
      </c>
      <c r="C1" s="1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6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7" si="0">F5-G5-H5</f>
        <v>0</v>
      </c>
      <c r="J5" s="44">
        <f t="shared" ref="J5:J37" si="1">S5+T5</f>
        <v>0</v>
      </c>
      <c r="K5" s="44">
        <f t="shared" ref="K5:K37" si="2">I5-J5</f>
        <v>0</v>
      </c>
      <c r="L5" s="45"/>
      <c r="M5" s="40"/>
      <c r="N5" s="43">
        <f t="shared" ref="N5:N37" si="3">I5-J5-M5-R5</f>
        <v>0</v>
      </c>
      <c r="O5" s="43">
        <f t="shared" ref="O5:O37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2"/>
      <c r="D6" s="33"/>
      <c r="E6" s="34"/>
      <c r="F6" s="32"/>
      <c r="G6" s="32"/>
      <c r="H6" s="32"/>
      <c r="I6" s="37"/>
      <c r="J6" s="37"/>
      <c r="K6" s="35"/>
      <c r="L6" s="35"/>
      <c r="M6" s="35"/>
      <c r="N6" s="36"/>
      <c r="O6" s="32"/>
      <c r="P6" s="37"/>
      <c r="Q6" s="37"/>
      <c r="R6" s="38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142"/>
      <c r="I9" s="44">
        <f>F9-G9</f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>S11+T11</f>
        <v>0</v>
      </c>
      <c r="K11" s="44">
        <f t="shared" si="2"/>
        <v>0</v>
      </c>
      <c r="L11" s="45"/>
      <c r="M11" s="40"/>
      <c r="N11" s="43">
        <f>I11-J11-M11-R11</f>
        <v>0</v>
      </c>
      <c r="O11" s="43">
        <f>R11+S11+T11</f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50"/>
      <c r="B37" s="51"/>
      <c r="C37" s="52"/>
      <c r="D37" s="50"/>
      <c r="E37" s="50"/>
      <c r="F37" s="50"/>
      <c r="G37" s="43">
        <f>F37*6%</f>
        <v>0</v>
      </c>
      <c r="H37" s="53"/>
      <c r="I37" s="44">
        <f t="shared" si="0"/>
        <v>0</v>
      </c>
      <c r="J37" s="54">
        <f t="shared" si="1"/>
        <v>0</v>
      </c>
      <c r="K37" s="54">
        <f t="shared" si="2"/>
        <v>0</v>
      </c>
      <c r="L37" s="55"/>
      <c r="M37" s="50"/>
      <c r="N37" s="53">
        <f t="shared" si="3"/>
        <v>0</v>
      </c>
      <c r="O37" s="53">
        <f t="shared" si="4"/>
        <v>0</v>
      </c>
      <c r="P37" s="56"/>
      <c r="Q37" s="50"/>
      <c r="R37" s="50"/>
      <c r="S37" s="50"/>
      <c r="T37" s="5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830" priority="27" operator="containsText" text="SIN FACTURA ">
      <formula>NOT(ISERROR(SEARCH("SIN FACTURA ",A2)))</formula>
    </cfRule>
  </conditionalFormatting>
  <conditionalFormatting sqref="A36:B36 J5:T5 I5:I37 A5:H5 A4:T4">
    <cfRule type="containsText" dxfId="829" priority="1" operator="containsText" text="SIN FACTURA">
      <formula>NOT(ISERROR(SEARCH("SIN FACTURA",A4)))</formula>
    </cfRule>
  </conditionalFormatting>
  <conditionalFormatting sqref="J37:T37 J35:T35 J33:T33 J31:T31 J29:T29 J27:T27 J25:T25 J23:T23 J21:T21 J19:T19 J17:T17 J7:T15 A17:H17 A19:H19 A21:H21 A23:H23 A25:H25 A27:H27 A29:H29 A31:H31 A33:H33 A35:H35 A37:H37 A7:H15">
    <cfRule type="containsText" dxfId="828" priority="25" operator="containsText" text="SIN FACTURA">
      <formula>NOT(ISERROR(SEARCH("SIN FACTURA",A7)))</formula>
    </cfRule>
  </conditionalFormatting>
  <conditionalFormatting sqref="C6:H6 J6:V6">
    <cfRule type="containsText" dxfId="827" priority="24" operator="containsText" text="SIN FACTURA">
      <formula>NOT(ISERROR(SEARCH("SIN FACTURA",C6)))</formula>
    </cfRule>
  </conditionalFormatting>
  <conditionalFormatting sqref="C16:H16 J16:V16">
    <cfRule type="containsText" dxfId="826" priority="23" operator="containsText" text="SIN FACTURA">
      <formula>NOT(ISERROR(SEARCH("SIN FACTURA",C16)))</formula>
    </cfRule>
  </conditionalFormatting>
  <conditionalFormatting sqref="C18:H18 J18:V18">
    <cfRule type="containsText" dxfId="825" priority="22" operator="containsText" text="SIN FACTURA">
      <formula>NOT(ISERROR(SEARCH("SIN FACTURA",C18)))</formula>
    </cfRule>
  </conditionalFormatting>
  <conditionalFormatting sqref="C20:H20 J20:V20">
    <cfRule type="containsText" dxfId="824" priority="21" operator="containsText" text="SIN FACTURA">
      <formula>NOT(ISERROR(SEARCH("SIN FACTURA",C20)))</formula>
    </cfRule>
  </conditionalFormatting>
  <conditionalFormatting sqref="C22:H22 J22:V22">
    <cfRule type="containsText" dxfId="823" priority="20" operator="containsText" text="SIN FACTURA">
      <formula>NOT(ISERROR(SEARCH("SIN FACTURA",C22)))</formula>
    </cfRule>
  </conditionalFormatting>
  <conditionalFormatting sqref="C24:H24 J24:V24">
    <cfRule type="containsText" dxfId="822" priority="19" operator="containsText" text="SIN FACTURA">
      <formula>NOT(ISERROR(SEARCH("SIN FACTURA",C24)))</formula>
    </cfRule>
  </conditionalFormatting>
  <conditionalFormatting sqref="C26:H26 J26:V26">
    <cfRule type="containsText" dxfId="821" priority="18" operator="containsText" text="SIN FACTURA">
      <formula>NOT(ISERROR(SEARCH("SIN FACTURA",C26)))</formula>
    </cfRule>
  </conditionalFormatting>
  <conditionalFormatting sqref="C28:H28 J28:V28">
    <cfRule type="containsText" dxfId="820" priority="17" operator="containsText" text="SIN FACTURA">
      <formula>NOT(ISERROR(SEARCH("SIN FACTURA",C28)))</formula>
    </cfRule>
  </conditionalFormatting>
  <conditionalFormatting sqref="C30:H30 J30:V30">
    <cfRule type="containsText" dxfId="819" priority="16" operator="containsText" text="SIN FACTURA">
      <formula>NOT(ISERROR(SEARCH("SIN FACTURA",C30)))</formula>
    </cfRule>
  </conditionalFormatting>
  <conditionalFormatting sqref="C32:H32 J32:V32">
    <cfRule type="containsText" dxfId="818" priority="15" operator="containsText" text="SIN FACTURA">
      <formula>NOT(ISERROR(SEARCH("SIN FACTURA",C32)))</formula>
    </cfRule>
  </conditionalFormatting>
  <conditionalFormatting sqref="C34:H34 J34:V34">
    <cfRule type="containsText" dxfId="817" priority="14" operator="containsText" text="SIN FACTURA">
      <formula>NOT(ISERROR(SEARCH("SIN FACTURA",C34)))</formula>
    </cfRule>
  </conditionalFormatting>
  <conditionalFormatting sqref="C36:H36 J36:V36">
    <cfRule type="containsText" dxfId="816" priority="13" operator="containsText" text="SIN FACTURA">
      <formula>NOT(ISERROR(SEARCH("SIN FACTURA",C36)))</formula>
    </cfRule>
  </conditionalFormatting>
  <conditionalFormatting sqref="A6:B6">
    <cfRule type="containsText" dxfId="815" priority="12" operator="containsText" text="SIN FACTURA">
      <formula>NOT(ISERROR(SEARCH("SIN FACTURA",A6)))</formula>
    </cfRule>
  </conditionalFormatting>
  <conditionalFormatting sqref="A16:B16">
    <cfRule type="containsText" dxfId="814" priority="11" operator="containsText" text="SIN FACTURA">
      <formula>NOT(ISERROR(SEARCH("SIN FACTURA",A16)))</formula>
    </cfRule>
  </conditionalFormatting>
  <conditionalFormatting sqref="A18:B18">
    <cfRule type="containsText" dxfId="813" priority="10" operator="containsText" text="SIN FACTURA">
      <formula>NOT(ISERROR(SEARCH("SIN FACTURA",A18)))</formula>
    </cfRule>
  </conditionalFormatting>
  <conditionalFormatting sqref="A20:B20">
    <cfRule type="containsText" dxfId="812" priority="9" operator="containsText" text="SIN FACTURA">
      <formula>NOT(ISERROR(SEARCH("SIN FACTURA",A20)))</formula>
    </cfRule>
  </conditionalFormatting>
  <conditionalFormatting sqref="A22:B22">
    <cfRule type="containsText" dxfId="811" priority="8" operator="containsText" text="SIN FACTURA">
      <formula>NOT(ISERROR(SEARCH("SIN FACTURA",A22)))</formula>
    </cfRule>
  </conditionalFormatting>
  <conditionalFormatting sqref="A24:B24">
    <cfRule type="containsText" dxfId="810" priority="7" operator="containsText" text="SIN FACTURA">
      <formula>NOT(ISERROR(SEARCH("SIN FACTURA",A24)))</formula>
    </cfRule>
  </conditionalFormatting>
  <conditionalFormatting sqref="A26:B26">
    <cfRule type="containsText" dxfId="809" priority="6" operator="containsText" text="SIN FACTURA">
      <formula>NOT(ISERROR(SEARCH("SIN FACTURA",A26)))</formula>
    </cfRule>
  </conditionalFormatting>
  <conditionalFormatting sqref="A28:B28">
    <cfRule type="containsText" dxfId="808" priority="5" operator="containsText" text="SIN FACTURA">
      <formula>NOT(ISERROR(SEARCH("SIN FACTURA",A28)))</formula>
    </cfRule>
  </conditionalFormatting>
  <conditionalFormatting sqref="A30:B30">
    <cfRule type="containsText" dxfId="807" priority="4" operator="containsText" text="SIN FACTURA">
      <formula>NOT(ISERROR(SEARCH("SIN FACTURA",A30)))</formula>
    </cfRule>
  </conditionalFormatting>
  <conditionalFormatting sqref="A32:B32">
    <cfRule type="containsText" dxfId="806" priority="3" operator="containsText" text="SIN FACTURA">
      <formula>NOT(ISERROR(SEARCH("SIN FACTURA",A32)))</formula>
    </cfRule>
  </conditionalFormatting>
  <conditionalFormatting sqref="A34:B34">
    <cfRule type="containsText" dxfId="805" priority="2" operator="containsText" text="SIN FACTURA">
      <formula>NOT(ISERROR(SEARCH("SIN FACTURA",A34)))</formula>
    </cfRule>
  </conditionalFormatting>
  <pageMargins left="0.75" right="0.75" top="1" bottom="1" header="0.5" footer="0.5"/>
  <pageSetup paperSize="9" orientation="portrait" horizontalDpi="4294967292" verticalDpi="4294967292"/>
</worksheet>
</file>

<file path=xl/worksheets/sheet144.xml><?xml version="1.0" encoding="utf-8"?>
<worksheet xmlns="http://schemas.openxmlformats.org/spreadsheetml/2006/main" xmlns:r="http://schemas.openxmlformats.org/officeDocument/2006/relationships">
  <sheetPr codeName="Hoja174"/>
  <dimension ref="A1:Y28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21"/>
    </sheetView>
  </sheetViews>
  <sheetFormatPr baseColWidth="10" defaultColWidth="10.875" defaultRowHeight="15.75"/>
  <cols>
    <col min="1" max="1" width="16" style="1" bestFit="1" customWidth="1"/>
    <col min="2" max="2" width="12.625" style="2" customWidth="1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210</v>
      </c>
      <c r="B1" s="18"/>
      <c r="C1" s="20">
        <v>485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32"/>
      <c r="B5" s="33"/>
      <c r="C5" s="34"/>
      <c r="D5" s="32"/>
      <c r="E5" s="32"/>
      <c r="F5" s="32"/>
      <c r="G5" s="37"/>
      <c r="H5" s="37"/>
      <c r="I5" s="37"/>
      <c r="J5" s="35"/>
      <c r="K5" s="35"/>
      <c r="L5" s="36"/>
      <c r="M5" s="32"/>
      <c r="N5" s="37"/>
      <c r="O5" s="37"/>
      <c r="P5" s="38"/>
      <c r="Q5" s="32"/>
      <c r="R5" s="32"/>
      <c r="S5" s="32"/>
      <c r="T5" s="39"/>
    </row>
    <row r="6" spans="1:25" ht="15">
      <c r="A6" s="40"/>
      <c r="B6" s="41"/>
      <c r="C6" s="42"/>
      <c r="D6" s="40"/>
      <c r="E6" s="40"/>
      <c r="F6" s="40"/>
      <c r="G6" s="43">
        <f>F6*6%</f>
        <v>0</v>
      </c>
      <c r="H6" s="43"/>
      <c r="I6" s="44">
        <f t="shared" ref="I6:I28" si="0">F6-G6-H6</f>
        <v>0</v>
      </c>
      <c r="J6" s="44">
        <f t="shared" ref="J6:J28" si="1">S6+T6</f>
        <v>0</v>
      </c>
      <c r="K6" s="44">
        <f t="shared" ref="K6:K28" si="2">I6-J6</f>
        <v>0</v>
      </c>
      <c r="L6" s="45"/>
      <c r="M6" s="40"/>
      <c r="N6" s="43">
        <f t="shared" ref="N6:N28" si="3">I6-J6-M6-R6</f>
        <v>0</v>
      </c>
      <c r="O6" s="43">
        <f t="shared" ref="O6:O28" si="4">R6+S6+T6</f>
        <v>0</v>
      </c>
      <c r="P6" s="46"/>
      <c r="Q6" s="40"/>
      <c r="R6" s="40"/>
      <c r="S6" s="40"/>
      <c r="T6" s="5"/>
    </row>
    <row r="7" spans="1:25" ht="15">
      <c r="A7" s="32"/>
      <c r="B7" s="33"/>
      <c r="C7" s="32"/>
      <c r="D7" s="33"/>
      <c r="E7" s="34"/>
      <c r="F7" s="32"/>
      <c r="G7" s="37"/>
      <c r="H7" s="32"/>
      <c r="I7" s="37"/>
      <c r="J7" s="37"/>
      <c r="K7" s="35"/>
      <c r="L7" s="35"/>
      <c r="M7" s="35"/>
      <c r="N7" s="36"/>
      <c r="O7" s="32"/>
      <c r="P7" s="37"/>
      <c r="Q7" s="37"/>
      <c r="R7" s="38"/>
      <c r="S7" s="32"/>
      <c r="T7" s="39"/>
    </row>
    <row r="8" spans="1:25" ht="15">
      <c r="A8" s="40"/>
      <c r="B8" s="41"/>
      <c r="C8" s="42"/>
      <c r="D8" s="40"/>
      <c r="E8" s="40"/>
      <c r="F8" s="40"/>
      <c r="G8" s="43">
        <f>F8*6%</f>
        <v>0</v>
      </c>
      <c r="H8" s="43"/>
      <c r="I8" s="44">
        <f t="shared" si="0"/>
        <v>0</v>
      </c>
      <c r="J8" s="44">
        <f t="shared" si="1"/>
        <v>0</v>
      </c>
      <c r="K8" s="44">
        <f t="shared" si="2"/>
        <v>0</v>
      </c>
      <c r="L8" s="45"/>
      <c r="M8" s="40"/>
      <c r="N8" s="43">
        <f t="shared" si="3"/>
        <v>0</v>
      </c>
      <c r="O8" s="43">
        <f t="shared" si="4"/>
        <v>0</v>
      </c>
      <c r="P8" s="46"/>
      <c r="Q8" s="40"/>
      <c r="R8" s="40"/>
      <c r="S8" s="40"/>
      <c r="T8" s="5"/>
    </row>
    <row r="9" spans="1:25" ht="15">
      <c r="A9" s="32"/>
      <c r="B9" s="33"/>
      <c r="C9" s="32"/>
      <c r="D9" s="33"/>
      <c r="E9" s="34"/>
      <c r="F9" s="32"/>
      <c r="G9" s="32"/>
      <c r="H9" s="32"/>
      <c r="I9" s="37"/>
      <c r="J9" s="37"/>
      <c r="K9" s="35"/>
      <c r="L9" s="35"/>
      <c r="M9" s="35"/>
      <c r="N9" s="36"/>
      <c r="O9" s="32"/>
      <c r="P9" s="37"/>
      <c r="Q9" s="37"/>
      <c r="R9" s="38"/>
      <c r="S9" s="32"/>
      <c r="T9" s="39"/>
      <c r="U9" s="6"/>
      <c r="V9" s="6"/>
    </row>
    <row r="10" spans="1:25" ht="15">
      <c r="A10" s="40"/>
      <c r="B10" s="41"/>
      <c r="C10" s="42"/>
      <c r="D10" s="40"/>
      <c r="E10" s="40"/>
      <c r="F10" s="40"/>
      <c r="G10" s="43">
        <f>F10*6%</f>
        <v>0</v>
      </c>
      <c r="H10" s="43"/>
      <c r="I10" s="44">
        <f t="shared" si="0"/>
        <v>0</v>
      </c>
      <c r="J10" s="44">
        <f t="shared" si="1"/>
        <v>0</v>
      </c>
      <c r="K10" s="44">
        <f t="shared" si="2"/>
        <v>0</v>
      </c>
      <c r="L10" s="45"/>
      <c r="M10" s="40"/>
      <c r="N10" s="43">
        <f t="shared" si="3"/>
        <v>0</v>
      </c>
      <c r="O10" s="43">
        <f t="shared" si="4"/>
        <v>0</v>
      </c>
      <c r="P10" s="46"/>
      <c r="Q10" s="40"/>
      <c r="R10" s="40"/>
      <c r="S10" s="40"/>
      <c r="T10" s="5"/>
    </row>
    <row r="11" spans="1:25" ht="15">
      <c r="A11" s="32"/>
      <c r="B11" s="33"/>
      <c r="C11" s="32"/>
      <c r="D11" s="33"/>
      <c r="E11" s="34"/>
      <c r="F11" s="32"/>
      <c r="G11" s="32"/>
      <c r="H11" s="32"/>
      <c r="I11" s="37"/>
      <c r="J11" s="37"/>
      <c r="K11" s="35"/>
      <c r="L11" s="35"/>
      <c r="M11" s="35"/>
      <c r="N11" s="36"/>
      <c r="O11" s="32"/>
      <c r="P11" s="37"/>
      <c r="Q11" s="37"/>
      <c r="R11" s="38"/>
      <c r="S11" s="32"/>
      <c r="T11" s="39"/>
      <c r="U11" s="6"/>
      <c r="V11" s="6"/>
    </row>
    <row r="12" spans="1:25" ht="15">
      <c r="A12" s="40"/>
      <c r="B12" s="41"/>
      <c r="C12" s="42"/>
      <c r="D12" s="40"/>
      <c r="E12" s="40"/>
      <c r="F12" s="40"/>
      <c r="G12" s="43">
        <f>F12*6%</f>
        <v>0</v>
      </c>
      <c r="H12" s="43"/>
      <c r="I12" s="44">
        <f t="shared" si="0"/>
        <v>0</v>
      </c>
      <c r="J12" s="44">
        <f t="shared" si="1"/>
        <v>0</v>
      </c>
      <c r="K12" s="44">
        <f t="shared" si="2"/>
        <v>0</v>
      </c>
      <c r="L12" s="45"/>
      <c r="M12" s="40"/>
      <c r="N12" s="43">
        <f t="shared" si="3"/>
        <v>0</v>
      </c>
      <c r="O12" s="43">
        <f t="shared" si="4"/>
        <v>0</v>
      </c>
      <c r="P12" s="46"/>
      <c r="Q12" s="40"/>
      <c r="R12" s="40"/>
      <c r="S12" s="40"/>
      <c r="T12" s="5"/>
    </row>
    <row r="13" spans="1:25" ht="15">
      <c r="A13" s="32"/>
      <c r="B13" s="33"/>
      <c r="C13" s="32"/>
      <c r="D13" s="33"/>
      <c r="E13" s="34"/>
      <c r="F13" s="32"/>
      <c r="G13" s="32"/>
      <c r="H13" s="32"/>
      <c r="I13" s="37"/>
      <c r="J13" s="37"/>
      <c r="K13" s="35"/>
      <c r="L13" s="35"/>
      <c r="M13" s="35"/>
      <c r="N13" s="36"/>
      <c r="O13" s="32"/>
      <c r="P13" s="37"/>
      <c r="Q13" s="37"/>
      <c r="R13" s="38"/>
      <c r="S13" s="32"/>
      <c r="T13" s="39"/>
      <c r="U13" s="6"/>
      <c r="V13" s="6"/>
    </row>
    <row r="14" spans="1:25" ht="15">
      <c r="A14" s="40"/>
      <c r="B14" s="41"/>
      <c r="C14" s="42"/>
      <c r="D14" s="40"/>
      <c r="E14" s="40"/>
      <c r="F14" s="40"/>
      <c r="G14" s="43">
        <f>F14*6%</f>
        <v>0</v>
      </c>
      <c r="H14" s="43"/>
      <c r="I14" s="44">
        <f t="shared" si="0"/>
        <v>0</v>
      </c>
      <c r="J14" s="44">
        <f t="shared" si="1"/>
        <v>0</v>
      </c>
      <c r="K14" s="44">
        <f t="shared" si="2"/>
        <v>0</v>
      </c>
      <c r="L14" s="45"/>
      <c r="M14" s="40"/>
      <c r="N14" s="43">
        <f t="shared" si="3"/>
        <v>0</v>
      </c>
      <c r="O14" s="43">
        <f t="shared" si="4"/>
        <v>0</v>
      </c>
      <c r="P14" s="46"/>
      <c r="Q14" s="40"/>
      <c r="R14" s="40"/>
      <c r="S14" s="40"/>
      <c r="T14" s="5"/>
    </row>
    <row r="15" spans="1:25" ht="15">
      <c r="A15" s="32"/>
      <c r="B15" s="33"/>
      <c r="C15" s="32"/>
      <c r="D15" s="33"/>
      <c r="E15" s="34"/>
      <c r="F15" s="32"/>
      <c r="G15" s="32"/>
      <c r="H15" s="32"/>
      <c r="I15" s="37"/>
      <c r="J15" s="37"/>
      <c r="K15" s="35"/>
      <c r="L15" s="35"/>
      <c r="M15" s="35"/>
      <c r="N15" s="36"/>
      <c r="O15" s="32"/>
      <c r="P15" s="37"/>
      <c r="Q15" s="37"/>
      <c r="R15" s="38"/>
      <c r="S15" s="32"/>
      <c r="T15" s="39"/>
      <c r="U15" s="6"/>
      <c r="V15" s="6"/>
    </row>
    <row r="16" spans="1:25" ht="15">
      <c r="A16" s="40"/>
      <c r="B16" s="41"/>
      <c r="C16" s="42"/>
      <c r="D16" s="40"/>
      <c r="E16" s="40"/>
      <c r="F16" s="40"/>
      <c r="G16" s="43">
        <f>F16*6%</f>
        <v>0</v>
      </c>
      <c r="H16" s="43"/>
      <c r="I16" s="44">
        <f t="shared" si="0"/>
        <v>0</v>
      </c>
      <c r="J16" s="44">
        <f t="shared" si="1"/>
        <v>0</v>
      </c>
      <c r="K16" s="44">
        <f t="shared" si="2"/>
        <v>0</v>
      </c>
      <c r="L16" s="45"/>
      <c r="M16" s="40"/>
      <c r="N16" s="43">
        <f t="shared" si="3"/>
        <v>0</v>
      </c>
      <c r="O16" s="43">
        <f t="shared" si="4"/>
        <v>0</v>
      </c>
      <c r="P16" s="46"/>
      <c r="Q16" s="40"/>
      <c r="R16" s="40"/>
      <c r="S16" s="40"/>
      <c r="T16" s="5"/>
    </row>
    <row r="17" spans="1:22" ht="15">
      <c r="A17" s="32"/>
      <c r="B17" s="33"/>
      <c r="C17" s="32"/>
      <c r="D17" s="33"/>
      <c r="E17" s="34"/>
      <c r="F17" s="32"/>
      <c r="G17" s="32"/>
      <c r="H17" s="32"/>
      <c r="I17" s="37"/>
      <c r="J17" s="37"/>
      <c r="K17" s="35"/>
      <c r="L17" s="35"/>
      <c r="M17" s="35"/>
      <c r="N17" s="36"/>
      <c r="O17" s="32"/>
      <c r="P17" s="37"/>
      <c r="Q17" s="37"/>
      <c r="R17" s="38"/>
      <c r="S17" s="32"/>
      <c r="T17" s="39"/>
      <c r="U17" s="6"/>
      <c r="V17" s="6"/>
    </row>
    <row r="18" spans="1:22" ht="15">
      <c r="A18" s="40"/>
      <c r="B18" s="41"/>
      <c r="C18" s="42"/>
      <c r="D18" s="40"/>
      <c r="E18" s="40"/>
      <c r="F18" s="40"/>
      <c r="G18" s="43">
        <f>F18*6%</f>
        <v>0</v>
      </c>
      <c r="H18" s="43"/>
      <c r="I18" s="44">
        <f t="shared" si="0"/>
        <v>0</v>
      </c>
      <c r="J18" s="44">
        <f t="shared" si="1"/>
        <v>0</v>
      </c>
      <c r="K18" s="44">
        <f t="shared" si="2"/>
        <v>0</v>
      </c>
      <c r="L18" s="45"/>
      <c r="M18" s="40"/>
      <c r="N18" s="43">
        <f t="shared" si="3"/>
        <v>0</v>
      </c>
      <c r="O18" s="43">
        <f t="shared" si="4"/>
        <v>0</v>
      </c>
      <c r="P18" s="46"/>
      <c r="Q18" s="40"/>
      <c r="R18" s="40"/>
      <c r="S18" s="40"/>
      <c r="T18" s="5"/>
    </row>
    <row r="19" spans="1:22" ht="15">
      <c r="A19" s="32"/>
      <c r="B19" s="33"/>
      <c r="C19" s="32"/>
      <c r="D19" s="33"/>
      <c r="E19" s="34"/>
      <c r="F19" s="32"/>
      <c r="G19" s="32"/>
      <c r="H19" s="32"/>
      <c r="I19" s="37"/>
      <c r="J19" s="37"/>
      <c r="K19" s="35"/>
      <c r="L19" s="35"/>
      <c r="M19" s="35"/>
      <c r="N19" s="36"/>
      <c r="O19" s="32"/>
      <c r="P19" s="37"/>
      <c r="Q19" s="37"/>
      <c r="R19" s="38"/>
      <c r="S19" s="32"/>
      <c r="T19" s="39"/>
      <c r="U19" s="6"/>
      <c r="V19" s="6"/>
    </row>
    <row r="20" spans="1:22" ht="15">
      <c r="A20" s="40"/>
      <c r="B20" s="41"/>
      <c r="C20" s="42"/>
      <c r="D20" s="40"/>
      <c r="E20" s="40"/>
      <c r="F20" s="40"/>
      <c r="G20" s="43">
        <f>F20*6%</f>
        <v>0</v>
      </c>
      <c r="H20" s="43"/>
      <c r="I20" s="44">
        <f t="shared" si="0"/>
        <v>0</v>
      </c>
      <c r="J20" s="44">
        <f t="shared" si="1"/>
        <v>0</v>
      </c>
      <c r="K20" s="44">
        <f t="shared" si="2"/>
        <v>0</v>
      </c>
      <c r="L20" s="45"/>
      <c r="M20" s="40"/>
      <c r="N20" s="43">
        <f t="shared" si="3"/>
        <v>0</v>
      </c>
      <c r="O20" s="43">
        <f t="shared" si="4"/>
        <v>0</v>
      </c>
      <c r="P20" s="46"/>
      <c r="Q20" s="40"/>
      <c r="R20" s="40"/>
      <c r="S20" s="40"/>
      <c r="T20" s="5"/>
    </row>
    <row r="21" spans="1:22" ht="15">
      <c r="A21" s="32"/>
      <c r="B21" s="33"/>
      <c r="C21" s="32"/>
      <c r="D21" s="33"/>
      <c r="E21" s="34"/>
      <c r="F21" s="32"/>
      <c r="G21" s="32"/>
      <c r="H21" s="32"/>
      <c r="I21" s="37"/>
      <c r="J21" s="37"/>
      <c r="K21" s="35"/>
      <c r="L21" s="35"/>
      <c r="M21" s="35"/>
      <c r="N21" s="36"/>
      <c r="O21" s="32"/>
      <c r="P21" s="37"/>
      <c r="Q21" s="37"/>
      <c r="R21" s="38"/>
      <c r="S21" s="32"/>
      <c r="T21" s="39"/>
      <c r="U21" s="6"/>
      <c r="V21" s="6"/>
    </row>
    <row r="22" spans="1:22" ht="15">
      <c r="A22" s="40"/>
      <c r="B22" s="41"/>
      <c r="C22" s="42"/>
      <c r="D22" s="40"/>
      <c r="E22" s="40"/>
      <c r="F22" s="40"/>
      <c r="G22" s="43">
        <f>F22*6%</f>
        <v>0</v>
      </c>
      <c r="H22" s="43"/>
      <c r="I22" s="44">
        <f t="shared" si="0"/>
        <v>0</v>
      </c>
      <c r="J22" s="44">
        <f t="shared" si="1"/>
        <v>0</v>
      </c>
      <c r="K22" s="44">
        <f t="shared" si="2"/>
        <v>0</v>
      </c>
      <c r="L22" s="45"/>
      <c r="M22" s="40"/>
      <c r="N22" s="43">
        <f t="shared" si="3"/>
        <v>0</v>
      </c>
      <c r="O22" s="43">
        <f t="shared" si="4"/>
        <v>0</v>
      </c>
      <c r="P22" s="46"/>
      <c r="Q22" s="40"/>
      <c r="R22" s="40"/>
      <c r="S22" s="40"/>
      <c r="T22" s="5"/>
    </row>
    <row r="23" spans="1:22" ht="15">
      <c r="A23" s="32"/>
      <c r="B23" s="33"/>
      <c r="C23" s="32"/>
      <c r="D23" s="33"/>
      <c r="E23" s="34"/>
      <c r="F23" s="32"/>
      <c r="G23" s="32"/>
      <c r="H23" s="32"/>
      <c r="I23" s="37"/>
      <c r="J23" s="37"/>
      <c r="K23" s="35"/>
      <c r="L23" s="35"/>
      <c r="M23" s="35"/>
      <c r="N23" s="36"/>
      <c r="O23" s="32"/>
      <c r="P23" s="37"/>
      <c r="Q23" s="37"/>
      <c r="R23" s="38"/>
      <c r="S23" s="32"/>
      <c r="T23" s="39"/>
      <c r="U23" s="6"/>
      <c r="V23" s="6"/>
    </row>
    <row r="24" spans="1:22" ht="15">
      <c r="A24" s="40"/>
      <c r="B24" s="41"/>
      <c r="C24" s="42"/>
      <c r="D24" s="40"/>
      <c r="E24" s="40"/>
      <c r="F24" s="40"/>
      <c r="G24" s="43">
        <f>F24*6%</f>
        <v>0</v>
      </c>
      <c r="H24" s="43"/>
      <c r="I24" s="44">
        <f t="shared" si="0"/>
        <v>0</v>
      </c>
      <c r="J24" s="44">
        <f t="shared" si="1"/>
        <v>0</v>
      </c>
      <c r="K24" s="44">
        <f t="shared" si="2"/>
        <v>0</v>
      </c>
      <c r="L24" s="45"/>
      <c r="M24" s="40"/>
      <c r="N24" s="43">
        <f t="shared" si="3"/>
        <v>0</v>
      </c>
      <c r="O24" s="43">
        <f t="shared" si="4"/>
        <v>0</v>
      </c>
      <c r="P24" s="46"/>
      <c r="Q24" s="40"/>
      <c r="R24" s="40"/>
      <c r="S24" s="40"/>
      <c r="T24" s="5"/>
    </row>
    <row r="25" spans="1:22" ht="15">
      <c r="A25" s="32"/>
      <c r="B25" s="33"/>
      <c r="C25" s="32"/>
      <c r="D25" s="33"/>
      <c r="E25" s="34"/>
      <c r="F25" s="32"/>
      <c r="G25" s="32"/>
      <c r="H25" s="32"/>
      <c r="I25" s="37"/>
      <c r="J25" s="37"/>
      <c r="K25" s="35"/>
      <c r="L25" s="35"/>
      <c r="M25" s="35"/>
      <c r="N25" s="36"/>
      <c r="O25" s="32"/>
      <c r="P25" s="37"/>
      <c r="Q25" s="37"/>
      <c r="R25" s="38"/>
      <c r="S25" s="32"/>
      <c r="T25" s="39"/>
      <c r="U25" s="6"/>
      <c r="V25" s="6"/>
    </row>
    <row r="26" spans="1:22" ht="15">
      <c r="A26" s="40"/>
      <c r="B26" s="41"/>
      <c r="C26" s="42"/>
      <c r="D26" s="40"/>
      <c r="E26" s="40"/>
      <c r="F26" s="40"/>
      <c r="G26" s="43">
        <f>F26*6%</f>
        <v>0</v>
      </c>
      <c r="H26" s="43"/>
      <c r="I26" s="44">
        <f t="shared" si="0"/>
        <v>0</v>
      </c>
      <c r="J26" s="44">
        <f t="shared" si="1"/>
        <v>0</v>
      </c>
      <c r="K26" s="44">
        <f t="shared" si="2"/>
        <v>0</v>
      </c>
      <c r="L26" s="45"/>
      <c r="M26" s="40"/>
      <c r="N26" s="43">
        <f t="shared" si="3"/>
        <v>0</v>
      </c>
      <c r="O26" s="43">
        <f t="shared" si="4"/>
        <v>0</v>
      </c>
      <c r="P26" s="46"/>
      <c r="Q26" s="40"/>
      <c r="R26" s="40"/>
      <c r="S26" s="40"/>
      <c r="T26" s="5"/>
    </row>
    <row r="27" spans="1:22" ht="15">
      <c r="A27" s="32"/>
      <c r="B27" s="33"/>
      <c r="C27" s="32"/>
      <c r="D27" s="33"/>
      <c r="E27" s="34"/>
      <c r="F27" s="32"/>
      <c r="G27" s="32"/>
      <c r="H27" s="32"/>
      <c r="I27" s="37"/>
      <c r="J27" s="37"/>
      <c r="K27" s="35"/>
      <c r="L27" s="35"/>
      <c r="M27" s="35"/>
      <c r="N27" s="36"/>
      <c r="O27" s="32"/>
      <c r="P27" s="37"/>
      <c r="Q27" s="37"/>
      <c r="R27" s="38"/>
      <c r="S27" s="32"/>
      <c r="T27" s="39"/>
      <c r="U27" s="6"/>
      <c r="V27" s="6"/>
    </row>
    <row r="28" spans="1:22" ht="15">
      <c r="A28" s="50"/>
      <c r="B28" s="51"/>
      <c r="C28" s="52"/>
      <c r="D28" s="50"/>
      <c r="E28" s="50"/>
      <c r="F28" s="50"/>
      <c r="G28" s="43">
        <f>F28*6%</f>
        <v>0</v>
      </c>
      <c r="H28" s="53"/>
      <c r="I28" s="78">
        <f t="shared" si="0"/>
        <v>0</v>
      </c>
      <c r="J28" s="54">
        <f t="shared" si="1"/>
        <v>0</v>
      </c>
      <c r="K28" s="54">
        <f t="shared" si="2"/>
        <v>0</v>
      </c>
      <c r="L28" s="55"/>
      <c r="M28" s="50"/>
      <c r="N28" s="53">
        <f t="shared" si="3"/>
        <v>0</v>
      </c>
      <c r="O28" s="53">
        <f t="shared" si="4"/>
        <v>0</v>
      </c>
      <c r="P28" s="56"/>
      <c r="Q28" s="50"/>
      <c r="R28" s="50"/>
      <c r="S28" s="50"/>
      <c r="T28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804" priority="26" operator="containsText" text="SIN FACTURA ">
      <formula>NOT(ISERROR(SEARCH("SIN FACTURA ",A2)))</formula>
    </cfRule>
  </conditionalFormatting>
  <conditionalFormatting sqref="J28:T28 J26:T26 J24:T24 J22:T22 J20:T20 J18:T18 J16:T16 J14:T14 J12:T12 J10:T10 J8:T8 A8:H8 A10:H10 A12:H12 A14:H14 A16:H16 A18:H18 A20:H20 A22:H22 A24:H24 A26:H26 A28:H28 A4:T4 J5:T6 I5:I28 A5:H6">
    <cfRule type="containsText" dxfId="803" priority="25" operator="containsText" text="SIN FACTURA">
      <formula>NOT(ISERROR(SEARCH("SIN FACTURA",A4)))</formula>
    </cfRule>
  </conditionalFormatting>
  <conditionalFormatting sqref="C7:H7 J7:V7">
    <cfRule type="containsText" dxfId="802" priority="23" operator="containsText" text="SIN FACTURA">
      <formula>NOT(ISERROR(SEARCH("SIN FACTURA",C7)))</formula>
    </cfRule>
  </conditionalFormatting>
  <conditionalFormatting sqref="C9:H9 J9:V9">
    <cfRule type="containsText" dxfId="801" priority="22" operator="containsText" text="SIN FACTURA">
      <formula>NOT(ISERROR(SEARCH("SIN FACTURA",C9)))</formula>
    </cfRule>
  </conditionalFormatting>
  <conditionalFormatting sqref="C11:H11 J11:V11">
    <cfRule type="containsText" dxfId="800" priority="21" operator="containsText" text="SIN FACTURA">
      <formula>NOT(ISERROR(SEARCH("SIN FACTURA",C11)))</formula>
    </cfRule>
  </conditionalFormatting>
  <conditionalFormatting sqref="C13:H13 J13:V13">
    <cfRule type="containsText" dxfId="799" priority="20" operator="containsText" text="SIN FACTURA">
      <formula>NOT(ISERROR(SEARCH("SIN FACTURA",C13)))</formula>
    </cfRule>
  </conditionalFormatting>
  <conditionalFormatting sqref="C15:H15 J15:V15">
    <cfRule type="containsText" dxfId="798" priority="19" operator="containsText" text="SIN FACTURA">
      <formula>NOT(ISERROR(SEARCH("SIN FACTURA",C15)))</formula>
    </cfRule>
  </conditionalFormatting>
  <conditionalFormatting sqref="C17:H17 J17:V17">
    <cfRule type="containsText" dxfId="797" priority="18" operator="containsText" text="SIN FACTURA">
      <formula>NOT(ISERROR(SEARCH("SIN FACTURA",C17)))</formula>
    </cfRule>
  </conditionalFormatting>
  <conditionalFormatting sqref="C19:H19 J19:V19">
    <cfRule type="containsText" dxfId="796" priority="17" operator="containsText" text="SIN FACTURA">
      <formula>NOT(ISERROR(SEARCH("SIN FACTURA",C19)))</formula>
    </cfRule>
  </conditionalFormatting>
  <conditionalFormatting sqref="C21:H21 J21:V21">
    <cfRule type="containsText" dxfId="795" priority="16" operator="containsText" text="SIN FACTURA">
      <formula>NOT(ISERROR(SEARCH("SIN FACTURA",C21)))</formula>
    </cfRule>
  </conditionalFormatting>
  <conditionalFormatting sqref="C23:H23 J23:V23">
    <cfRule type="containsText" dxfId="794" priority="15" operator="containsText" text="SIN FACTURA">
      <formula>NOT(ISERROR(SEARCH("SIN FACTURA",C23)))</formula>
    </cfRule>
  </conditionalFormatting>
  <conditionalFormatting sqref="C25:H25 J25:V25">
    <cfRule type="containsText" dxfId="793" priority="14" operator="containsText" text="SIN FACTURA">
      <formula>NOT(ISERROR(SEARCH("SIN FACTURA",C25)))</formula>
    </cfRule>
  </conditionalFormatting>
  <conditionalFormatting sqref="C27:H27 J27:V27">
    <cfRule type="containsText" dxfId="792" priority="13" operator="containsText" text="SIN FACTURA">
      <formula>NOT(ISERROR(SEARCH("SIN FACTURA",C27)))</formula>
    </cfRule>
  </conditionalFormatting>
  <conditionalFormatting sqref="A7:B7">
    <cfRule type="containsText" dxfId="791" priority="11" operator="containsText" text="SIN FACTURA">
      <formula>NOT(ISERROR(SEARCH("SIN FACTURA",A7)))</formula>
    </cfRule>
  </conditionalFormatting>
  <conditionalFormatting sqref="A9:B9">
    <cfRule type="containsText" dxfId="790" priority="10" operator="containsText" text="SIN FACTURA">
      <formula>NOT(ISERROR(SEARCH("SIN FACTURA",A9)))</formula>
    </cfRule>
  </conditionalFormatting>
  <conditionalFormatting sqref="A11:B11">
    <cfRule type="containsText" dxfId="789" priority="9" operator="containsText" text="SIN FACTURA">
      <formula>NOT(ISERROR(SEARCH("SIN FACTURA",A11)))</formula>
    </cfRule>
  </conditionalFormatting>
  <conditionalFormatting sqref="A13:B13">
    <cfRule type="containsText" dxfId="788" priority="8" operator="containsText" text="SIN FACTURA">
      <formula>NOT(ISERROR(SEARCH("SIN FACTURA",A13)))</formula>
    </cfRule>
  </conditionalFormatting>
  <conditionalFormatting sqref="A15:B15">
    <cfRule type="containsText" dxfId="787" priority="7" operator="containsText" text="SIN FACTURA">
      <formula>NOT(ISERROR(SEARCH("SIN FACTURA",A15)))</formula>
    </cfRule>
  </conditionalFormatting>
  <conditionalFormatting sqref="A27:B27">
    <cfRule type="containsText" dxfId="786" priority="1" operator="containsText" text="SIN FACTURA">
      <formula>NOT(ISERROR(SEARCH("SIN FACTURA",A27)))</formula>
    </cfRule>
  </conditionalFormatting>
  <conditionalFormatting sqref="A17:B17">
    <cfRule type="containsText" dxfId="785" priority="6" operator="containsText" text="SIN FACTURA">
      <formula>NOT(ISERROR(SEARCH("SIN FACTURA",A17)))</formula>
    </cfRule>
  </conditionalFormatting>
  <conditionalFormatting sqref="A19:B19">
    <cfRule type="containsText" dxfId="784" priority="5" operator="containsText" text="SIN FACTURA">
      <formula>NOT(ISERROR(SEARCH("SIN FACTURA",A19)))</formula>
    </cfRule>
  </conditionalFormatting>
  <conditionalFormatting sqref="A21:B21">
    <cfRule type="containsText" dxfId="783" priority="4" operator="containsText" text="SIN FACTURA">
      <formula>NOT(ISERROR(SEARCH("SIN FACTURA",A21)))</formula>
    </cfRule>
  </conditionalFormatting>
  <conditionalFormatting sqref="A23:B23">
    <cfRule type="containsText" dxfId="782" priority="3" operator="containsText" text="SIN FACTURA">
      <formula>NOT(ISERROR(SEARCH("SIN FACTURA",A23)))</formula>
    </cfRule>
  </conditionalFormatting>
  <conditionalFormatting sqref="A25:B25">
    <cfRule type="containsText" dxfId="781" priority="2" operator="containsText" text="SIN FACTURA">
      <formula>NOT(ISERROR(SEARCH("SIN FACTURA",A25)))</formula>
    </cfRule>
  </conditionalFormatting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>
  <sheetPr codeName="Hoja67"/>
  <dimension ref="A1:Y45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9" sqref="A9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153</v>
      </c>
      <c r="B1" s="18" t="s">
        <v>29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>F5-G5-H5</f>
        <v>0</v>
      </c>
      <c r="J5" s="44">
        <f t="shared" ref="J5:J45" si="0">S5+T5</f>
        <v>0</v>
      </c>
      <c r="K5" s="44">
        <f t="shared" ref="K5:K45" si="1">I5-J5</f>
        <v>0</v>
      </c>
      <c r="L5" s="45" t="s">
        <v>154</v>
      </c>
      <c r="M5" s="40"/>
      <c r="N5" s="43">
        <f t="shared" ref="N5:N45" si="2">I5-J5-M5-R5</f>
        <v>0</v>
      </c>
      <c r="O5" s="43">
        <f t="shared" ref="O5:O45" si="3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ref="I7:I45" si="4">F7-G7-H7</f>
        <v>0</v>
      </c>
      <c r="J7" s="44">
        <f t="shared" si="0"/>
        <v>0</v>
      </c>
      <c r="K7" s="44">
        <f t="shared" si="1"/>
        <v>0</v>
      </c>
      <c r="L7" s="45"/>
      <c r="M7" s="40"/>
      <c r="N7" s="43">
        <f t="shared" si="2"/>
        <v>0</v>
      </c>
      <c r="O7" s="43">
        <f t="shared" si="3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4"/>
        <v>0</v>
      </c>
      <c r="J9" s="44">
        <f t="shared" si="0"/>
        <v>0</v>
      </c>
      <c r="K9" s="44">
        <f t="shared" si="1"/>
        <v>0</v>
      </c>
      <c r="L9" s="45"/>
      <c r="M9" s="40"/>
      <c r="N9" s="43">
        <f t="shared" si="2"/>
        <v>0</v>
      </c>
      <c r="O9" s="43">
        <f t="shared" si="3"/>
        <v>0</v>
      </c>
      <c r="P9" s="46"/>
      <c r="Q9" s="40"/>
      <c r="R9" s="43"/>
      <c r="S9" s="43"/>
      <c r="T9" s="49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4"/>
        <v>0</v>
      </c>
      <c r="J11" s="44">
        <f>S11+T11</f>
        <v>0</v>
      </c>
      <c r="K11" s="44">
        <f>I11-J11</f>
        <v>0</v>
      </c>
      <c r="L11" s="45"/>
      <c r="M11" s="40"/>
      <c r="N11" s="43">
        <f t="shared" si="2"/>
        <v>0</v>
      </c>
      <c r="O11" s="43">
        <f t="shared" si="3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4"/>
        <v>0</v>
      </c>
      <c r="J13" s="44">
        <f t="shared" si="0"/>
        <v>0</v>
      </c>
      <c r="K13" s="44">
        <f t="shared" si="1"/>
        <v>0</v>
      </c>
      <c r="L13" s="45"/>
      <c r="M13" s="40"/>
      <c r="N13" s="43">
        <f t="shared" si="2"/>
        <v>0</v>
      </c>
      <c r="O13" s="43">
        <f t="shared" si="3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4"/>
        <v>0</v>
      </c>
      <c r="J15" s="44">
        <f t="shared" si="0"/>
        <v>0</v>
      </c>
      <c r="K15" s="44">
        <f t="shared" si="1"/>
        <v>0</v>
      </c>
      <c r="L15" s="45"/>
      <c r="M15" s="40"/>
      <c r="N15" s="43">
        <f t="shared" si="2"/>
        <v>0</v>
      </c>
      <c r="O15" s="43">
        <f t="shared" si="3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4"/>
        <v>0</v>
      </c>
      <c r="J17" s="44">
        <f t="shared" si="0"/>
        <v>0</v>
      </c>
      <c r="K17" s="44">
        <f t="shared" si="1"/>
        <v>0</v>
      </c>
      <c r="L17" s="45"/>
      <c r="M17" s="40"/>
      <c r="N17" s="43">
        <f t="shared" si="2"/>
        <v>0</v>
      </c>
      <c r="O17" s="43">
        <f t="shared" si="3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4"/>
        <v>0</v>
      </c>
      <c r="J19" s="44">
        <f>S19+T19</f>
        <v>0</v>
      </c>
      <c r="K19" s="44">
        <f t="shared" si="1"/>
        <v>0</v>
      </c>
      <c r="L19" s="45"/>
      <c r="M19" s="40"/>
      <c r="N19" s="43">
        <f>I19-J19-M19-R19</f>
        <v>0</v>
      </c>
      <c r="O19" s="43">
        <f>R19+S19+T19</f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4"/>
        <v>0</v>
      </c>
      <c r="J21" s="44">
        <f t="shared" si="0"/>
        <v>0</v>
      </c>
      <c r="K21" s="44">
        <f t="shared" si="1"/>
        <v>0</v>
      </c>
      <c r="L21" s="45"/>
      <c r="M21" s="40"/>
      <c r="N21" s="43">
        <f t="shared" si="2"/>
        <v>0</v>
      </c>
      <c r="O21" s="43">
        <f t="shared" si="3"/>
        <v>0</v>
      </c>
      <c r="P21" s="46"/>
      <c r="Q21" s="40"/>
      <c r="R21" s="47"/>
      <c r="S21" s="47"/>
      <c r="T21" s="48"/>
    </row>
    <row r="22" spans="1:22" ht="15">
      <c r="A22" s="32"/>
      <c r="B22" s="33"/>
      <c r="C22" s="34"/>
      <c r="D22" s="32"/>
      <c r="E22" s="32"/>
      <c r="F22" s="32"/>
      <c r="G22" s="37"/>
      <c r="H22" s="37"/>
      <c r="I22" s="37"/>
      <c r="J22" s="35"/>
      <c r="K22" s="35"/>
      <c r="L22" s="36"/>
      <c r="M22" s="32"/>
      <c r="N22" s="37"/>
      <c r="O22" s="37"/>
      <c r="P22" s="38"/>
      <c r="Q22" s="32"/>
      <c r="R22" s="32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4"/>
        <v>0</v>
      </c>
      <c r="J23" s="44">
        <f t="shared" si="0"/>
        <v>0</v>
      </c>
      <c r="K23" s="44">
        <f t="shared" si="1"/>
        <v>0</v>
      </c>
      <c r="L23" s="45"/>
      <c r="M23" s="40"/>
      <c r="N23" s="43">
        <f t="shared" si="2"/>
        <v>0</v>
      </c>
      <c r="O23" s="43">
        <f t="shared" si="3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4"/>
        <v>0</v>
      </c>
      <c r="J25" s="44">
        <f t="shared" si="0"/>
        <v>0</v>
      </c>
      <c r="K25" s="44">
        <f t="shared" si="1"/>
        <v>0</v>
      </c>
      <c r="L25" s="45"/>
      <c r="M25" s="40"/>
      <c r="N25" s="43">
        <f t="shared" si="2"/>
        <v>0</v>
      </c>
      <c r="O25" s="43">
        <f t="shared" si="3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4"/>
        <v>0</v>
      </c>
      <c r="J27" s="44">
        <f t="shared" si="0"/>
        <v>0</v>
      </c>
      <c r="K27" s="44">
        <f t="shared" si="1"/>
        <v>0</v>
      </c>
      <c r="L27" s="45"/>
      <c r="M27" s="40"/>
      <c r="N27" s="43">
        <f t="shared" si="2"/>
        <v>0</v>
      </c>
      <c r="O27" s="43">
        <f t="shared" si="3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4"/>
        <v>0</v>
      </c>
      <c r="J29" s="44">
        <f t="shared" si="0"/>
        <v>0</v>
      </c>
      <c r="K29" s="44">
        <f t="shared" si="1"/>
        <v>0</v>
      </c>
      <c r="L29" s="45"/>
      <c r="M29" s="40"/>
      <c r="N29" s="43">
        <f t="shared" si="2"/>
        <v>0</v>
      </c>
      <c r="O29" s="43">
        <f t="shared" si="3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4"/>
        <v>0</v>
      </c>
      <c r="J31" s="44">
        <f t="shared" si="0"/>
        <v>0</v>
      </c>
      <c r="K31" s="44">
        <f t="shared" si="1"/>
        <v>0</v>
      </c>
      <c r="L31" s="45"/>
      <c r="M31" s="40"/>
      <c r="N31" s="43">
        <f t="shared" si="2"/>
        <v>0</v>
      </c>
      <c r="O31" s="43">
        <f t="shared" si="3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4"/>
        <v>0</v>
      </c>
      <c r="J33" s="44">
        <f t="shared" si="0"/>
        <v>0</v>
      </c>
      <c r="K33" s="44">
        <f t="shared" si="1"/>
        <v>0</v>
      </c>
      <c r="L33" s="45"/>
      <c r="M33" s="40"/>
      <c r="N33" s="43">
        <f t="shared" si="2"/>
        <v>0</v>
      </c>
      <c r="O33" s="43">
        <f t="shared" si="3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4"/>
        <v>0</v>
      </c>
      <c r="J35" s="44">
        <f t="shared" si="0"/>
        <v>0</v>
      </c>
      <c r="K35" s="44">
        <f t="shared" si="1"/>
        <v>0</v>
      </c>
      <c r="L35" s="45"/>
      <c r="M35" s="40"/>
      <c r="N35" s="43">
        <f t="shared" si="2"/>
        <v>0</v>
      </c>
      <c r="O35" s="43">
        <f t="shared" si="3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4"/>
        <v>0</v>
      </c>
      <c r="J37" s="44">
        <f t="shared" si="0"/>
        <v>0</v>
      </c>
      <c r="K37" s="44">
        <f t="shared" si="1"/>
        <v>0</v>
      </c>
      <c r="L37" s="45"/>
      <c r="M37" s="40"/>
      <c r="N37" s="43">
        <f t="shared" si="2"/>
        <v>0</v>
      </c>
      <c r="O37" s="43">
        <f t="shared" si="3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4"/>
        <v>0</v>
      </c>
      <c r="J39" s="44">
        <f t="shared" si="0"/>
        <v>0</v>
      </c>
      <c r="K39" s="44">
        <f t="shared" si="1"/>
        <v>0</v>
      </c>
      <c r="L39" s="45"/>
      <c r="M39" s="40"/>
      <c r="N39" s="43">
        <f t="shared" si="2"/>
        <v>0</v>
      </c>
      <c r="O39" s="43">
        <f t="shared" si="3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4"/>
        <v>0</v>
      </c>
      <c r="J41" s="44">
        <f t="shared" si="0"/>
        <v>0</v>
      </c>
      <c r="K41" s="44">
        <f t="shared" si="1"/>
        <v>0</v>
      </c>
      <c r="L41" s="45"/>
      <c r="M41" s="40"/>
      <c r="N41" s="43">
        <f t="shared" si="2"/>
        <v>0</v>
      </c>
      <c r="O41" s="43">
        <f t="shared" si="3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40"/>
      <c r="B43" s="41"/>
      <c r="C43" s="42"/>
      <c r="D43" s="40"/>
      <c r="E43" s="40"/>
      <c r="F43" s="40"/>
      <c r="G43" s="43">
        <f>F43*6%</f>
        <v>0</v>
      </c>
      <c r="H43" s="43"/>
      <c r="I43" s="44">
        <f t="shared" si="4"/>
        <v>0</v>
      </c>
      <c r="J43" s="44">
        <f t="shared" si="0"/>
        <v>0</v>
      </c>
      <c r="K43" s="44">
        <f t="shared" si="1"/>
        <v>0</v>
      </c>
      <c r="L43" s="45"/>
      <c r="M43" s="40"/>
      <c r="N43" s="43">
        <f t="shared" si="2"/>
        <v>0</v>
      </c>
      <c r="O43" s="43">
        <f t="shared" si="3"/>
        <v>0</v>
      </c>
      <c r="P43" s="46"/>
      <c r="Q43" s="40"/>
      <c r="R43" s="40"/>
      <c r="S43" s="40"/>
      <c r="T43" s="5"/>
    </row>
    <row r="44" spans="1:22" ht="15">
      <c r="A44" s="32"/>
      <c r="B44" s="33"/>
      <c r="C44" s="32"/>
      <c r="D44" s="33"/>
      <c r="E44" s="34"/>
      <c r="F44" s="32"/>
      <c r="G44" s="32"/>
      <c r="H44" s="32"/>
      <c r="I44" s="37"/>
      <c r="J44" s="37"/>
      <c r="K44" s="35"/>
      <c r="L44" s="35"/>
      <c r="M44" s="35"/>
      <c r="N44" s="36"/>
      <c r="O44" s="32"/>
      <c r="P44" s="37"/>
      <c r="Q44" s="37"/>
      <c r="R44" s="38"/>
      <c r="S44" s="32"/>
      <c r="T44" s="39"/>
      <c r="U44" s="6"/>
      <c r="V44" s="6"/>
    </row>
    <row r="45" spans="1:22" ht="15">
      <c r="A45" s="50"/>
      <c r="B45" s="51"/>
      <c r="C45" s="52"/>
      <c r="D45" s="50"/>
      <c r="E45" s="50"/>
      <c r="F45" s="50"/>
      <c r="G45" s="43">
        <f>F45*6%</f>
        <v>0</v>
      </c>
      <c r="H45" s="53"/>
      <c r="I45" s="44">
        <f t="shared" si="4"/>
        <v>0</v>
      </c>
      <c r="J45" s="54">
        <f t="shared" si="0"/>
        <v>0</v>
      </c>
      <c r="K45" s="54">
        <f t="shared" si="1"/>
        <v>0</v>
      </c>
      <c r="L45" s="55"/>
      <c r="M45" s="50"/>
      <c r="N45" s="53">
        <f t="shared" si="2"/>
        <v>0</v>
      </c>
      <c r="O45" s="53">
        <f t="shared" si="3"/>
        <v>0</v>
      </c>
      <c r="P45" s="56"/>
      <c r="Q45" s="50"/>
      <c r="R45" s="50"/>
      <c r="S45" s="50"/>
      <c r="T45" s="5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1397" priority="29" operator="containsText" text="SIN FACTURA ">
      <formula>NOT(ISERROR(SEARCH("SIN FACTURA ",A2)))</formula>
    </cfRule>
  </conditionalFormatting>
  <conditionalFormatting sqref="A40:B40">
    <cfRule type="containsText" dxfId="1396" priority="3" operator="containsText" text="SIN FACTURA">
      <formula>NOT(ISERROR(SEARCH("SIN FACTURA",A40)))</formula>
    </cfRule>
  </conditionalFormatting>
  <conditionalFormatting sqref="A4:T5 J45:T45 J43:T43 J41:T41 J39:T39 J37:T37 J35:T35 J33:T33 J31:T31 J29:T29 J27:T27 J25:T25 J15:T23 J6:T13 I6:I45 A6:H13 A15:H23 A25:H25 A27:H27 A29:H29 A31:H31 A33:H33 A35:H35 A37:H37 A39:H39 A41:H41 A43:H43 A45:H45">
    <cfRule type="containsText" dxfId="1395" priority="25" operator="containsText" text="SIN FACTURA">
      <formula>NOT(ISERROR(SEARCH("SIN FACTURA",A4)))</formula>
    </cfRule>
  </conditionalFormatting>
  <conditionalFormatting sqref="C14:H14 J14:V14">
    <cfRule type="containsText" dxfId="1394" priority="24" operator="containsText" text="SIN FACTURA">
      <formula>NOT(ISERROR(SEARCH("SIN FACTURA",C14)))</formula>
    </cfRule>
  </conditionalFormatting>
  <conditionalFormatting sqref="C24:H24 J24:V24">
    <cfRule type="containsText" dxfId="1393" priority="23" operator="containsText" text="SIN FACTURA">
      <formula>NOT(ISERROR(SEARCH("SIN FACTURA",C24)))</formula>
    </cfRule>
  </conditionalFormatting>
  <conditionalFormatting sqref="C26:H26 J26:V26">
    <cfRule type="containsText" dxfId="1392" priority="22" operator="containsText" text="SIN FACTURA">
      <formula>NOT(ISERROR(SEARCH("SIN FACTURA",C26)))</formula>
    </cfRule>
  </conditionalFormatting>
  <conditionalFormatting sqref="C28:H28 J28:V28">
    <cfRule type="containsText" dxfId="1391" priority="21" operator="containsText" text="SIN FACTURA">
      <formula>NOT(ISERROR(SEARCH("SIN FACTURA",C28)))</formula>
    </cfRule>
  </conditionalFormatting>
  <conditionalFormatting sqref="C30:H30 J30:V30">
    <cfRule type="containsText" dxfId="1390" priority="20" operator="containsText" text="SIN FACTURA">
      <formula>NOT(ISERROR(SEARCH("SIN FACTURA",C30)))</formula>
    </cfRule>
  </conditionalFormatting>
  <conditionalFormatting sqref="C32:H32 J32:V32">
    <cfRule type="containsText" dxfId="1389" priority="19" operator="containsText" text="SIN FACTURA">
      <formula>NOT(ISERROR(SEARCH("SIN FACTURA",C32)))</formula>
    </cfRule>
  </conditionalFormatting>
  <conditionalFormatting sqref="C34:H34 J34:V34">
    <cfRule type="containsText" dxfId="1388" priority="18" operator="containsText" text="SIN FACTURA">
      <formula>NOT(ISERROR(SEARCH("SIN FACTURA",C34)))</formula>
    </cfRule>
  </conditionalFormatting>
  <conditionalFormatting sqref="C36:H36 J36:V36">
    <cfRule type="containsText" dxfId="1387" priority="17" operator="containsText" text="SIN FACTURA">
      <formula>NOT(ISERROR(SEARCH("SIN FACTURA",C36)))</formula>
    </cfRule>
  </conditionalFormatting>
  <conditionalFormatting sqref="C38:H38 J38:V38">
    <cfRule type="containsText" dxfId="1386" priority="16" operator="containsText" text="SIN FACTURA">
      <formula>NOT(ISERROR(SEARCH("SIN FACTURA",C38)))</formula>
    </cfRule>
  </conditionalFormatting>
  <conditionalFormatting sqref="C40:H40 J40:V40">
    <cfRule type="containsText" dxfId="1385" priority="15" operator="containsText" text="SIN FACTURA">
      <formula>NOT(ISERROR(SEARCH("SIN FACTURA",C40)))</formula>
    </cfRule>
  </conditionalFormatting>
  <conditionalFormatting sqref="C42:H42 J42:V42">
    <cfRule type="containsText" dxfId="1384" priority="14" operator="containsText" text="SIN FACTURA">
      <formula>NOT(ISERROR(SEARCH("SIN FACTURA",C42)))</formula>
    </cfRule>
  </conditionalFormatting>
  <conditionalFormatting sqref="C44:H44 J44:V44">
    <cfRule type="containsText" dxfId="1383" priority="13" operator="containsText" text="SIN FACTURA">
      <formula>NOT(ISERROR(SEARCH("SIN FACTURA",C44)))</formula>
    </cfRule>
  </conditionalFormatting>
  <conditionalFormatting sqref="A14:B14">
    <cfRule type="containsText" dxfId="1382" priority="12" operator="containsText" text="SIN FACTURA">
      <formula>NOT(ISERROR(SEARCH("SIN FACTURA",A14)))</formula>
    </cfRule>
  </conditionalFormatting>
  <conditionalFormatting sqref="A24:B24">
    <cfRule type="containsText" dxfId="1381" priority="11" operator="containsText" text="SIN FACTURA">
      <formula>NOT(ISERROR(SEARCH("SIN FACTURA",A24)))</formula>
    </cfRule>
  </conditionalFormatting>
  <conditionalFormatting sqref="A26:B26">
    <cfRule type="containsText" dxfId="1380" priority="10" operator="containsText" text="SIN FACTURA">
      <formula>NOT(ISERROR(SEARCH("SIN FACTURA",A26)))</formula>
    </cfRule>
  </conditionalFormatting>
  <conditionalFormatting sqref="A28:B28">
    <cfRule type="containsText" dxfId="1379" priority="9" operator="containsText" text="SIN FACTURA">
      <formula>NOT(ISERROR(SEARCH("SIN FACTURA",A28)))</formula>
    </cfRule>
  </conditionalFormatting>
  <conditionalFormatting sqref="A30:B30">
    <cfRule type="containsText" dxfId="1378" priority="8" operator="containsText" text="SIN FACTURA">
      <formula>NOT(ISERROR(SEARCH("SIN FACTURA",A30)))</formula>
    </cfRule>
  </conditionalFormatting>
  <conditionalFormatting sqref="A32:B32">
    <cfRule type="containsText" dxfId="1377" priority="7" operator="containsText" text="SIN FACTURA">
      <formula>NOT(ISERROR(SEARCH("SIN FACTURA",A32)))</formula>
    </cfRule>
  </conditionalFormatting>
  <conditionalFormatting sqref="A44:B44">
    <cfRule type="containsText" dxfId="1376" priority="1" operator="containsText" text="SIN FACTURA">
      <formula>NOT(ISERROR(SEARCH("SIN FACTURA",A44)))</formula>
    </cfRule>
  </conditionalFormatting>
  <conditionalFormatting sqref="A34:B34">
    <cfRule type="containsText" dxfId="1375" priority="6" operator="containsText" text="SIN FACTURA">
      <formula>NOT(ISERROR(SEARCH("SIN FACTURA",A34)))</formula>
    </cfRule>
  </conditionalFormatting>
  <conditionalFormatting sqref="A36:B36">
    <cfRule type="containsText" dxfId="1374" priority="5" operator="containsText" text="SIN FACTURA">
      <formula>NOT(ISERROR(SEARCH("SIN FACTURA",A36)))</formula>
    </cfRule>
  </conditionalFormatting>
  <conditionalFormatting sqref="A38:B38">
    <cfRule type="containsText" dxfId="1373" priority="4" operator="containsText" text="SIN FACTURA">
      <formula>NOT(ISERROR(SEARCH("SIN FACTURA",A38)))</formula>
    </cfRule>
  </conditionalFormatting>
  <conditionalFormatting sqref="A42:B42">
    <cfRule type="containsText" dxfId="1372" priority="2" operator="containsText" text="SIN FACTURA">
      <formula>NOT(ISERROR(SEARCH("SIN FACTURA",A42)))</formula>
    </cfRule>
  </conditionalFormatting>
  <pageMargins left="0.75" right="0.75" top="1" bottom="1" header="0.5" footer="0.5"/>
  <pageSetup paperSize="9" orientation="portrait" horizontalDpi="4294967292" verticalDpi="4294967292"/>
</worksheet>
</file>

<file path=xl/worksheets/sheet146.xml><?xml version="1.0" encoding="utf-8"?>
<worksheet xmlns="http://schemas.openxmlformats.org/spreadsheetml/2006/main" xmlns:r="http://schemas.openxmlformats.org/officeDocument/2006/relationships">
  <sheetPr codeName="Hoja176"/>
  <dimension ref="A1:Y41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12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435</v>
      </c>
      <c r="B1" s="18" t="s">
        <v>166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1" si="0">F5-G5-H5</f>
        <v>0</v>
      </c>
      <c r="J5" s="44">
        <f t="shared" ref="J5:J41" si="1">S5+T5</f>
        <v>0</v>
      </c>
      <c r="K5" s="44">
        <f t="shared" ref="K5:K41" si="2">I5-J5</f>
        <v>0</v>
      </c>
      <c r="L5" s="45"/>
      <c r="M5" s="40"/>
      <c r="N5" s="43">
        <f t="shared" ref="N5:N41" si="3">I5-J5-M5-R5</f>
        <v>0</v>
      </c>
      <c r="O5" s="43">
        <f t="shared" ref="O5:O41" si="4">R5+S5+T5</f>
        <v>0</v>
      </c>
      <c r="P5" s="46"/>
      <c r="Q5" s="40"/>
      <c r="R5" s="43"/>
      <c r="S5" s="43"/>
      <c r="T5" s="49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>I7-J7</f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>S15+T15</f>
        <v>0</v>
      </c>
      <c r="K15" s="44">
        <f t="shared" si="2"/>
        <v>0</v>
      </c>
      <c r="L15" s="45"/>
      <c r="M15" s="40"/>
      <c r="N15" s="43">
        <f>I15-J15-M15-R15</f>
        <v>0</v>
      </c>
      <c r="O15" s="43">
        <f>R15+S15+T15</f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50"/>
      <c r="B41" s="51"/>
      <c r="C41" s="52"/>
      <c r="D41" s="50"/>
      <c r="E41" s="50"/>
      <c r="F41" s="50"/>
      <c r="G41" s="43">
        <f>F41*6%</f>
        <v>0</v>
      </c>
      <c r="H41" s="53"/>
      <c r="I41" s="78">
        <f t="shared" si="0"/>
        <v>0</v>
      </c>
      <c r="J41" s="54">
        <f t="shared" si="1"/>
        <v>0</v>
      </c>
      <c r="K41" s="54">
        <f t="shared" si="2"/>
        <v>0</v>
      </c>
      <c r="L41" s="55"/>
      <c r="M41" s="50"/>
      <c r="N41" s="53">
        <f t="shared" si="3"/>
        <v>0</v>
      </c>
      <c r="O41" s="53">
        <f t="shared" si="4"/>
        <v>0</v>
      </c>
      <c r="P41" s="56"/>
      <c r="Q41" s="50"/>
      <c r="R41" s="50"/>
      <c r="S41" s="50"/>
      <c r="T41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780" priority="26" operator="containsText" text="SIN FACTURA ">
      <formula>NOT(ISERROR(SEARCH("SIN FACTURA ",A2)))</formula>
    </cfRule>
  </conditionalFormatting>
  <conditionalFormatting sqref="J41:T41 J39:T39 J37:T37 J35:T35 J33:T33 J31:T31 J29:T29 J27:T27 J25:T25 J23:T23 J21:T21 J11:T19 A11:H19 A21:H21 A23:H23 A25:H25 A27:H27 A29:H29 A31:H31 A33:H33 A35:H35 A37:H37 A39:H39 A41:H41 A4:T4 I5:I41 A5:H9 J5:T9">
    <cfRule type="containsText" dxfId="779" priority="25" operator="containsText" text="SIN FACTURA">
      <formula>NOT(ISERROR(SEARCH("SIN FACTURA",A4)))</formula>
    </cfRule>
  </conditionalFormatting>
  <conditionalFormatting sqref="C10:H10 J10:V10">
    <cfRule type="containsText" dxfId="778" priority="24" operator="containsText" text="SIN FACTURA">
      <formula>NOT(ISERROR(SEARCH("SIN FACTURA",C10)))</formula>
    </cfRule>
  </conditionalFormatting>
  <conditionalFormatting sqref="C20:H20 J20:V20">
    <cfRule type="containsText" dxfId="777" priority="23" operator="containsText" text="SIN FACTURA">
      <formula>NOT(ISERROR(SEARCH("SIN FACTURA",C20)))</formula>
    </cfRule>
  </conditionalFormatting>
  <conditionalFormatting sqref="C22:H22 J22:V22">
    <cfRule type="containsText" dxfId="776" priority="22" operator="containsText" text="SIN FACTURA">
      <formula>NOT(ISERROR(SEARCH("SIN FACTURA",C22)))</formula>
    </cfRule>
  </conditionalFormatting>
  <conditionalFormatting sqref="C24:H24 J24:V24">
    <cfRule type="containsText" dxfId="775" priority="21" operator="containsText" text="SIN FACTURA">
      <formula>NOT(ISERROR(SEARCH("SIN FACTURA",C24)))</formula>
    </cfRule>
  </conditionalFormatting>
  <conditionalFormatting sqref="C26:H26 J26:V26">
    <cfRule type="containsText" dxfId="774" priority="20" operator="containsText" text="SIN FACTURA">
      <formula>NOT(ISERROR(SEARCH("SIN FACTURA",C26)))</formula>
    </cfRule>
  </conditionalFormatting>
  <conditionalFormatting sqref="C28:H28 J28:V28">
    <cfRule type="containsText" dxfId="773" priority="19" operator="containsText" text="SIN FACTURA">
      <formula>NOT(ISERROR(SEARCH("SIN FACTURA",C28)))</formula>
    </cfRule>
  </conditionalFormatting>
  <conditionalFormatting sqref="C30:H30 J30:V30">
    <cfRule type="containsText" dxfId="772" priority="18" operator="containsText" text="SIN FACTURA">
      <formula>NOT(ISERROR(SEARCH("SIN FACTURA",C30)))</formula>
    </cfRule>
  </conditionalFormatting>
  <conditionalFormatting sqref="C32:H32 J32:V32">
    <cfRule type="containsText" dxfId="771" priority="17" operator="containsText" text="SIN FACTURA">
      <formula>NOT(ISERROR(SEARCH("SIN FACTURA",C32)))</formula>
    </cfRule>
  </conditionalFormatting>
  <conditionalFormatting sqref="C34:H34 J34:V34">
    <cfRule type="containsText" dxfId="770" priority="16" operator="containsText" text="SIN FACTURA">
      <formula>NOT(ISERROR(SEARCH("SIN FACTURA",C34)))</formula>
    </cfRule>
  </conditionalFormatting>
  <conditionalFormatting sqref="C36:H36 J36:V36">
    <cfRule type="containsText" dxfId="769" priority="15" operator="containsText" text="SIN FACTURA">
      <formula>NOT(ISERROR(SEARCH("SIN FACTURA",C36)))</formula>
    </cfRule>
  </conditionalFormatting>
  <conditionalFormatting sqref="C38:H38 J38:V38">
    <cfRule type="containsText" dxfId="768" priority="14" operator="containsText" text="SIN FACTURA">
      <formula>NOT(ISERROR(SEARCH("SIN FACTURA",C38)))</formula>
    </cfRule>
  </conditionalFormatting>
  <conditionalFormatting sqref="C40:H40 J40:V40">
    <cfRule type="containsText" dxfId="767" priority="13" operator="containsText" text="SIN FACTURA">
      <formula>NOT(ISERROR(SEARCH("SIN FACTURA",C40)))</formula>
    </cfRule>
  </conditionalFormatting>
  <conditionalFormatting sqref="A10:B10">
    <cfRule type="containsText" dxfId="766" priority="12" operator="containsText" text="SIN FACTURA">
      <formula>NOT(ISERROR(SEARCH("SIN FACTURA",A10)))</formula>
    </cfRule>
  </conditionalFormatting>
  <conditionalFormatting sqref="A20:B20">
    <cfRule type="containsText" dxfId="765" priority="11" operator="containsText" text="SIN FACTURA">
      <formula>NOT(ISERROR(SEARCH("SIN FACTURA",A20)))</formula>
    </cfRule>
  </conditionalFormatting>
  <conditionalFormatting sqref="A22:B22">
    <cfRule type="containsText" dxfId="764" priority="10" operator="containsText" text="SIN FACTURA">
      <formula>NOT(ISERROR(SEARCH("SIN FACTURA",A22)))</formula>
    </cfRule>
  </conditionalFormatting>
  <conditionalFormatting sqref="A24:B24">
    <cfRule type="containsText" dxfId="763" priority="9" operator="containsText" text="SIN FACTURA">
      <formula>NOT(ISERROR(SEARCH("SIN FACTURA",A24)))</formula>
    </cfRule>
  </conditionalFormatting>
  <conditionalFormatting sqref="A26:B26">
    <cfRule type="containsText" dxfId="762" priority="8" operator="containsText" text="SIN FACTURA">
      <formula>NOT(ISERROR(SEARCH("SIN FACTURA",A26)))</formula>
    </cfRule>
  </conditionalFormatting>
  <conditionalFormatting sqref="A28:B28">
    <cfRule type="containsText" dxfId="761" priority="7" operator="containsText" text="SIN FACTURA">
      <formula>NOT(ISERROR(SEARCH("SIN FACTURA",A28)))</formula>
    </cfRule>
  </conditionalFormatting>
  <conditionalFormatting sqref="A40:B40">
    <cfRule type="containsText" dxfId="760" priority="1" operator="containsText" text="SIN FACTURA">
      <formula>NOT(ISERROR(SEARCH("SIN FACTURA",A40)))</formula>
    </cfRule>
  </conditionalFormatting>
  <conditionalFormatting sqref="A30:B30">
    <cfRule type="containsText" dxfId="759" priority="6" operator="containsText" text="SIN FACTURA">
      <formula>NOT(ISERROR(SEARCH("SIN FACTURA",A30)))</formula>
    </cfRule>
  </conditionalFormatting>
  <conditionalFormatting sqref="A32:B32">
    <cfRule type="containsText" dxfId="758" priority="5" operator="containsText" text="SIN FACTURA">
      <formula>NOT(ISERROR(SEARCH("SIN FACTURA",A32)))</formula>
    </cfRule>
  </conditionalFormatting>
  <conditionalFormatting sqref="A34:B34">
    <cfRule type="containsText" dxfId="757" priority="4" operator="containsText" text="SIN FACTURA">
      <formula>NOT(ISERROR(SEARCH("SIN FACTURA",A34)))</formula>
    </cfRule>
  </conditionalFormatting>
  <conditionalFormatting sqref="A36:B36">
    <cfRule type="containsText" dxfId="756" priority="3" operator="containsText" text="SIN FACTURA">
      <formula>NOT(ISERROR(SEARCH("SIN FACTURA",A36)))</formula>
    </cfRule>
  </conditionalFormatting>
  <conditionalFormatting sqref="A38:B38">
    <cfRule type="containsText" dxfId="755" priority="2" operator="containsText" text="SIN FACTURA">
      <formula>NOT(ISERROR(SEARCH("SIN FACTURA",A38)))</formula>
    </cfRule>
  </conditionalFormatting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>
  <sheetPr codeName="Hoja214"/>
  <dimension ref="A1:Y43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10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326</v>
      </c>
      <c r="B1" s="18" t="s">
        <v>127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78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754" priority="26" operator="containsText" text="SIN FACTURA ">
      <formula>NOT(ISERROR(SEARCH("SIN FACTURA ",A2)))</formula>
    </cfRule>
  </conditionalFormatting>
  <conditionalFormatting sqref="J43:T43 J41:T41 J39:T39 J37:T37 J35:T35 J33:T33 J31:T31 J29:T29 J27:T27 J25:T25 J23:T23 J13:T21 A13:H21 A23:H23 A25:H25 A27:H27 A29:H29 A31:H31 A33:H33 A35:H35 A37:H37 A39:H39 A41:H41 A43:H43 J5:T11 I5:I43 A5:H11 A4:T4">
    <cfRule type="containsText" dxfId="753" priority="25" operator="containsText" text="SIN FACTURA">
      <formula>NOT(ISERROR(SEARCH("SIN FACTURA",A4)))</formula>
    </cfRule>
  </conditionalFormatting>
  <conditionalFormatting sqref="C12:H12 J12:V12">
    <cfRule type="containsText" dxfId="752" priority="24" operator="containsText" text="SIN FACTURA">
      <formula>NOT(ISERROR(SEARCH("SIN FACTURA",C12)))</formula>
    </cfRule>
  </conditionalFormatting>
  <conditionalFormatting sqref="C22:H22 J22:V22">
    <cfRule type="containsText" dxfId="751" priority="23" operator="containsText" text="SIN FACTURA">
      <formula>NOT(ISERROR(SEARCH("SIN FACTURA",C22)))</formula>
    </cfRule>
  </conditionalFormatting>
  <conditionalFormatting sqref="C24:H24 J24:V24">
    <cfRule type="containsText" dxfId="750" priority="22" operator="containsText" text="SIN FACTURA">
      <formula>NOT(ISERROR(SEARCH("SIN FACTURA",C24)))</formula>
    </cfRule>
  </conditionalFormatting>
  <conditionalFormatting sqref="C26:H26 J26:V26">
    <cfRule type="containsText" dxfId="749" priority="21" operator="containsText" text="SIN FACTURA">
      <formula>NOT(ISERROR(SEARCH("SIN FACTURA",C26)))</formula>
    </cfRule>
  </conditionalFormatting>
  <conditionalFormatting sqref="C28:H28 J28:V28">
    <cfRule type="containsText" dxfId="748" priority="20" operator="containsText" text="SIN FACTURA">
      <formula>NOT(ISERROR(SEARCH("SIN FACTURA",C28)))</formula>
    </cfRule>
  </conditionalFormatting>
  <conditionalFormatting sqref="C30:H30 J30:V30">
    <cfRule type="containsText" dxfId="747" priority="19" operator="containsText" text="SIN FACTURA">
      <formula>NOT(ISERROR(SEARCH("SIN FACTURA",C30)))</formula>
    </cfRule>
  </conditionalFormatting>
  <conditionalFormatting sqref="C32:H32 J32:V32">
    <cfRule type="containsText" dxfId="746" priority="18" operator="containsText" text="SIN FACTURA">
      <formula>NOT(ISERROR(SEARCH("SIN FACTURA",C32)))</formula>
    </cfRule>
  </conditionalFormatting>
  <conditionalFormatting sqref="C34:H34 J34:V34">
    <cfRule type="containsText" dxfId="745" priority="17" operator="containsText" text="SIN FACTURA">
      <formula>NOT(ISERROR(SEARCH("SIN FACTURA",C34)))</formula>
    </cfRule>
  </conditionalFormatting>
  <conditionalFormatting sqref="C36:H36 J36:V36">
    <cfRule type="containsText" dxfId="744" priority="16" operator="containsText" text="SIN FACTURA">
      <formula>NOT(ISERROR(SEARCH("SIN FACTURA",C36)))</formula>
    </cfRule>
  </conditionalFormatting>
  <conditionalFormatting sqref="C38:H38 J38:V38">
    <cfRule type="containsText" dxfId="743" priority="15" operator="containsText" text="SIN FACTURA">
      <formula>NOT(ISERROR(SEARCH("SIN FACTURA",C38)))</formula>
    </cfRule>
  </conditionalFormatting>
  <conditionalFormatting sqref="C40:H40 J40:V40">
    <cfRule type="containsText" dxfId="742" priority="14" operator="containsText" text="SIN FACTURA">
      <formula>NOT(ISERROR(SEARCH("SIN FACTURA",C40)))</formula>
    </cfRule>
  </conditionalFormatting>
  <conditionalFormatting sqref="C42:H42 J42:V42">
    <cfRule type="containsText" dxfId="741" priority="13" operator="containsText" text="SIN FACTURA">
      <formula>NOT(ISERROR(SEARCH("SIN FACTURA",C42)))</formula>
    </cfRule>
  </conditionalFormatting>
  <conditionalFormatting sqref="A12:B12">
    <cfRule type="containsText" dxfId="740" priority="12" operator="containsText" text="SIN FACTURA">
      <formula>NOT(ISERROR(SEARCH("SIN FACTURA",A12)))</formula>
    </cfRule>
  </conditionalFormatting>
  <conditionalFormatting sqref="A22:B22">
    <cfRule type="containsText" dxfId="739" priority="11" operator="containsText" text="SIN FACTURA">
      <formula>NOT(ISERROR(SEARCH("SIN FACTURA",A22)))</formula>
    </cfRule>
  </conditionalFormatting>
  <conditionalFormatting sqref="A24:B24">
    <cfRule type="containsText" dxfId="738" priority="10" operator="containsText" text="SIN FACTURA">
      <formula>NOT(ISERROR(SEARCH("SIN FACTURA",A24)))</formula>
    </cfRule>
  </conditionalFormatting>
  <conditionalFormatting sqref="A26:B26">
    <cfRule type="containsText" dxfId="737" priority="9" operator="containsText" text="SIN FACTURA">
      <formula>NOT(ISERROR(SEARCH("SIN FACTURA",A26)))</formula>
    </cfRule>
  </conditionalFormatting>
  <conditionalFormatting sqref="A28:B28">
    <cfRule type="containsText" dxfId="736" priority="8" operator="containsText" text="SIN FACTURA">
      <formula>NOT(ISERROR(SEARCH("SIN FACTURA",A28)))</formula>
    </cfRule>
  </conditionalFormatting>
  <conditionalFormatting sqref="A30:B30">
    <cfRule type="containsText" dxfId="735" priority="7" operator="containsText" text="SIN FACTURA">
      <formula>NOT(ISERROR(SEARCH("SIN FACTURA",A30)))</formula>
    </cfRule>
  </conditionalFormatting>
  <conditionalFormatting sqref="A42:B42">
    <cfRule type="containsText" dxfId="734" priority="6" operator="containsText" text="SIN FACTURA">
      <formula>NOT(ISERROR(SEARCH("SIN FACTURA",A42)))</formula>
    </cfRule>
  </conditionalFormatting>
  <conditionalFormatting sqref="A32:B32">
    <cfRule type="containsText" dxfId="733" priority="5" operator="containsText" text="SIN FACTURA">
      <formula>NOT(ISERROR(SEARCH("SIN FACTURA",A32)))</formula>
    </cfRule>
  </conditionalFormatting>
  <conditionalFormatting sqref="A34:B34">
    <cfRule type="containsText" dxfId="732" priority="4" operator="containsText" text="SIN FACTURA">
      <formula>NOT(ISERROR(SEARCH("SIN FACTURA",A34)))</formula>
    </cfRule>
  </conditionalFormatting>
  <conditionalFormatting sqref="A36:B36">
    <cfRule type="containsText" dxfId="731" priority="3" operator="containsText" text="SIN FACTURA">
      <formula>NOT(ISERROR(SEARCH("SIN FACTURA",A36)))</formula>
    </cfRule>
  </conditionalFormatting>
  <conditionalFormatting sqref="A38:B38">
    <cfRule type="containsText" dxfId="730" priority="2" operator="containsText" text="SIN FACTURA">
      <formula>NOT(ISERROR(SEARCH("SIN FACTURA",A38)))</formula>
    </cfRule>
  </conditionalFormatting>
  <conditionalFormatting sqref="A40:B40">
    <cfRule type="containsText" dxfId="729" priority="1" operator="containsText" text="SIN FACTURA">
      <formula>NOT(ISERROR(SEARCH("SIN FACTURA",A40)))</formula>
    </cfRule>
  </conditionalFormatting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>
  <sheetPr codeName="Hoja215"/>
  <dimension ref="A1:Y43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343</v>
      </c>
      <c r="B1" s="18" t="s">
        <v>95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44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728" priority="27" operator="containsText" text="SIN FACTURA ">
      <formula>NOT(ISERROR(SEARCH("SIN FACTURA ",A2)))</formula>
    </cfRule>
  </conditionalFormatting>
  <conditionalFormatting sqref="A42:B42 A4:T4 J5:T11 I5:I43 A5:H11">
    <cfRule type="containsText" dxfId="727" priority="1" operator="containsText" text="SIN FACTURA">
      <formula>NOT(ISERROR(SEARCH("SIN FACTURA",A4)))</formula>
    </cfRule>
  </conditionalFormatting>
  <conditionalFormatting sqref="J43:T43 J41:T41 J39:T39 J37:T37 J35:T35 J33:T33 J31:T31 J29:T29 J27:T27 J25:T25 J23:T23 J13:T21 A13:H21 A23:H23 A25:H25 A27:H27 A29:H29 A31:H31 A33:H33 A35:H35 A37:H37 A39:H39 A41:H41 A43:H43">
    <cfRule type="containsText" dxfId="726" priority="25" operator="containsText" text="SIN FACTURA">
      <formula>NOT(ISERROR(SEARCH("SIN FACTURA",A13)))</formula>
    </cfRule>
  </conditionalFormatting>
  <conditionalFormatting sqref="C12:H12 J12:V12">
    <cfRule type="containsText" dxfId="725" priority="24" operator="containsText" text="SIN FACTURA">
      <formula>NOT(ISERROR(SEARCH("SIN FACTURA",C12)))</formula>
    </cfRule>
  </conditionalFormatting>
  <conditionalFormatting sqref="C22:H22 J22:V22">
    <cfRule type="containsText" dxfId="724" priority="23" operator="containsText" text="SIN FACTURA">
      <formula>NOT(ISERROR(SEARCH("SIN FACTURA",C22)))</formula>
    </cfRule>
  </conditionalFormatting>
  <conditionalFormatting sqref="C24:H24 J24:V24">
    <cfRule type="containsText" dxfId="723" priority="22" operator="containsText" text="SIN FACTURA">
      <formula>NOT(ISERROR(SEARCH("SIN FACTURA",C24)))</formula>
    </cfRule>
  </conditionalFormatting>
  <conditionalFormatting sqref="C26:H26 J26:V26">
    <cfRule type="containsText" dxfId="722" priority="21" operator="containsText" text="SIN FACTURA">
      <formula>NOT(ISERROR(SEARCH("SIN FACTURA",C26)))</formula>
    </cfRule>
  </conditionalFormatting>
  <conditionalFormatting sqref="C28:H28 J28:V28">
    <cfRule type="containsText" dxfId="721" priority="20" operator="containsText" text="SIN FACTURA">
      <formula>NOT(ISERROR(SEARCH("SIN FACTURA",C28)))</formula>
    </cfRule>
  </conditionalFormatting>
  <conditionalFormatting sqref="C30:H30 J30:V30">
    <cfRule type="containsText" dxfId="720" priority="19" operator="containsText" text="SIN FACTURA">
      <formula>NOT(ISERROR(SEARCH("SIN FACTURA",C30)))</formula>
    </cfRule>
  </conditionalFormatting>
  <conditionalFormatting sqref="C32:H32 J32:V32">
    <cfRule type="containsText" dxfId="719" priority="18" operator="containsText" text="SIN FACTURA">
      <formula>NOT(ISERROR(SEARCH("SIN FACTURA",C32)))</formula>
    </cfRule>
  </conditionalFormatting>
  <conditionalFormatting sqref="C34:H34 J34:V34">
    <cfRule type="containsText" dxfId="718" priority="17" operator="containsText" text="SIN FACTURA">
      <formula>NOT(ISERROR(SEARCH("SIN FACTURA",C34)))</formula>
    </cfRule>
  </conditionalFormatting>
  <conditionalFormatting sqref="C36:H36 J36:V36">
    <cfRule type="containsText" dxfId="717" priority="16" operator="containsText" text="SIN FACTURA">
      <formula>NOT(ISERROR(SEARCH("SIN FACTURA",C36)))</formula>
    </cfRule>
  </conditionalFormatting>
  <conditionalFormatting sqref="C38:H38 J38:V38">
    <cfRule type="containsText" dxfId="716" priority="15" operator="containsText" text="SIN FACTURA">
      <formula>NOT(ISERROR(SEARCH("SIN FACTURA",C38)))</formula>
    </cfRule>
  </conditionalFormatting>
  <conditionalFormatting sqref="C40:H40 J40:V40">
    <cfRule type="containsText" dxfId="715" priority="14" operator="containsText" text="SIN FACTURA">
      <formula>NOT(ISERROR(SEARCH("SIN FACTURA",C40)))</formula>
    </cfRule>
  </conditionalFormatting>
  <conditionalFormatting sqref="C42:H42 J42:V42">
    <cfRule type="containsText" dxfId="714" priority="13" operator="containsText" text="SIN FACTURA">
      <formula>NOT(ISERROR(SEARCH("SIN FACTURA",C42)))</formula>
    </cfRule>
  </conditionalFormatting>
  <conditionalFormatting sqref="A12:B12">
    <cfRule type="containsText" dxfId="713" priority="12" operator="containsText" text="SIN FACTURA">
      <formula>NOT(ISERROR(SEARCH("SIN FACTURA",A12)))</formula>
    </cfRule>
  </conditionalFormatting>
  <conditionalFormatting sqref="A22:B22">
    <cfRule type="containsText" dxfId="712" priority="11" operator="containsText" text="SIN FACTURA">
      <formula>NOT(ISERROR(SEARCH("SIN FACTURA",A22)))</formula>
    </cfRule>
  </conditionalFormatting>
  <conditionalFormatting sqref="A24:B24">
    <cfRule type="containsText" dxfId="711" priority="10" operator="containsText" text="SIN FACTURA">
      <formula>NOT(ISERROR(SEARCH("SIN FACTURA",A24)))</formula>
    </cfRule>
  </conditionalFormatting>
  <conditionalFormatting sqref="A26:B26">
    <cfRule type="containsText" dxfId="710" priority="9" operator="containsText" text="SIN FACTURA">
      <formula>NOT(ISERROR(SEARCH("SIN FACTURA",A26)))</formula>
    </cfRule>
  </conditionalFormatting>
  <conditionalFormatting sqref="A28:B28">
    <cfRule type="containsText" dxfId="709" priority="8" operator="containsText" text="SIN FACTURA">
      <formula>NOT(ISERROR(SEARCH("SIN FACTURA",A28)))</formula>
    </cfRule>
  </conditionalFormatting>
  <conditionalFormatting sqref="A30:B30">
    <cfRule type="containsText" dxfId="708" priority="7" operator="containsText" text="SIN FACTURA">
      <formula>NOT(ISERROR(SEARCH("SIN FACTURA",A30)))</formula>
    </cfRule>
  </conditionalFormatting>
  <conditionalFormatting sqref="A32:B32">
    <cfRule type="containsText" dxfId="707" priority="6" operator="containsText" text="SIN FACTURA">
      <formula>NOT(ISERROR(SEARCH("SIN FACTURA",A32)))</formula>
    </cfRule>
  </conditionalFormatting>
  <conditionalFormatting sqref="A34:B34">
    <cfRule type="containsText" dxfId="706" priority="5" operator="containsText" text="SIN FACTURA">
      <formula>NOT(ISERROR(SEARCH("SIN FACTURA",A34)))</formula>
    </cfRule>
  </conditionalFormatting>
  <conditionalFormatting sqref="A36:B36">
    <cfRule type="containsText" dxfId="705" priority="4" operator="containsText" text="SIN FACTURA">
      <formula>NOT(ISERROR(SEARCH("SIN FACTURA",A36)))</formula>
    </cfRule>
  </conditionalFormatting>
  <conditionalFormatting sqref="A38:B38">
    <cfRule type="containsText" dxfId="704" priority="3" operator="containsText" text="SIN FACTURA">
      <formula>NOT(ISERROR(SEARCH("SIN FACTURA",A38)))</formula>
    </cfRule>
  </conditionalFormatting>
  <conditionalFormatting sqref="A40:B40">
    <cfRule type="containsText" dxfId="703" priority="2" operator="containsText" text="SIN FACTURA">
      <formula>NOT(ISERROR(SEARCH("SIN FACTURA",A40)))</formula>
    </cfRule>
  </conditionalFormatting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>
  <sheetPr codeName="Hoja181"/>
  <dimension ref="A1:Y29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22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429</v>
      </c>
      <c r="B1" s="18" t="s">
        <v>135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29" si="0">F5-G5-H5</f>
        <v>0</v>
      </c>
      <c r="J5" s="44">
        <f t="shared" ref="J5:J29" si="1">S5+T5</f>
        <v>0</v>
      </c>
      <c r="K5" s="44">
        <f t="shared" ref="K5:K29" si="2">I5-J5</f>
        <v>0</v>
      </c>
      <c r="L5" s="45"/>
      <c r="M5" s="40"/>
      <c r="N5" s="43">
        <f t="shared" ref="N5:N29" si="3">I5-J5-M5-R5</f>
        <v>0</v>
      </c>
      <c r="O5" s="43">
        <f t="shared" ref="O5:O29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  <c r="U10" s="6"/>
      <c r="V10" s="6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50"/>
      <c r="B29" s="51"/>
      <c r="C29" s="52"/>
      <c r="D29" s="50"/>
      <c r="E29" s="50"/>
      <c r="F29" s="50"/>
      <c r="G29" s="43">
        <f>F29*6%</f>
        <v>0</v>
      </c>
      <c r="H29" s="53"/>
      <c r="I29" s="78">
        <f t="shared" si="0"/>
        <v>0</v>
      </c>
      <c r="J29" s="54">
        <f t="shared" si="1"/>
        <v>0</v>
      </c>
      <c r="K29" s="54">
        <f t="shared" si="2"/>
        <v>0</v>
      </c>
      <c r="L29" s="55"/>
      <c r="M29" s="50"/>
      <c r="N29" s="53">
        <f t="shared" si="3"/>
        <v>0</v>
      </c>
      <c r="O29" s="53">
        <f t="shared" si="4"/>
        <v>0</v>
      </c>
      <c r="P29" s="56"/>
      <c r="Q29" s="50"/>
      <c r="R29" s="50"/>
      <c r="S29" s="50"/>
      <c r="T29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702" priority="29" operator="containsText" text="SIN FACTURA ">
      <formula>NOT(ISERROR(SEARCH("SIN FACTURA ",A2)))</formula>
    </cfRule>
  </conditionalFormatting>
  <conditionalFormatting sqref="J29:T29 J27:T27 J25:T25 J23:T23 J21:T21 J19:T19 J17:T17 J15:T15 J13:T13 J11:T11 J9:T9 A9:H9 A11:H11 A13:H13 A15:H15 A17:H17 A19:H19 A21:H21 A23:H23 A25:H25 A27:H27 A29:H29 A4:T4 J5:T7 A5:H7 I5:I29">
    <cfRule type="containsText" dxfId="701" priority="28" operator="containsText" text="SIN FACTURA">
      <formula>NOT(ISERROR(SEARCH("SIN FACTURA",A4)))</formula>
    </cfRule>
  </conditionalFormatting>
  <conditionalFormatting sqref="C8:H8 J8:V8">
    <cfRule type="containsText" dxfId="700" priority="26" operator="containsText" text="SIN FACTURA">
      <formula>NOT(ISERROR(SEARCH("SIN FACTURA",C8)))</formula>
    </cfRule>
  </conditionalFormatting>
  <conditionalFormatting sqref="C10:H10 J10:V10">
    <cfRule type="containsText" dxfId="699" priority="25" operator="containsText" text="SIN FACTURA">
      <formula>NOT(ISERROR(SEARCH("SIN FACTURA",C10)))</formula>
    </cfRule>
  </conditionalFormatting>
  <conditionalFormatting sqref="C12:H12 J12:V12">
    <cfRule type="containsText" dxfId="698" priority="24" operator="containsText" text="SIN FACTURA">
      <formula>NOT(ISERROR(SEARCH("SIN FACTURA",C12)))</formula>
    </cfRule>
  </conditionalFormatting>
  <conditionalFormatting sqref="C14:H14 J14:V14">
    <cfRule type="containsText" dxfId="697" priority="23" operator="containsText" text="SIN FACTURA">
      <formula>NOT(ISERROR(SEARCH("SIN FACTURA",C14)))</formula>
    </cfRule>
  </conditionalFormatting>
  <conditionalFormatting sqref="C16:H16 J16:V16">
    <cfRule type="containsText" dxfId="696" priority="22" operator="containsText" text="SIN FACTURA">
      <formula>NOT(ISERROR(SEARCH("SIN FACTURA",C16)))</formula>
    </cfRule>
  </conditionalFormatting>
  <conditionalFormatting sqref="C18:H18 J18:V18">
    <cfRule type="containsText" dxfId="695" priority="21" operator="containsText" text="SIN FACTURA">
      <formula>NOT(ISERROR(SEARCH("SIN FACTURA",C18)))</formula>
    </cfRule>
  </conditionalFormatting>
  <conditionalFormatting sqref="C20:H20 J20:V20">
    <cfRule type="containsText" dxfId="694" priority="20" operator="containsText" text="SIN FACTURA">
      <formula>NOT(ISERROR(SEARCH("SIN FACTURA",C20)))</formula>
    </cfRule>
  </conditionalFormatting>
  <conditionalFormatting sqref="C22:H22 J22:V22">
    <cfRule type="containsText" dxfId="693" priority="19" operator="containsText" text="SIN FACTURA">
      <formula>NOT(ISERROR(SEARCH("SIN FACTURA",C22)))</formula>
    </cfRule>
  </conditionalFormatting>
  <conditionalFormatting sqref="C24:H24 J24:V24">
    <cfRule type="containsText" dxfId="692" priority="18" operator="containsText" text="SIN FACTURA">
      <formula>NOT(ISERROR(SEARCH("SIN FACTURA",C24)))</formula>
    </cfRule>
  </conditionalFormatting>
  <conditionalFormatting sqref="C26:H26 J26:V26">
    <cfRule type="containsText" dxfId="691" priority="17" operator="containsText" text="SIN FACTURA">
      <formula>NOT(ISERROR(SEARCH("SIN FACTURA",C26)))</formula>
    </cfRule>
  </conditionalFormatting>
  <conditionalFormatting sqref="C28:H28 J28:V28">
    <cfRule type="containsText" dxfId="690" priority="16" operator="containsText" text="SIN FACTURA">
      <formula>NOT(ISERROR(SEARCH("SIN FACTURA",C28)))</formula>
    </cfRule>
  </conditionalFormatting>
  <conditionalFormatting sqref="A8:B8">
    <cfRule type="containsText" dxfId="689" priority="14" operator="containsText" text="SIN FACTURA">
      <formula>NOT(ISERROR(SEARCH("SIN FACTURA",A8)))</formula>
    </cfRule>
  </conditionalFormatting>
  <conditionalFormatting sqref="A10:B10">
    <cfRule type="containsText" dxfId="688" priority="13" operator="containsText" text="SIN FACTURA">
      <formula>NOT(ISERROR(SEARCH("SIN FACTURA",A10)))</formula>
    </cfRule>
  </conditionalFormatting>
  <conditionalFormatting sqref="A12:B12">
    <cfRule type="containsText" dxfId="687" priority="12" operator="containsText" text="SIN FACTURA">
      <formula>NOT(ISERROR(SEARCH("SIN FACTURA",A12)))</formula>
    </cfRule>
  </conditionalFormatting>
  <conditionalFormatting sqref="A14:B14">
    <cfRule type="containsText" dxfId="686" priority="11" operator="containsText" text="SIN FACTURA">
      <formula>NOT(ISERROR(SEARCH("SIN FACTURA",A14)))</formula>
    </cfRule>
  </conditionalFormatting>
  <conditionalFormatting sqref="A16:B16">
    <cfRule type="containsText" dxfId="685" priority="10" operator="containsText" text="SIN FACTURA">
      <formula>NOT(ISERROR(SEARCH("SIN FACTURA",A16)))</formula>
    </cfRule>
  </conditionalFormatting>
  <conditionalFormatting sqref="A28:B28">
    <cfRule type="containsText" dxfId="684" priority="4" operator="containsText" text="SIN FACTURA">
      <formula>NOT(ISERROR(SEARCH("SIN FACTURA",A28)))</formula>
    </cfRule>
  </conditionalFormatting>
  <conditionalFormatting sqref="A18:B18">
    <cfRule type="containsText" dxfId="683" priority="9" operator="containsText" text="SIN FACTURA">
      <formula>NOT(ISERROR(SEARCH("SIN FACTURA",A18)))</formula>
    </cfRule>
  </conditionalFormatting>
  <conditionalFormatting sqref="A20:B20">
    <cfRule type="containsText" dxfId="682" priority="8" operator="containsText" text="SIN FACTURA">
      <formula>NOT(ISERROR(SEARCH("SIN FACTURA",A20)))</formula>
    </cfRule>
  </conditionalFormatting>
  <conditionalFormatting sqref="A22:B22">
    <cfRule type="containsText" dxfId="681" priority="7" operator="containsText" text="SIN FACTURA">
      <formula>NOT(ISERROR(SEARCH("SIN FACTURA",A22)))</formula>
    </cfRule>
  </conditionalFormatting>
  <conditionalFormatting sqref="A24:B24">
    <cfRule type="containsText" dxfId="680" priority="6" operator="containsText" text="SIN FACTURA">
      <formula>NOT(ISERROR(SEARCH("SIN FACTURA",A24)))</formula>
    </cfRule>
  </conditionalFormatting>
  <conditionalFormatting sqref="A26:B26">
    <cfRule type="containsText" dxfId="679" priority="5" operator="containsText" text="SIN FACTURA">
      <formula>NOT(ISERROR(SEARCH("SIN FACTURA",A26)))</formula>
    </cfRule>
  </conditionalFormatting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>
  <sheetPr codeName="Hoja185"/>
  <dimension ref="A1:Y41"/>
  <sheetViews>
    <sheetView zoomScale="125" zoomScaleNormal="125" zoomScalePageLayoutView="125" workbookViewId="0">
      <pane ySplit="3" topLeftCell="A4" activePane="bottomLeft" state="frozen"/>
      <selection activeCell="D26" sqref="D26"/>
      <selection pane="bottomLeft" activeCell="A4" sqref="A4:XFD7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367</v>
      </c>
      <c r="B1" s="18" t="s">
        <v>149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7"/>
      <c r="H4" s="37"/>
      <c r="I4" s="37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1" si="0">F5-G5-H5</f>
        <v>0</v>
      </c>
      <c r="J5" s="44">
        <f t="shared" ref="J5:J41" si="1">S5+T5</f>
        <v>0</v>
      </c>
      <c r="K5" s="44">
        <f t="shared" ref="K5:K41" si="2">I5-J5</f>
        <v>0</v>
      </c>
      <c r="L5" s="45"/>
      <c r="M5" s="40"/>
      <c r="N5" s="43">
        <f t="shared" ref="N5:N41" si="3">I5-J5-M5-R5</f>
        <v>0</v>
      </c>
      <c r="O5" s="43">
        <f t="shared" ref="O5:O41" si="4">R5+S5+T5</f>
        <v>0</v>
      </c>
      <c r="P5" s="46"/>
      <c r="Q5" s="40"/>
      <c r="R5" s="43"/>
      <c r="S5" s="43"/>
      <c r="T5" s="49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>I7-J7</f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>S15+T15</f>
        <v>0</v>
      </c>
      <c r="K15" s="44">
        <f t="shared" si="2"/>
        <v>0</v>
      </c>
      <c r="L15" s="45"/>
      <c r="M15" s="40"/>
      <c r="N15" s="43">
        <f>I15-J15-M15-R15</f>
        <v>0</v>
      </c>
      <c r="O15" s="43">
        <f>R15+S15+T15</f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50"/>
      <c r="B41" s="51"/>
      <c r="C41" s="52"/>
      <c r="D41" s="50"/>
      <c r="E41" s="50"/>
      <c r="F41" s="50"/>
      <c r="G41" s="43">
        <f>F41*6%</f>
        <v>0</v>
      </c>
      <c r="H41" s="53"/>
      <c r="I41" s="78">
        <f t="shared" si="0"/>
        <v>0</v>
      </c>
      <c r="J41" s="54">
        <f t="shared" si="1"/>
        <v>0</v>
      </c>
      <c r="K41" s="54">
        <f t="shared" si="2"/>
        <v>0</v>
      </c>
      <c r="L41" s="55"/>
      <c r="M41" s="50"/>
      <c r="N41" s="53">
        <f t="shared" si="3"/>
        <v>0</v>
      </c>
      <c r="O41" s="53">
        <f t="shared" si="4"/>
        <v>0</v>
      </c>
      <c r="P41" s="56"/>
      <c r="Q41" s="50"/>
      <c r="R41" s="50"/>
      <c r="S41" s="50"/>
      <c r="T41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678" priority="26" operator="containsText" text="SIN FACTURA ">
      <formula>NOT(ISERROR(SEARCH("SIN FACTURA ",A2)))</formula>
    </cfRule>
  </conditionalFormatting>
  <conditionalFormatting sqref="J41:T41 J39:T39 J37:T37 J35:T35 J33:T33 J31:T31 J29:T29 J27:T27 J25:T25 J23:T23 J21:T21 J11:T19 A11:H19 A21:H21 A23:H23 A25:H25 A27:H27 A29:H29 A31:H31 A33:H33 A35:H35 A37:H37 A39:H39 A41:H41 J4:T9 I4:I41 A4:H9">
    <cfRule type="containsText" dxfId="677" priority="25" operator="containsText" text="SIN FACTURA">
      <formula>NOT(ISERROR(SEARCH("SIN FACTURA",A4)))</formula>
    </cfRule>
  </conditionalFormatting>
  <conditionalFormatting sqref="C10:H10 J10:V10">
    <cfRule type="containsText" dxfId="676" priority="24" operator="containsText" text="SIN FACTURA">
      <formula>NOT(ISERROR(SEARCH("SIN FACTURA",C10)))</formula>
    </cfRule>
  </conditionalFormatting>
  <conditionalFormatting sqref="C20:H20 J20:V20">
    <cfRule type="containsText" dxfId="675" priority="23" operator="containsText" text="SIN FACTURA">
      <formula>NOT(ISERROR(SEARCH("SIN FACTURA",C20)))</formula>
    </cfRule>
  </conditionalFormatting>
  <conditionalFormatting sqref="C22:H22 J22:V22">
    <cfRule type="containsText" dxfId="674" priority="22" operator="containsText" text="SIN FACTURA">
      <formula>NOT(ISERROR(SEARCH("SIN FACTURA",C22)))</formula>
    </cfRule>
  </conditionalFormatting>
  <conditionalFormatting sqref="C24:H24 J24:V24">
    <cfRule type="containsText" dxfId="673" priority="21" operator="containsText" text="SIN FACTURA">
      <formula>NOT(ISERROR(SEARCH("SIN FACTURA",C24)))</formula>
    </cfRule>
  </conditionalFormatting>
  <conditionalFormatting sqref="C26:H26 J26:V26">
    <cfRule type="containsText" dxfId="672" priority="20" operator="containsText" text="SIN FACTURA">
      <formula>NOT(ISERROR(SEARCH("SIN FACTURA",C26)))</formula>
    </cfRule>
  </conditionalFormatting>
  <conditionalFormatting sqref="C28:H28 J28:V28">
    <cfRule type="containsText" dxfId="671" priority="19" operator="containsText" text="SIN FACTURA">
      <formula>NOT(ISERROR(SEARCH("SIN FACTURA",C28)))</formula>
    </cfRule>
  </conditionalFormatting>
  <conditionalFormatting sqref="C30:H30 J30:V30">
    <cfRule type="containsText" dxfId="670" priority="18" operator="containsText" text="SIN FACTURA">
      <formula>NOT(ISERROR(SEARCH("SIN FACTURA",C30)))</formula>
    </cfRule>
  </conditionalFormatting>
  <conditionalFormatting sqref="C32:H32 J32:V32">
    <cfRule type="containsText" dxfId="669" priority="17" operator="containsText" text="SIN FACTURA">
      <formula>NOT(ISERROR(SEARCH("SIN FACTURA",C32)))</formula>
    </cfRule>
  </conditionalFormatting>
  <conditionalFormatting sqref="C34:H34 J34:V34">
    <cfRule type="containsText" dxfId="668" priority="16" operator="containsText" text="SIN FACTURA">
      <formula>NOT(ISERROR(SEARCH("SIN FACTURA",C34)))</formula>
    </cfRule>
  </conditionalFormatting>
  <conditionalFormatting sqref="C36:H36 J36:V36">
    <cfRule type="containsText" dxfId="667" priority="15" operator="containsText" text="SIN FACTURA">
      <formula>NOT(ISERROR(SEARCH("SIN FACTURA",C36)))</formula>
    </cfRule>
  </conditionalFormatting>
  <conditionalFormatting sqref="C38:H38 J38:V38">
    <cfRule type="containsText" dxfId="666" priority="14" operator="containsText" text="SIN FACTURA">
      <formula>NOT(ISERROR(SEARCH("SIN FACTURA",C38)))</formula>
    </cfRule>
  </conditionalFormatting>
  <conditionalFormatting sqref="C40:H40 J40:V40">
    <cfRule type="containsText" dxfId="665" priority="13" operator="containsText" text="SIN FACTURA">
      <formula>NOT(ISERROR(SEARCH("SIN FACTURA",C40)))</formula>
    </cfRule>
  </conditionalFormatting>
  <conditionalFormatting sqref="A10:B10">
    <cfRule type="containsText" dxfId="664" priority="12" operator="containsText" text="SIN FACTURA">
      <formula>NOT(ISERROR(SEARCH("SIN FACTURA",A10)))</formula>
    </cfRule>
  </conditionalFormatting>
  <conditionalFormatting sqref="A20:B20">
    <cfRule type="containsText" dxfId="663" priority="11" operator="containsText" text="SIN FACTURA">
      <formula>NOT(ISERROR(SEARCH("SIN FACTURA",A20)))</formula>
    </cfRule>
  </conditionalFormatting>
  <conditionalFormatting sqref="A22:B22">
    <cfRule type="containsText" dxfId="662" priority="10" operator="containsText" text="SIN FACTURA">
      <formula>NOT(ISERROR(SEARCH("SIN FACTURA",A22)))</formula>
    </cfRule>
  </conditionalFormatting>
  <conditionalFormatting sqref="A24:B24">
    <cfRule type="containsText" dxfId="661" priority="9" operator="containsText" text="SIN FACTURA">
      <formula>NOT(ISERROR(SEARCH("SIN FACTURA",A24)))</formula>
    </cfRule>
  </conditionalFormatting>
  <conditionalFormatting sqref="A26:B26">
    <cfRule type="containsText" dxfId="660" priority="8" operator="containsText" text="SIN FACTURA">
      <formula>NOT(ISERROR(SEARCH("SIN FACTURA",A26)))</formula>
    </cfRule>
  </conditionalFormatting>
  <conditionalFormatting sqref="A28:B28">
    <cfRule type="containsText" dxfId="659" priority="7" operator="containsText" text="SIN FACTURA">
      <formula>NOT(ISERROR(SEARCH("SIN FACTURA",A28)))</formula>
    </cfRule>
  </conditionalFormatting>
  <conditionalFormatting sqref="A40:B40">
    <cfRule type="containsText" dxfId="658" priority="1" operator="containsText" text="SIN FACTURA">
      <formula>NOT(ISERROR(SEARCH("SIN FACTURA",A40)))</formula>
    </cfRule>
  </conditionalFormatting>
  <conditionalFormatting sqref="A30:B30">
    <cfRule type="containsText" dxfId="657" priority="6" operator="containsText" text="SIN FACTURA">
      <formula>NOT(ISERROR(SEARCH("SIN FACTURA",A30)))</formula>
    </cfRule>
  </conditionalFormatting>
  <conditionalFormatting sqref="A32:B32">
    <cfRule type="containsText" dxfId="656" priority="5" operator="containsText" text="SIN FACTURA">
      <formula>NOT(ISERROR(SEARCH("SIN FACTURA",A32)))</formula>
    </cfRule>
  </conditionalFormatting>
  <conditionalFormatting sqref="A34:B34">
    <cfRule type="containsText" dxfId="655" priority="4" operator="containsText" text="SIN FACTURA">
      <formula>NOT(ISERROR(SEARCH("SIN FACTURA",A34)))</formula>
    </cfRule>
  </conditionalFormatting>
  <conditionalFormatting sqref="A36:B36">
    <cfRule type="containsText" dxfId="654" priority="3" operator="containsText" text="SIN FACTURA">
      <formula>NOT(ISERROR(SEARCH("SIN FACTURA",A36)))</formula>
    </cfRule>
  </conditionalFormatting>
  <conditionalFormatting sqref="A38:B38">
    <cfRule type="containsText" dxfId="653" priority="2" operator="containsText" text="SIN FACTURA">
      <formula>NOT(ISERROR(SEARCH("SIN FACTURA",A38)))</formula>
    </cfRule>
  </conditionalFormatting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>
  <sheetPr codeName="Hoja223"/>
  <dimension ref="A1:Y38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11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4">
        <v>265</v>
      </c>
      <c r="B1" s="15" t="s">
        <v>84</v>
      </c>
      <c r="C1" s="1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6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32"/>
      <c r="B5" s="33"/>
      <c r="C5" s="34"/>
      <c r="D5" s="32"/>
      <c r="E5" s="32"/>
      <c r="F5" s="32"/>
      <c r="G5" s="37"/>
      <c r="H5" s="37"/>
      <c r="I5" s="37"/>
      <c r="J5" s="35"/>
      <c r="K5" s="35"/>
      <c r="L5" s="36"/>
      <c r="M5" s="32"/>
      <c r="N5" s="37"/>
      <c r="O5" s="37"/>
      <c r="P5" s="38"/>
      <c r="Q5" s="32"/>
      <c r="R5" s="32"/>
      <c r="S5" s="32"/>
      <c r="T5" s="39"/>
    </row>
    <row r="6" spans="1:25" ht="15">
      <c r="A6" s="40"/>
      <c r="B6" s="41"/>
      <c r="C6" s="42"/>
      <c r="D6" s="40"/>
      <c r="E6" s="40"/>
      <c r="F6" s="40"/>
      <c r="G6" s="43">
        <f>F6*6%</f>
        <v>0</v>
      </c>
      <c r="H6" s="43"/>
      <c r="I6" s="44">
        <f t="shared" ref="I6:I38" si="0">F6-G6-H6</f>
        <v>0</v>
      </c>
      <c r="J6" s="44">
        <f t="shared" ref="J6:J38" si="1">S6+T6</f>
        <v>0</v>
      </c>
      <c r="K6" s="44">
        <f t="shared" ref="K6:K38" si="2">I6-J6</f>
        <v>0</v>
      </c>
      <c r="L6" s="45"/>
      <c r="M6" s="40"/>
      <c r="N6" s="43">
        <f t="shared" ref="N6:N38" si="3">I6-J6-M6-R6</f>
        <v>0</v>
      </c>
      <c r="O6" s="43">
        <f t="shared" ref="O6:O38" si="4">R6+S6+T6</f>
        <v>0</v>
      </c>
      <c r="P6" s="46"/>
      <c r="Q6" s="40"/>
      <c r="R6" s="47"/>
      <c r="S6" s="47"/>
      <c r="T6" s="48"/>
    </row>
    <row r="7" spans="1:25" ht="15">
      <c r="A7" s="32"/>
      <c r="B7" s="33"/>
      <c r="C7" s="32"/>
      <c r="D7" s="33"/>
      <c r="E7" s="34"/>
      <c r="F7" s="32"/>
      <c r="G7" s="37"/>
      <c r="H7" s="32"/>
      <c r="I7" s="37"/>
      <c r="J7" s="37"/>
      <c r="K7" s="35"/>
      <c r="L7" s="35"/>
      <c r="M7" s="35"/>
      <c r="N7" s="36"/>
      <c r="O7" s="32"/>
      <c r="P7" s="37"/>
      <c r="Q7" s="37"/>
      <c r="R7" s="38"/>
      <c r="S7" s="32"/>
      <c r="T7" s="39"/>
    </row>
    <row r="8" spans="1:25" ht="15">
      <c r="A8" s="40"/>
      <c r="B8" s="41"/>
      <c r="C8" s="42"/>
      <c r="D8" s="40"/>
      <c r="E8" s="40"/>
      <c r="F8" s="40"/>
      <c r="G8" s="43">
        <f>F8*6%</f>
        <v>0</v>
      </c>
      <c r="H8" s="43"/>
      <c r="I8" s="44">
        <f t="shared" si="0"/>
        <v>0</v>
      </c>
      <c r="J8" s="44">
        <f t="shared" si="1"/>
        <v>0</v>
      </c>
      <c r="K8" s="44">
        <f t="shared" si="2"/>
        <v>0</v>
      </c>
      <c r="L8" s="45"/>
      <c r="M8" s="40"/>
      <c r="N8" s="43">
        <f t="shared" si="3"/>
        <v>0</v>
      </c>
      <c r="O8" s="43">
        <f t="shared" si="4"/>
        <v>0</v>
      </c>
      <c r="P8" s="46"/>
      <c r="Q8" s="40"/>
      <c r="R8" s="47"/>
      <c r="S8" s="47"/>
      <c r="T8" s="48"/>
    </row>
    <row r="9" spans="1:25" ht="15">
      <c r="A9" s="32"/>
      <c r="B9" s="33"/>
      <c r="C9" s="34"/>
      <c r="D9" s="32"/>
      <c r="E9" s="32"/>
      <c r="F9" s="32"/>
      <c r="G9" s="37"/>
      <c r="H9" s="37"/>
      <c r="I9" s="37"/>
      <c r="J9" s="35"/>
      <c r="K9" s="35"/>
      <c r="L9" s="36"/>
      <c r="M9" s="32"/>
      <c r="N9" s="37"/>
      <c r="O9" s="37"/>
      <c r="P9" s="38"/>
      <c r="Q9" s="32"/>
      <c r="R9" s="32"/>
      <c r="S9" s="32"/>
      <c r="T9" s="39"/>
    </row>
    <row r="10" spans="1:25" ht="15">
      <c r="A10" s="40"/>
      <c r="B10" s="41"/>
      <c r="C10" s="42"/>
      <c r="D10" s="40"/>
      <c r="E10" s="40"/>
      <c r="F10" s="40"/>
      <c r="G10" s="43">
        <f>F10*6%</f>
        <v>0</v>
      </c>
      <c r="H10" s="43"/>
      <c r="I10" s="44">
        <f t="shared" si="0"/>
        <v>0</v>
      </c>
      <c r="J10" s="44">
        <f t="shared" si="1"/>
        <v>0</v>
      </c>
      <c r="K10" s="44">
        <f t="shared" si="2"/>
        <v>0</v>
      </c>
      <c r="L10" s="45"/>
      <c r="M10" s="40"/>
      <c r="N10" s="43">
        <f t="shared" si="3"/>
        <v>0</v>
      </c>
      <c r="O10" s="43">
        <f t="shared" si="4"/>
        <v>0</v>
      </c>
      <c r="P10" s="46"/>
      <c r="Q10" s="40"/>
      <c r="R10" s="40"/>
      <c r="S10" s="40"/>
      <c r="T10" s="5"/>
    </row>
    <row r="11" spans="1:25" ht="15">
      <c r="A11" s="32"/>
      <c r="B11" s="33"/>
      <c r="C11" s="34"/>
      <c r="D11" s="32"/>
      <c r="E11" s="32"/>
      <c r="F11" s="32"/>
      <c r="G11" s="37"/>
      <c r="H11" s="37"/>
      <c r="I11" s="37"/>
      <c r="J11" s="35"/>
      <c r="K11" s="35"/>
      <c r="L11" s="36"/>
      <c r="M11" s="32"/>
      <c r="N11" s="37"/>
      <c r="O11" s="37"/>
      <c r="P11" s="38"/>
      <c r="Q11" s="32"/>
      <c r="R11" s="32"/>
      <c r="S11" s="32"/>
      <c r="T11" s="39"/>
    </row>
    <row r="12" spans="1:25" ht="15">
      <c r="A12" s="40"/>
      <c r="B12" s="41"/>
      <c r="C12" s="42"/>
      <c r="D12" s="40"/>
      <c r="E12" s="40"/>
      <c r="F12" s="40"/>
      <c r="G12" s="43">
        <f>F12*6%</f>
        <v>0</v>
      </c>
      <c r="H12" s="43"/>
      <c r="I12" s="44">
        <f t="shared" si="0"/>
        <v>0</v>
      </c>
      <c r="J12" s="44">
        <f>S12+T12</f>
        <v>0</v>
      </c>
      <c r="K12" s="44">
        <f t="shared" si="2"/>
        <v>0</v>
      </c>
      <c r="L12" s="45"/>
      <c r="M12" s="40"/>
      <c r="N12" s="43">
        <f>I12-J12-M12-R12</f>
        <v>0</v>
      </c>
      <c r="O12" s="43">
        <f>R12+S12+T12</f>
        <v>0</v>
      </c>
      <c r="P12" s="46"/>
      <c r="Q12" s="40"/>
      <c r="R12" s="47"/>
      <c r="S12" s="47"/>
      <c r="T12" s="48"/>
    </row>
    <row r="13" spans="1:25" ht="15">
      <c r="A13" s="32"/>
      <c r="B13" s="33"/>
      <c r="C13" s="34"/>
      <c r="D13" s="32"/>
      <c r="E13" s="32"/>
      <c r="F13" s="32"/>
      <c r="G13" s="37"/>
      <c r="H13" s="37"/>
      <c r="I13" s="37"/>
      <c r="J13" s="35"/>
      <c r="K13" s="35"/>
      <c r="L13" s="36"/>
      <c r="M13" s="32"/>
      <c r="N13" s="37"/>
      <c r="O13" s="37"/>
      <c r="P13" s="38"/>
      <c r="Q13" s="32"/>
      <c r="R13" s="32"/>
      <c r="S13" s="32"/>
      <c r="T13" s="39"/>
    </row>
    <row r="14" spans="1:25" ht="15">
      <c r="A14" s="40"/>
      <c r="B14" s="41"/>
      <c r="C14" s="42"/>
      <c r="D14" s="40"/>
      <c r="E14" s="40"/>
      <c r="F14" s="40"/>
      <c r="G14" s="43">
        <f>F14*6%</f>
        <v>0</v>
      </c>
      <c r="H14" s="43"/>
      <c r="I14" s="44">
        <f t="shared" si="0"/>
        <v>0</v>
      </c>
      <c r="J14" s="44">
        <f t="shared" si="1"/>
        <v>0</v>
      </c>
      <c r="K14" s="44">
        <f t="shared" si="2"/>
        <v>0</v>
      </c>
      <c r="L14" s="45"/>
      <c r="M14" s="40"/>
      <c r="N14" s="43">
        <f t="shared" si="3"/>
        <v>0</v>
      </c>
      <c r="O14" s="43">
        <f t="shared" si="4"/>
        <v>0</v>
      </c>
      <c r="P14" s="46"/>
      <c r="Q14" s="40"/>
      <c r="R14" s="47"/>
      <c r="S14" s="47"/>
      <c r="T14" s="48"/>
    </row>
    <row r="15" spans="1:25" ht="15">
      <c r="A15" s="32"/>
      <c r="B15" s="33"/>
      <c r="C15" s="34"/>
      <c r="D15" s="32"/>
      <c r="E15" s="32"/>
      <c r="F15" s="32"/>
      <c r="G15" s="37"/>
      <c r="H15" s="37"/>
      <c r="I15" s="37"/>
      <c r="J15" s="35"/>
      <c r="K15" s="35"/>
      <c r="L15" s="36"/>
      <c r="M15" s="32"/>
      <c r="N15" s="37"/>
      <c r="O15" s="37"/>
      <c r="P15" s="38"/>
      <c r="Q15" s="32"/>
      <c r="R15" s="32"/>
      <c r="S15" s="32"/>
      <c r="T15" s="39"/>
    </row>
    <row r="16" spans="1:25" ht="15">
      <c r="A16" s="40"/>
      <c r="B16" s="41"/>
      <c r="C16" s="42"/>
      <c r="D16" s="40"/>
      <c r="E16" s="40"/>
      <c r="F16" s="40"/>
      <c r="G16" s="43">
        <f>F16*6%</f>
        <v>0</v>
      </c>
      <c r="H16" s="43"/>
      <c r="I16" s="44">
        <f t="shared" si="0"/>
        <v>0</v>
      </c>
      <c r="J16" s="44">
        <f t="shared" si="1"/>
        <v>0</v>
      </c>
      <c r="K16" s="44">
        <f t="shared" si="2"/>
        <v>0</v>
      </c>
      <c r="L16" s="45"/>
      <c r="M16" s="40"/>
      <c r="N16" s="43">
        <f t="shared" si="3"/>
        <v>0</v>
      </c>
      <c r="O16" s="43">
        <f t="shared" si="4"/>
        <v>0</v>
      </c>
      <c r="P16" s="46"/>
      <c r="Q16" s="40"/>
      <c r="R16" s="40"/>
      <c r="S16" s="40"/>
      <c r="T16" s="5"/>
    </row>
    <row r="17" spans="1:22" ht="15">
      <c r="A17" s="32"/>
      <c r="B17" s="33"/>
      <c r="C17" s="32"/>
      <c r="D17" s="33"/>
      <c r="E17" s="34"/>
      <c r="F17" s="32"/>
      <c r="G17" s="32"/>
      <c r="H17" s="32"/>
      <c r="I17" s="37"/>
      <c r="J17" s="37"/>
      <c r="K17" s="35"/>
      <c r="L17" s="35"/>
      <c r="M17" s="35"/>
      <c r="N17" s="36"/>
      <c r="O17" s="32"/>
      <c r="P17" s="37"/>
      <c r="Q17" s="37"/>
      <c r="R17" s="38"/>
      <c r="S17" s="32"/>
      <c r="T17" s="39"/>
    </row>
    <row r="18" spans="1:22" ht="15">
      <c r="A18" s="40"/>
      <c r="B18" s="41"/>
      <c r="C18" s="42"/>
      <c r="D18" s="40"/>
      <c r="E18" s="40"/>
      <c r="F18" s="40"/>
      <c r="G18" s="43">
        <f>F18*6%</f>
        <v>0</v>
      </c>
      <c r="H18" s="43"/>
      <c r="I18" s="44">
        <f t="shared" si="0"/>
        <v>0</v>
      </c>
      <c r="J18" s="44">
        <f t="shared" si="1"/>
        <v>0</v>
      </c>
      <c r="K18" s="44">
        <f t="shared" si="2"/>
        <v>0</v>
      </c>
      <c r="L18" s="45"/>
      <c r="M18" s="40"/>
      <c r="N18" s="43">
        <f t="shared" si="3"/>
        <v>0</v>
      </c>
      <c r="O18" s="43">
        <f t="shared" si="4"/>
        <v>0</v>
      </c>
      <c r="P18" s="46"/>
      <c r="Q18" s="40"/>
      <c r="R18" s="40"/>
      <c r="S18" s="40"/>
      <c r="T18" s="5"/>
    </row>
    <row r="19" spans="1:22" ht="15">
      <c r="A19" s="32"/>
      <c r="B19" s="33"/>
      <c r="C19" s="32"/>
      <c r="D19" s="33"/>
      <c r="E19" s="34"/>
      <c r="F19" s="32"/>
      <c r="G19" s="32"/>
      <c r="H19" s="32"/>
      <c r="I19" s="37"/>
      <c r="J19" s="37"/>
      <c r="K19" s="35"/>
      <c r="L19" s="35"/>
      <c r="M19" s="35"/>
      <c r="N19" s="36"/>
      <c r="O19" s="32"/>
      <c r="P19" s="37"/>
      <c r="Q19" s="37"/>
      <c r="R19" s="38"/>
      <c r="S19" s="32"/>
      <c r="T19" s="39"/>
      <c r="U19" s="6"/>
      <c r="V19" s="6"/>
    </row>
    <row r="20" spans="1:22" ht="15">
      <c r="A20" s="40"/>
      <c r="B20" s="41"/>
      <c r="C20" s="42"/>
      <c r="D20" s="40"/>
      <c r="E20" s="40"/>
      <c r="F20" s="40"/>
      <c r="G20" s="43">
        <f>F20*6%</f>
        <v>0</v>
      </c>
      <c r="H20" s="43"/>
      <c r="I20" s="44">
        <f t="shared" si="0"/>
        <v>0</v>
      </c>
      <c r="J20" s="44">
        <f t="shared" si="1"/>
        <v>0</v>
      </c>
      <c r="K20" s="44">
        <f t="shared" si="2"/>
        <v>0</v>
      </c>
      <c r="L20" s="45"/>
      <c r="M20" s="40"/>
      <c r="N20" s="43">
        <f t="shared" si="3"/>
        <v>0</v>
      </c>
      <c r="O20" s="43">
        <f t="shared" si="4"/>
        <v>0</v>
      </c>
      <c r="P20" s="46"/>
      <c r="Q20" s="40"/>
      <c r="R20" s="40"/>
      <c r="S20" s="40"/>
      <c r="T20" s="5"/>
    </row>
    <row r="21" spans="1:22" ht="15">
      <c r="A21" s="32"/>
      <c r="B21" s="33"/>
      <c r="C21" s="32"/>
      <c r="D21" s="33"/>
      <c r="E21" s="34"/>
      <c r="F21" s="32"/>
      <c r="G21" s="32"/>
      <c r="H21" s="32"/>
      <c r="I21" s="37"/>
      <c r="J21" s="37"/>
      <c r="K21" s="35"/>
      <c r="L21" s="35"/>
      <c r="M21" s="35"/>
      <c r="N21" s="36"/>
      <c r="O21" s="32"/>
      <c r="P21" s="37"/>
      <c r="Q21" s="37"/>
      <c r="R21" s="38"/>
      <c r="S21" s="32"/>
      <c r="T21" s="39"/>
      <c r="U21" s="6"/>
      <c r="V21" s="6"/>
    </row>
    <row r="22" spans="1:22" ht="15">
      <c r="A22" s="40"/>
      <c r="B22" s="41"/>
      <c r="C22" s="42"/>
      <c r="D22" s="40"/>
      <c r="E22" s="40"/>
      <c r="F22" s="40"/>
      <c r="G22" s="43">
        <f>F22*6%</f>
        <v>0</v>
      </c>
      <c r="H22" s="43"/>
      <c r="I22" s="44">
        <f t="shared" si="0"/>
        <v>0</v>
      </c>
      <c r="J22" s="44">
        <f t="shared" si="1"/>
        <v>0</v>
      </c>
      <c r="K22" s="44">
        <f t="shared" si="2"/>
        <v>0</v>
      </c>
      <c r="L22" s="45"/>
      <c r="M22" s="40"/>
      <c r="N22" s="43">
        <f t="shared" si="3"/>
        <v>0</v>
      </c>
      <c r="O22" s="43">
        <f t="shared" si="4"/>
        <v>0</v>
      </c>
      <c r="P22" s="46"/>
      <c r="Q22" s="40"/>
      <c r="R22" s="40"/>
      <c r="S22" s="40"/>
      <c r="T22" s="5"/>
    </row>
    <row r="23" spans="1:22" ht="15">
      <c r="A23" s="32"/>
      <c r="B23" s="33"/>
      <c r="C23" s="32"/>
      <c r="D23" s="33"/>
      <c r="E23" s="34"/>
      <c r="F23" s="32"/>
      <c r="G23" s="32"/>
      <c r="H23" s="32"/>
      <c r="I23" s="37"/>
      <c r="J23" s="37"/>
      <c r="K23" s="35"/>
      <c r="L23" s="35"/>
      <c r="M23" s="35"/>
      <c r="N23" s="36"/>
      <c r="O23" s="32"/>
      <c r="P23" s="37"/>
      <c r="Q23" s="37"/>
      <c r="R23" s="38"/>
      <c r="S23" s="32"/>
      <c r="T23" s="39"/>
      <c r="U23" s="6"/>
      <c r="V23" s="6"/>
    </row>
    <row r="24" spans="1:22" ht="15">
      <c r="A24" s="40"/>
      <c r="B24" s="41"/>
      <c r="C24" s="42"/>
      <c r="D24" s="40"/>
      <c r="E24" s="40"/>
      <c r="F24" s="40"/>
      <c r="G24" s="43">
        <f>F24*6%</f>
        <v>0</v>
      </c>
      <c r="H24" s="43"/>
      <c r="I24" s="44">
        <f t="shared" si="0"/>
        <v>0</v>
      </c>
      <c r="J24" s="44">
        <f t="shared" si="1"/>
        <v>0</v>
      </c>
      <c r="K24" s="44">
        <f t="shared" si="2"/>
        <v>0</v>
      </c>
      <c r="L24" s="45"/>
      <c r="M24" s="40"/>
      <c r="N24" s="43">
        <f t="shared" si="3"/>
        <v>0</v>
      </c>
      <c r="O24" s="43">
        <f t="shared" si="4"/>
        <v>0</v>
      </c>
      <c r="P24" s="46"/>
      <c r="Q24" s="40"/>
      <c r="R24" s="40"/>
      <c r="S24" s="40"/>
      <c r="T24" s="5"/>
    </row>
    <row r="25" spans="1:22" ht="15">
      <c r="A25" s="32"/>
      <c r="B25" s="33"/>
      <c r="C25" s="32"/>
      <c r="D25" s="33"/>
      <c r="E25" s="34"/>
      <c r="F25" s="32"/>
      <c r="G25" s="32"/>
      <c r="H25" s="32"/>
      <c r="I25" s="37"/>
      <c r="J25" s="37"/>
      <c r="K25" s="35"/>
      <c r="L25" s="35"/>
      <c r="M25" s="35"/>
      <c r="N25" s="36"/>
      <c r="O25" s="32"/>
      <c r="P25" s="37"/>
      <c r="Q25" s="37"/>
      <c r="R25" s="38"/>
      <c r="S25" s="32"/>
      <c r="T25" s="39"/>
      <c r="U25" s="6"/>
      <c r="V25" s="6"/>
    </row>
    <row r="26" spans="1:22" ht="15">
      <c r="A26" s="40"/>
      <c r="B26" s="41"/>
      <c r="C26" s="42"/>
      <c r="D26" s="40"/>
      <c r="E26" s="40"/>
      <c r="F26" s="40"/>
      <c r="G26" s="43">
        <f>F26*6%</f>
        <v>0</v>
      </c>
      <c r="H26" s="43"/>
      <c r="I26" s="44">
        <f t="shared" si="0"/>
        <v>0</v>
      </c>
      <c r="J26" s="44">
        <f t="shared" si="1"/>
        <v>0</v>
      </c>
      <c r="K26" s="44">
        <f t="shared" si="2"/>
        <v>0</v>
      </c>
      <c r="L26" s="45"/>
      <c r="M26" s="40"/>
      <c r="N26" s="43">
        <f t="shared" si="3"/>
        <v>0</v>
      </c>
      <c r="O26" s="43">
        <f t="shared" si="4"/>
        <v>0</v>
      </c>
      <c r="P26" s="46"/>
      <c r="Q26" s="40"/>
      <c r="R26" s="40"/>
      <c r="S26" s="40"/>
      <c r="T26" s="5"/>
    </row>
    <row r="27" spans="1:22" ht="15">
      <c r="A27" s="32"/>
      <c r="B27" s="33"/>
      <c r="C27" s="32"/>
      <c r="D27" s="33"/>
      <c r="E27" s="34"/>
      <c r="F27" s="32"/>
      <c r="G27" s="32"/>
      <c r="H27" s="32"/>
      <c r="I27" s="37"/>
      <c r="J27" s="37"/>
      <c r="K27" s="35"/>
      <c r="L27" s="35"/>
      <c r="M27" s="35"/>
      <c r="N27" s="36"/>
      <c r="O27" s="32"/>
      <c r="P27" s="37"/>
      <c r="Q27" s="37"/>
      <c r="R27" s="38"/>
      <c r="S27" s="32"/>
      <c r="T27" s="39"/>
      <c r="U27" s="6"/>
      <c r="V27" s="6"/>
    </row>
    <row r="28" spans="1:22" ht="15">
      <c r="A28" s="40"/>
      <c r="B28" s="41"/>
      <c r="C28" s="42"/>
      <c r="D28" s="40"/>
      <c r="E28" s="40"/>
      <c r="F28" s="40"/>
      <c r="G28" s="43">
        <f>F28*6%</f>
        <v>0</v>
      </c>
      <c r="H28" s="43"/>
      <c r="I28" s="44">
        <f t="shared" si="0"/>
        <v>0</v>
      </c>
      <c r="J28" s="44">
        <f t="shared" si="1"/>
        <v>0</v>
      </c>
      <c r="K28" s="44">
        <f t="shared" si="2"/>
        <v>0</v>
      </c>
      <c r="L28" s="45"/>
      <c r="M28" s="40"/>
      <c r="N28" s="43">
        <f t="shared" si="3"/>
        <v>0</v>
      </c>
      <c r="O28" s="43">
        <f t="shared" si="4"/>
        <v>0</v>
      </c>
      <c r="P28" s="46"/>
      <c r="Q28" s="40"/>
      <c r="R28" s="40"/>
      <c r="S28" s="40"/>
      <c r="T28" s="5"/>
    </row>
    <row r="29" spans="1:22" ht="15">
      <c r="A29" s="32"/>
      <c r="B29" s="33"/>
      <c r="C29" s="32"/>
      <c r="D29" s="33"/>
      <c r="E29" s="34"/>
      <c r="F29" s="32"/>
      <c r="G29" s="32"/>
      <c r="H29" s="32"/>
      <c r="I29" s="37"/>
      <c r="J29" s="37"/>
      <c r="K29" s="35"/>
      <c r="L29" s="35"/>
      <c r="M29" s="35"/>
      <c r="N29" s="36"/>
      <c r="O29" s="32"/>
      <c r="P29" s="37"/>
      <c r="Q29" s="37"/>
      <c r="R29" s="38"/>
      <c r="S29" s="32"/>
      <c r="T29" s="39"/>
      <c r="U29" s="6"/>
      <c r="V29" s="6"/>
    </row>
    <row r="30" spans="1:22" ht="15">
      <c r="A30" s="40"/>
      <c r="B30" s="41"/>
      <c r="C30" s="42"/>
      <c r="D30" s="40"/>
      <c r="E30" s="40"/>
      <c r="F30" s="40"/>
      <c r="G30" s="43">
        <f>F30*6%</f>
        <v>0</v>
      </c>
      <c r="H30" s="43"/>
      <c r="I30" s="44">
        <f t="shared" si="0"/>
        <v>0</v>
      </c>
      <c r="J30" s="44">
        <f t="shared" si="1"/>
        <v>0</v>
      </c>
      <c r="K30" s="44">
        <f t="shared" si="2"/>
        <v>0</v>
      </c>
      <c r="L30" s="45"/>
      <c r="M30" s="40"/>
      <c r="N30" s="43">
        <f t="shared" si="3"/>
        <v>0</v>
      </c>
      <c r="O30" s="43">
        <f t="shared" si="4"/>
        <v>0</v>
      </c>
      <c r="P30" s="46"/>
      <c r="Q30" s="40"/>
      <c r="R30" s="40"/>
      <c r="S30" s="40"/>
      <c r="T30" s="5"/>
    </row>
    <row r="31" spans="1:22" ht="15">
      <c r="A31" s="32"/>
      <c r="B31" s="33"/>
      <c r="C31" s="32"/>
      <c r="D31" s="33"/>
      <c r="E31" s="34"/>
      <c r="F31" s="32"/>
      <c r="G31" s="32"/>
      <c r="H31" s="32"/>
      <c r="I31" s="37"/>
      <c r="J31" s="37"/>
      <c r="K31" s="35"/>
      <c r="L31" s="35"/>
      <c r="M31" s="35"/>
      <c r="N31" s="36"/>
      <c r="O31" s="32"/>
      <c r="P31" s="37"/>
      <c r="Q31" s="37"/>
      <c r="R31" s="38"/>
      <c r="S31" s="32"/>
      <c r="T31" s="39"/>
      <c r="U31" s="6"/>
      <c r="V31" s="6"/>
    </row>
    <row r="32" spans="1:22" ht="15">
      <c r="A32" s="40"/>
      <c r="B32" s="41"/>
      <c r="C32" s="42"/>
      <c r="D32" s="40"/>
      <c r="E32" s="40"/>
      <c r="F32" s="40"/>
      <c r="G32" s="43">
        <f>F32*6%</f>
        <v>0</v>
      </c>
      <c r="H32" s="43"/>
      <c r="I32" s="44">
        <f t="shared" si="0"/>
        <v>0</v>
      </c>
      <c r="J32" s="44">
        <f t="shared" si="1"/>
        <v>0</v>
      </c>
      <c r="K32" s="44">
        <f t="shared" si="2"/>
        <v>0</v>
      </c>
      <c r="L32" s="45"/>
      <c r="M32" s="40"/>
      <c r="N32" s="43">
        <f t="shared" si="3"/>
        <v>0</v>
      </c>
      <c r="O32" s="43">
        <f t="shared" si="4"/>
        <v>0</v>
      </c>
      <c r="P32" s="46"/>
      <c r="Q32" s="40"/>
      <c r="R32" s="40"/>
      <c r="S32" s="40"/>
      <c r="T32" s="5"/>
    </row>
    <row r="33" spans="1:22" ht="15">
      <c r="A33" s="32"/>
      <c r="B33" s="33"/>
      <c r="C33" s="32"/>
      <c r="D33" s="33"/>
      <c r="E33" s="34"/>
      <c r="F33" s="32"/>
      <c r="G33" s="32"/>
      <c r="H33" s="32"/>
      <c r="I33" s="37"/>
      <c r="J33" s="37"/>
      <c r="K33" s="35"/>
      <c r="L33" s="35"/>
      <c r="M33" s="35"/>
      <c r="N33" s="36"/>
      <c r="O33" s="32"/>
      <c r="P33" s="37"/>
      <c r="Q33" s="37"/>
      <c r="R33" s="38"/>
      <c r="S33" s="32"/>
      <c r="T33" s="39"/>
      <c r="U33" s="6"/>
      <c r="V33" s="6"/>
    </row>
    <row r="34" spans="1:22" ht="15">
      <c r="A34" s="40"/>
      <c r="B34" s="41"/>
      <c r="C34" s="42"/>
      <c r="D34" s="40"/>
      <c r="E34" s="40"/>
      <c r="F34" s="40"/>
      <c r="G34" s="43">
        <f>F34*6%</f>
        <v>0</v>
      </c>
      <c r="H34" s="43"/>
      <c r="I34" s="44">
        <f t="shared" si="0"/>
        <v>0</v>
      </c>
      <c r="J34" s="44">
        <f t="shared" si="1"/>
        <v>0</v>
      </c>
      <c r="K34" s="44">
        <f t="shared" si="2"/>
        <v>0</v>
      </c>
      <c r="L34" s="45"/>
      <c r="M34" s="40"/>
      <c r="N34" s="43">
        <f t="shared" si="3"/>
        <v>0</v>
      </c>
      <c r="O34" s="43">
        <f t="shared" si="4"/>
        <v>0</v>
      </c>
      <c r="P34" s="46"/>
      <c r="Q34" s="40"/>
      <c r="R34" s="40"/>
      <c r="S34" s="40"/>
      <c r="T34" s="5"/>
    </row>
    <row r="35" spans="1:22" ht="15">
      <c r="A35" s="32"/>
      <c r="B35" s="33"/>
      <c r="C35" s="32"/>
      <c r="D35" s="33"/>
      <c r="E35" s="34"/>
      <c r="F35" s="32"/>
      <c r="G35" s="32"/>
      <c r="H35" s="32"/>
      <c r="I35" s="37"/>
      <c r="J35" s="37"/>
      <c r="K35" s="35"/>
      <c r="L35" s="35"/>
      <c r="M35" s="35"/>
      <c r="N35" s="36"/>
      <c r="O35" s="32"/>
      <c r="P35" s="37"/>
      <c r="Q35" s="37"/>
      <c r="R35" s="38"/>
      <c r="S35" s="32"/>
      <c r="T35" s="39"/>
      <c r="U35" s="6"/>
      <c r="V35" s="6"/>
    </row>
    <row r="36" spans="1:22" ht="15">
      <c r="A36" s="40"/>
      <c r="B36" s="41"/>
      <c r="C36" s="42"/>
      <c r="D36" s="40"/>
      <c r="E36" s="40"/>
      <c r="F36" s="40"/>
      <c r="G36" s="43">
        <f>F36*6%</f>
        <v>0</v>
      </c>
      <c r="H36" s="43"/>
      <c r="I36" s="44">
        <f t="shared" si="0"/>
        <v>0</v>
      </c>
      <c r="J36" s="44">
        <f t="shared" si="1"/>
        <v>0</v>
      </c>
      <c r="K36" s="44">
        <f t="shared" si="2"/>
        <v>0</v>
      </c>
      <c r="L36" s="45"/>
      <c r="M36" s="40"/>
      <c r="N36" s="43">
        <f t="shared" si="3"/>
        <v>0</v>
      </c>
      <c r="O36" s="43">
        <f t="shared" si="4"/>
        <v>0</v>
      </c>
      <c r="P36" s="46"/>
      <c r="Q36" s="40"/>
      <c r="R36" s="40"/>
      <c r="S36" s="40"/>
      <c r="T36" s="5"/>
    </row>
    <row r="37" spans="1:22" ht="15">
      <c r="A37" s="32"/>
      <c r="B37" s="33"/>
      <c r="C37" s="32"/>
      <c r="D37" s="33"/>
      <c r="E37" s="34"/>
      <c r="F37" s="32"/>
      <c r="G37" s="32"/>
      <c r="H37" s="32"/>
      <c r="I37" s="37"/>
      <c r="J37" s="37"/>
      <c r="K37" s="35"/>
      <c r="L37" s="35"/>
      <c r="M37" s="35"/>
      <c r="N37" s="36"/>
      <c r="O37" s="32"/>
      <c r="P37" s="37"/>
      <c r="Q37" s="37"/>
      <c r="R37" s="38"/>
      <c r="S37" s="32"/>
      <c r="T37" s="39"/>
      <c r="U37" s="6"/>
      <c r="V37" s="6"/>
    </row>
    <row r="38" spans="1:22" ht="15">
      <c r="A38" s="50"/>
      <c r="B38" s="51"/>
      <c r="C38" s="52"/>
      <c r="D38" s="50"/>
      <c r="E38" s="50"/>
      <c r="F38" s="50"/>
      <c r="G38" s="43">
        <f>F38*6%</f>
        <v>0</v>
      </c>
      <c r="H38" s="53"/>
      <c r="I38" s="44">
        <f t="shared" si="0"/>
        <v>0</v>
      </c>
      <c r="J38" s="54">
        <f t="shared" si="1"/>
        <v>0</v>
      </c>
      <c r="K38" s="54">
        <f t="shared" si="2"/>
        <v>0</v>
      </c>
      <c r="L38" s="55"/>
      <c r="M38" s="50"/>
      <c r="N38" s="53">
        <f t="shared" si="3"/>
        <v>0</v>
      </c>
      <c r="O38" s="53">
        <f t="shared" si="4"/>
        <v>0</v>
      </c>
      <c r="P38" s="56"/>
      <c r="Q38" s="50"/>
      <c r="R38" s="50"/>
      <c r="S38" s="50"/>
      <c r="T38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652" priority="28" operator="containsText" text="SIN FACTURA ">
      <formula>NOT(ISERROR(SEARCH("SIN FACTURA ",A2)))</formula>
    </cfRule>
  </conditionalFormatting>
  <conditionalFormatting sqref="A37:B37 J5:T6 I5:I38 A5:H6 A4:T4">
    <cfRule type="containsText" dxfId="651" priority="2" operator="containsText" text="SIN FACTURA">
      <formula>NOT(ISERROR(SEARCH("SIN FACTURA",A4)))</formula>
    </cfRule>
  </conditionalFormatting>
  <conditionalFormatting sqref="J38:T38 J36:T36 J34:T34 J32:T32 J30:T30 J28:T28 J26:T26 J24:T24 J22:T22 J20:T20 J18:T18 J8:T16 A8:H16 A18:H18 A20:H20 A22:H22 A24:H24 A26:H26 A28:H28 A30:H30 A32:H32 A34:H34 A36:H36 A38:H38">
    <cfRule type="containsText" dxfId="650" priority="26" operator="containsText" text="SIN FACTURA">
      <formula>NOT(ISERROR(SEARCH("SIN FACTURA",A8)))</formula>
    </cfRule>
  </conditionalFormatting>
  <conditionalFormatting sqref="C7:H7 J7:V7">
    <cfRule type="containsText" dxfId="649" priority="25" operator="containsText" text="SIN FACTURA">
      <formula>NOT(ISERROR(SEARCH("SIN FACTURA",C7)))</formula>
    </cfRule>
  </conditionalFormatting>
  <conditionalFormatting sqref="C17:H17 J17:V17">
    <cfRule type="containsText" dxfId="648" priority="24" operator="containsText" text="SIN FACTURA">
      <formula>NOT(ISERROR(SEARCH("SIN FACTURA",C17)))</formula>
    </cfRule>
  </conditionalFormatting>
  <conditionalFormatting sqref="C19:H19 J19:V19">
    <cfRule type="containsText" dxfId="647" priority="23" operator="containsText" text="SIN FACTURA">
      <formula>NOT(ISERROR(SEARCH("SIN FACTURA",C19)))</formula>
    </cfRule>
  </conditionalFormatting>
  <conditionalFormatting sqref="C21:H21 J21:V21">
    <cfRule type="containsText" dxfId="646" priority="22" operator="containsText" text="SIN FACTURA">
      <formula>NOT(ISERROR(SEARCH("SIN FACTURA",C21)))</formula>
    </cfRule>
  </conditionalFormatting>
  <conditionalFormatting sqref="C23:H23 J23:V23">
    <cfRule type="containsText" dxfId="645" priority="21" operator="containsText" text="SIN FACTURA">
      <formula>NOT(ISERROR(SEARCH("SIN FACTURA",C23)))</formula>
    </cfRule>
  </conditionalFormatting>
  <conditionalFormatting sqref="C25:H25 J25:V25">
    <cfRule type="containsText" dxfId="644" priority="20" operator="containsText" text="SIN FACTURA">
      <formula>NOT(ISERROR(SEARCH("SIN FACTURA",C25)))</formula>
    </cfRule>
  </conditionalFormatting>
  <conditionalFormatting sqref="C27:H27 J27:V27">
    <cfRule type="containsText" dxfId="643" priority="19" operator="containsText" text="SIN FACTURA">
      <formula>NOT(ISERROR(SEARCH("SIN FACTURA",C27)))</formula>
    </cfRule>
  </conditionalFormatting>
  <conditionalFormatting sqref="C29:H29 J29:V29">
    <cfRule type="containsText" dxfId="642" priority="18" operator="containsText" text="SIN FACTURA">
      <formula>NOT(ISERROR(SEARCH("SIN FACTURA",C29)))</formula>
    </cfRule>
  </conditionalFormatting>
  <conditionalFormatting sqref="C31:H31 J31:V31">
    <cfRule type="containsText" dxfId="641" priority="17" operator="containsText" text="SIN FACTURA">
      <formula>NOT(ISERROR(SEARCH("SIN FACTURA",C31)))</formula>
    </cfRule>
  </conditionalFormatting>
  <conditionalFormatting sqref="C33:H33 J33:V33">
    <cfRule type="containsText" dxfId="640" priority="16" operator="containsText" text="SIN FACTURA">
      <formula>NOT(ISERROR(SEARCH("SIN FACTURA",C33)))</formula>
    </cfRule>
  </conditionalFormatting>
  <conditionalFormatting sqref="C35:H35 J35:V35">
    <cfRule type="containsText" dxfId="639" priority="15" operator="containsText" text="SIN FACTURA">
      <formula>NOT(ISERROR(SEARCH("SIN FACTURA",C35)))</formula>
    </cfRule>
  </conditionalFormatting>
  <conditionalFormatting sqref="C37:H37 J37:V37">
    <cfRule type="containsText" dxfId="638" priority="14" operator="containsText" text="SIN FACTURA">
      <formula>NOT(ISERROR(SEARCH("SIN FACTURA",C37)))</formula>
    </cfRule>
  </conditionalFormatting>
  <conditionalFormatting sqref="A7:B7">
    <cfRule type="containsText" dxfId="637" priority="13" operator="containsText" text="SIN FACTURA">
      <formula>NOT(ISERROR(SEARCH("SIN FACTURA",A7)))</formula>
    </cfRule>
  </conditionalFormatting>
  <conditionalFormatting sqref="A17:B17">
    <cfRule type="containsText" dxfId="636" priority="12" operator="containsText" text="SIN FACTURA">
      <formula>NOT(ISERROR(SEARCH("SIN FACTURA",A17)))</formula>
    </cfRule>
  </conditionalFormatting>
  <conditionalFormatting sqref="A19:B19">
    <cfRule type="containsText" dxfId="635" priority="11" operator="containsText" text="SIN FACTURA">
      <formula>NOT(ISERROR(SEARCH("SIN FACTURA",A19)))</formula>
    </cfRule>
  </conditionalFormatting>
  <conditionalFormatting sqref="A21:B21">
    <cfRule type="containsText" dxfId="634" priority="10" operator="containsText" text="SIN FACTURA">
      <formula>NOT(ISERROR(SEARCH("SIN FACTURA",A21)))</formula>
    </cfRule>
  </conditionalFormatting>
  <conditionalFormatting sqref="A23:B23">
    <cfRule type="containsText" dxfId="633" priority="9" operator="containsText" text="SIN FACTURA">
      <formula>NOT(ISERROR(SEARCH("SIN FACTURA",A23)))</formula>
    </cfRule>
  </conditionalFormatting>
  <conditionalFormatting sqref="A25:B25">
    <cfRule type="containsText" dxfId="632" priority="8" operator="containsText" text="SIN FACTURA">
      <formula>NOT(ISERROR(SEARCH("SIN FACTURA",A25)))</formula>
    </cfRule>
  </conditionalFormatting>
  <conditionalFormatting sqref="A27:B27">
    <cfRule type="containsText" dxfId="631" priority="7" operator="containsText" text="SIN FACTURA">
      <formula>NOT(ISERROR(SEARCH("SIN FACTURA",A27)))</formula>
    </cfRule>
  </conditionalFormatting>
  <conditionalFormatting sqref="A29:B29">
    <cfRule type="containsText" dxfId="630" priority="6" operator="containsText" text="SIN FACTURA">
      <formula>NOT(ISERROR(SEARCH("SIN FACTURA",A29)))</formula>
    </cfRule>
  </conditionalFormatting>
  <conditionalFormatting sqref="A31:B31">
    <cfRule type="containsText" dxfId="629" priority="5" operator="containsText" text="SIN FACTURA">
      <formula>NOT(ISERROR(SEARCH("SIN FACTURA",A31)))</formula>
    </cfRule>
  </conditionalFormatting>
  <conditionalFormatting sqref="A33:B33">
    <cfRule type="containsText" dxfId="628" priority="4" operator="containsText" text="SIN FACTURA">
      <formula>NOT(ISERROR(SEARCH("SIN FACTURA",A33)))</formula>
    </cfRule>
  </conditionalFormatting>
  <conditionalFormatting sqref="A35:B35">
    <cfRule type="containsText" dxfId="627" priority="3" operator="containsText" text="SIN FACTURA">
      <formula>NOT(ISERROR(SEARCH("SIN FACTURA",A35)))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152.xml><?xml version="1.0" encoding="utf-8"?>
<worksheet xmlns="http://schemas.openxmlformats.org/spreadsheetml/2006/main" xmlns:r="http://schemas.openxmlformats.org/officeDocument/2006/relationships">
  <sheetPr codeName="Hoja224"/>
  <dimension ref="A1:Y29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20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2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356</v>
      </c>
      <c r="B1" s="18" t="s">
        <v>89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22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29" si="0">F5-G5-H5</f>
        <v>0</v>
      </c>
      <c r="J5" s="44">
        <f t="shared" ref="J5:J29" si="1">S5+T5</f>
        <v>0</v>
      </c>
      <c r="K5" s="44">
        <f t="shared" ref="K5:K29" si="2">I5-J5</f>
        <v>0</v>
      </c>
      <c r="L5" s="45"/>
      <c r="M5" s="40"/>
      <c r="N5" s="43">
        <f t="shared" ref="N5:N29" si="3">I5-J5-M5-R5</f>
        <v>0</v>
      </c>
      <c r="O5" s="43">
        <f t="shared" ref="O5:O29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  <c r="U10" s="6"/>
      <c r="V10" s="6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50"/>
      <c r="B29" s="51"/>
      <c r="C29" s="52"/>
      <c r="D29" s="50"/>
      <c r="E29" s="50"/>
      <c r="F29" s="50"/>
      <c r="G29" s="43">
        <f>F29*6%</f>
        <v>0</v>
      </c>
      <c r="H29" s="53"/>
      <c r="I29" s="44">
        <f t="shared" si="0"/>
        <v>0</v>
      </c>
      <c r="J29" s="54">
        <f t="shared" si="1"/>
        <v>0</v>
      </c>
      <c r="K29" s="54">
        <f t="shared" si="2"/>
        <v>0</v>
      </c>
      <c r="L29" s="55"/>
      <c r="M29" s="50"/>
      <c r="N29" s="53">
        <f t="shared" si="3"/>
        <v>0</v>
      </c>
      <c r="O29" s="53">
        <f t="shared" si="4"/>
        <v>0</v>
      </c>
      <c r="P29" s="56"/>
      <c r="Q29" s="50"/>
      <c r="R29" s="50"/>
      <c r="S29" s="50"/>
      <c r="T29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626" priority="27" operator="containsText" text="SIN FACTURA ">
      <formula>NOT(ISERROR(SEARCH("SIN FACTURA ",A2)))</formula>
    </cfRule>
  </conditionalFormatting>
  <conditionalFormatting sqref="A28:B28 A4:T4 J5:T7 I5:I29 A5:H7">
    <cfRule type="containsText" dxfId="625" priority="1" operator="containsText" text="SIN FACTURA">
      <formula>NOT(ISERROR(SEARCH("SIN FACTURA",A4)))</formula>
    </cfRule>
  </conditionalFormatting>
  <conditionalFormatting sqref="J29:T29 J27:T27 J25:T25 J23:T23 J21:T21 J19:T19 J17:T17 J15:T15 J13:T13 J11:T11 J9:T9 A9:H9 A11:H11 A13:H13 A15:H15 A17:H17 A19:H19 A21:H21 A23:H23 A25:H25 A27:H27 A29:H29">
    <cfRule type="containsText" dxfId="624" priority="25" operator="containsText" text="SIN FACTURA">
      <formula>NOT(ISERROR(SEARCH("SIN FACTURA",A9)))</formula>
    </cfRule>
  </conditionalFormatting>
  <conditionalFormatting sqref="C8:H8 J8:V8">
    <cfRule type="containsText" dxfId="623" priority="23" operator="containsText" text="SIN FACTURA">
      <formula>NOT(ISERROR(SEARCH("SIN FACTURA",C8)))</formula>
    </cfRule>
  </conditionalFormatting>
  <conditionalFormatting sqref="C10:H10 J10:V10">
    <cfRule type="containsText" dxfId="622" priority="22" operator="containsText" text="SIN FACTURA">
      <formula>NOT(ISERROR(SEARCH("SIN FACTURA",C10)))</formula>
    </cfRule>
  </conditionalFormatting>
  <conditionalFormatting sqref="C12:H12 J12:V12">
    <cfRule type="containsText" dxfId="621" priority="21" operator="containsText" text="SIN FACTURA">
      <formula>NOT(ISERROR(SEARCH("SIN FACTURA",C12)))</formula>
    </cfRule>
  </conditionalFormatting>
  <conditionalFormatting sqref="C14:H14 J14:V14">
    <cfRule type="containsText" dxfId="620" priority="20" operator="containsText" text="SIN FACTURA">
      <formula>NOT(ISERROR(SEARCH("SIN FACTURA",C14)))</formula>
    </cfRule>
  </conditionalFormatting>
  <conditionalFormatting sqref="C16:H16 J16:V16">
    <cfRule type="containsText" dxfId="619" priority="19" operator="containsText" text="SIN FACTURA">
      <formula>NOT(ISERROR(SEARCH("SIN FACTURA",C16)))</formula>
    </cfRule>
  </conditionalFormatting>
  <conditionalFormatting sqref="C18:H18 J18:V18">
    <cfRule type="containsText" dxfId="618" priority="18" operator="containsText" text="SIN FACTURA">
      <formula>NOT(ISERROR(SEARCH("SIN FACTURA",C18)))</formula>
    </cfRule>
  </conditionalFormatting>
  <conditionalFormatting sqref="C20:H20 J20:V20">
    <cfRule type="containsText" dxfId="617" priority="17" operator="containsText" text="SIN FACTURA">
      <formula>NOT(ISERROR(SEARCH("SIN FACTURA",C20)))</formula>
    </cfRule>
  </conditionalFormatting>
  <conditionalFormatting sqref="C22:H22 J22:V22">
    <cfRule type="containsText" dxfId="616" priority="16" operator="containsText" text="SIN FACTURA">
      <formula>NOT(ISERROR(SEARCH("SIN FACTURA",C22)))</formula>
    </cfRule>
  </conditionalFormatting>
  <conditionalFormatting sqref="C24:H24 J24:V24">
    <cfRule type="containsText" dxfId="615" priority="15" operator="containsText" text="SIN FACTURA">
      <formula>NOT(ISERROR(SEARCH("SIN FACTURA",C24)))</formula>
    </cfRule>
  </conditionalFormatting>
  <conditionalFormatting sqref="C26:H26 J26:V26">
    <cfRule type="containsText" dxfId="614" priority="14" operator="containsText" text="SIN FACTURA">
      <formula>NOT(ISERROR(SEARCH("SIN FACTURA",C26)))</formula>
    </cfRule>
  </conditionalFormatting>
  <conditionalFormatting sqref="C28:H28 J28:V28">
    <cfRule type="containsText" dxfId="613" priority="13" operator="containsText" text="SIN FACTURA">
      <formula>NOT(ISERROR(SEARCH("SIN FACTURA",C28)))</formula>
    </cfRule>
  </conditionalFormatting>
  <conditionalFormatting sqref="A8:B8">
    <cfRule type="containsText" dxfId="612" priority="11" operator="containsText" text="SIN FACTURA">
      <formula>NOT(ISERROR(SEARCH("SIN FACTURA",A8)))</formula>
    </cfRule>
  </conditionalFormatting>
  <conditionalFormatting sqref="A10:B10">
    <cfRule type="containsText" dxfId="611" priority="10" operator="containsText" text="SIN FACTURA">
      <formula>NOT(ISERROR(SEARCH("SIN FACTURA",A10)))</formula>
    </cfRule>
  </conditionalFormatting>
  <conditionalFormatting sqref="A12:B12">
    <cfRule type="containsText" dxfId="610" priority="9" operator="containsText" text="SIN FACTURA">
      <formula>NOT(ISERROR(SEARCH("SIN FACTURA",A12)))</formula>
    </cfRule>
  </conditionalFormatting>
  <conditionalFormatting sqref="A14:B14">
    <cfRule type="containsText" dxfId="609" priority="8" operator="containsText" text="SIN FACTURA">
      <formula>NOT(ISERROR(SEARCH("SIN FACTURA",A14)))</formula>
    </cfRule>
  </conditionalFormatting>
  <conditionalFormatting sqref="A16:B16">
    <cfRule type="containsText" dxfId="608" priority="7" operator="containsText" text="SIN FACTURA">
      <formula>NOT(ISERROR(SEARCH("SIN FACTURA",A16)))</formula>
    </cfRule>
  </conditionalFormatting>
  <conditionalFormatting sqref="A18:B18">
    <cfRule type="containsText" dxfId="607" priority="6" operator="containsText" text="SIN FACTURA">
      <formula>NOT(ISERROR(SEARCH("SIN FACTURA",A18)))</formula>
    </cfRule>
  </conditionalFormatting>
  <conditionalFormatting sqref="A20:B20">
    <cfRule type="containsText" dxfId="606" priority="5" operator="containsText" text="SIN FACTURA">
      <formula>NOT(ISERROR(SEARCH("SIN FACTURA",A20)))</formula>
    </cfRule>
  </conditionalFormatting>
  <conditionalFormatting sqref="A22:B22">
    <cfRule type="containsText" dxfId="605" priority="4" operator="containsText" text="SIN FACTURA">
      <formula>NOT(ISERROR(SEARCH("SIN FACTURA",A22)))</formula>
    </cfRule>
  </conditionalFormatting>
  <conditionalFormatting sqref="A24:B24">
    <cfRule type="containsText" dxfId="604" priority="3" operator="containsText" text="SIN FACTURA">
      <formula>NOT(ISERROR(SEARCH("SIN FACTURA",A24)))</formula>
    </cfRule>
  </conditionalFormatting>
  <conditionalFormatting sqref="A26:B26">
    <cfRule type="containsText" dxfId="603" priority="2" operator="containsText" text="SIN FACTURA">
      <formula>NOT(ISERROR(SEARCH("SIN FACTURA",A26)))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Y44"/>
  <sheetViews>
    <sheetView zoomScale="125" zoomScaleNormal="125" zoomScalePageLayoutView="125" workbookViewId="0">
      <pane ySplit="4" topLeftCell="A26" activePane="bottomLeft" state="frozen"/>
      <selection activeCell="D26" sqref="D26"/>
      <selection pane="bottomLeft" activeCell="A5" sqref="A5:XFD44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7" width="9.125" style="1" customWidth="1"/>
    <col min="8" max="8" width="9.125" style="1" hidden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7001</v>
      </c>
      <c r="B1" s="18" t="s">
        <v>228</v>
      </c>
      <c r="C1" s="20"/>
      <c r="D1" s="5" t="s">
        <v>229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32"/>
      <c r="B5" s="33"/>
      <c r="C5" s="34"/>
      <c r="D5" s="32"/>
      <c r="E5" s="32"/>
      <c r="F5" s="32"/>
      <c r="G5" s="32"/>
      <c r="H5" s="32"/>
      <c r="I5" s="35"/>
      <c r="J5" s="35"/>
      <c r="K5" s="35"/>
      <c r="L5" s="36"/>
      <c r="M5" s="32"/>
      <c r="N5" s="37"/>
      <c r="O5" s="37"/>
      <c r="P5" s="38"/>
      <c r="Q5" s="32"/>
      <c r="R5" s="32"/>
      <c r="S5" s="32"/>
      <c r="T5" s="39"/>
    </row>
    <row r="6" spans="1:25" ht="15">
      <c r="A6" s="40"/>
      <c r="B6" s="41"/>
      <c r="C6" s="42"/>
      <c r="D6" s="40"/>
      <c r="E6" s="40"/>
      <c r="F6" s="40"/>
      <c r="G6" s="43">
        <f>F6*6%</f>
        <v>0</v>
      </c>
      <c r="H6" s="43"/>
      <c r="I6" s="44">
        <f>F6-G6-H6</f>
        <v>0</v>
      </c>
      <c r="J6" s="44">
        <f t="shared" ref="J6:J44" si="0">S6+T6</f>
        <v>0</v>
      </c>
      <c r="K6" s="44">
        <f t="shared" ref="K6:K44" si="1">I6-J6</f>
        <v>0</v>
      </c>
      <c r="L6" s="45"/>
      <c r="M6" s="40"/>
      <c r="N6" s="43">
        <f t="shared" ref="N6:N44" si="2">I6-J6-M6-R6</f>
        <v>0</v>
      </c>
      <c r="O6" s="43">
        <f t="shared" ref="O6:O44" si="3">R6+S6+T6</f>
        <v>0</v>
      </c>
      <c r="P6" s="46"/>
      <c r="Q6" s="40"/>
      <c r="R6" s="40"/>
      <c r="S6" s="40"/>
      <c r="T6" s="5"/>
    </row>
    <row r="7" spans="1:25" ht="15">
      <c r="A7" s="32"/>
      <c r="B7" s="33"/>
      <c r="C7" s="34"/>
      <c r="D7" s="32"/>
      <c r="E7" s="32"/>
      <c r="F7" s="32"/>
      <c r="G7" s="37"/>
      <c r="H7" s="37"/>
      <c r="I7" s="37"/>
      <c r="J7" s="35"/>
      <c r="K7" s="35"/>
      <c r="L7" s="36"/>
      <c r="M7" s="32"/>
      <c r="N7" s="37"/>
      <c r="O7" s="37"/>
      <c r="P7" s="38"/>
      <c r="Q7" s="32"/>
      <c r="R7" s="32"/>
      <c r="S7" s="32"/>
      <c r="T7" s="39"/>
    </row>
    <row r="8" spans="1:25" ht="15">
      <c r="A8" s="40"/>
      <c r="B8" s="41"/>
      <c r="C8" s="42"/>
      <c r="D8" s="40"/>
      <c r="E8" s="40"/>
      <c r="F8" s="40"/>
      <c r="G8" s="43">
        <f>F8*6%</f>
        <v>0</v>
      </c>
      <c r="H8" s="43"/>
      <c r="I8" s="44">
        <f t="shared" ref="I8:I44" si="4">F8-G8-H8</f>
        <v>0</v>
      </c>
      <c r="J8" s="44">
        <f t="shared" si="0"/>
        <v>0</v>
      </c>
      <c r="K8" s="44">
        <f t="shared" si="1"/>
        <v>0</v>
      </c>
      <c r="L8" s="45"/>
      <c r="M8" s="40"/>
      <c r="N8" s="43">
        <f t="shared" si="2"/>
        <v>0</v>
      </c>
      <c r="O8" s="43">
        <f t="shared" si="3"/>
        <v>0</v>
      </c>
      <c r="P8" s="46"/>
      <c r="Q8" s="40"/>
      <c r="R8" s="47"/>
      <c r="S8" s="47"/>
      <c r="T8" s="48"/>
    </row>
    <row r="9" spans="1:25" ht="15">
      <c r="A9" s="32"/>
      <c r="B9" s="33"/>
      <c r="C9" s="34"/>
      <c r="D9" s="32"/>
      <c r="E9" s="32"/>
      <c r="F9" s="32"/>
      <c r="G9" s="37"/>
      <c r="H9" s="37"/>
      <c r="I9" s="37"/>
      <c r="J9" s="35"/>
      <c r="K9" s="35"/>
      <c r="L9" s="36"/>
      <c r="M9" s="32"/>
      <c r="N9" s="37"/>
      <c r="O9" s="37"/>
      <c r="P9" s="38"/>
      <c r="Q9" s="32"/>
      <c r="R9" s="32"/>
      <c r="S9" s="32"/>
      <c r="T9" s="39"/>
    </row>
    <row r="10" spans="1:25" ht="15">
      <c r="A10" s="40"/>
      <c r="B10" s="41"/>
      <c r="C10" s="42"/>
      <c r="D10" s="40"/>
      <c r="E10" s="40"/>
      <c r="F10" s="40"/>
      <c r="G10" s="43">
        <f>F10*6%</f>
        <v>0</v>
      </c>
      <c r="H10" s="43"/>
      <c r="I10" s="44">
        <f t="shared" si="4"/>
        <v>0</v>
      </c>
      <c r="J10" s="44">
        <f t="shared" si="0"/>
        <v>0</v>
      </c>
      <c r="K10" s="44">
        <f t="shared" si="1"/>
        <v>0</v>
      </c>
      <c r="L10" s="45"/>
      <c r="M10" s="40"/>
      <c r="N10" s="43">
        <f t="shared" si="2"/>
        <v>0</v>
      </c>
      <c r="O10" s="43">
        <f t="shared" si="3"/>
        <v>0</v>
      </c>
      <c r="P10" s="46"/>
      <c r="Q10" s="40"/>
      <c r="R10" s="43"/>
      <c r="S10" s="43"/>
      <c r="T10" s="49"/>
    </row>
    <row r="11" spans="1:25" ht="15">
      <c r="A11" s="32"/>
      <c r="B11" s="33"/>
      <c r="C11" s="34"/>
      <c r="D11" s="32"/>
      <c r="E11" s="32"/>
      <c r="F11" s="32"/>
      <c r="G11" s="37"/>
      <c r="H11" s="37"/>
      <c r="I11" s="37"/>
      <c r="J11" s="35"/>
      <c r="K11" s="35"/>
      <c r="L11" s="36"/>
      <c r="M11" s="32"/>
      <c r="N11" s="37"/>
      <c r="O11" s="37"/>
      <c r="P11" s="38"/>
      <c r="Q11" s="32"/>
      <c r="R11" s="32"/>
      <c r="S11" s="32"/>
      <c r="T11" s="39"/>
    </row>
    <row r="12" spans="1:25" ht="15">
      <c r="A12" s="40"/>
      <c r="B12" s="41"/>
      <c r="C12" s="42"/>
      <c r="D12" s="40"/>
      <c r="E12" s="40"/>
      <c r="F12" s="40"/>
      <c r="G12" s="43">
        <f>F12*6%</f>
        <v>0</v>
      </c>
      <c r="H12" s="43"/>
      <c r="I12" s="44">
        <f t="shared" si="4"/>
        <v>0</v>
      </c>
      <c r="J12" s="44">
        <f>S12+T12</f>
        <v>0</v>
      </c>
      <c r="K12" s="44">
        <f>I12-J12</f>
        <v>0</v>
      </c>
      <c r="L12" s="45"/>
      <c r="M12" s="40"/>
      <c r="N12" s="43">
        <f t="shared" si="2"/>
        <v>0</v>
      </c>
      <c r="O12" s="43">
        <f t="shared" si="3"/>
        <v>0</v>
      </c>
      <c r="P12" s="46"/>
      <c r="Q12" s="40"/>
      <c r="R12" s="47"/>
      <c r="S12" s="47"/>
      <c r="T12" s="48"/>
    </row>
    <row r="13" spans="1:25" ht="15">
      <c r="A13" s="32"/>
      <c r="B13" s="33"/>
      <c r="C13" s="34"/>
      <c r="D13" s="32"/>
      <c r="E13" s="32"/>
      <c r="F13" s="32"/>
      <c r="G13" s="37"/>
      <c r="H13" s="37"/>
      <c r="I13" s="37"/>
      <c r="J13" s="35"/>
      <c r="K13" s="35"/>
      <c r="L13" s="36"/>
      <c r="M13" s="32"/>
      <c r="N13" s="37"/>
      <c r="O13" s="37"/>
      <c r="P13" s="38"/>
      <c r="Q13" s="32"/>
      <c r="R13" s="32"/>
      <c r="S13" s="32"/>
      <c r="T13" s="39"/>
    </row>
    <row r="14" spans="1:25" ht="15">
      <c r="A14" s="40"/>
      <c r="B14" s="41"/>
      <c r="C14" s="42"/>
      <c r="D14" s="40"/>
      <c r="E14" s="40"/>
      <c r="F14" s="40"/>
      <c r="G14" s="43">
        <f>F14*6%</f>
        <v>0</v>
      </c>
      <c r="H14" s="43"/>
      <c r="I14" s="44">
        <f t="shared" si="4"/>
        <v>0</v>
      </c>
      <c r="J14" s="44">
        <f t="shared" si="0"/>
        <v>0</v>
      </c>
      <c r="K14" s="44">
        <f t="shared" si="1"/>
        <v>0</v>
      </c>
      <c r="L14" s="45"/>
      <c r="M14" s="40"/>
      <c r="N14" s="43">
        <f t="shared" si="2"/>
        <v>0</v>
      </c>
      <c r="O14" s="43">
        <f t="shared" si="3"/>
        <v>0</v>
      </c>
      <c r="P14" s="46"/>
      <c r="Q14" s="40"/>
      <c r="R14" s="47"/>
      <c r="S14" s="47"/>
      <c r="T14" s="48"/>
    </row>
    <row r="15" spans="1:25" ht="15">
      <c r="A15" s="32"/>
      <c r="B15" s="33"/>
      <c r="C15" s="32"/>
      <c r="D15" s="33"/>
      <c r="E15" s="34"/>
      <c r="F15" s="32"/>
      <c r="G15" s="32"/>
      <c r="H15" s="32"/>
      <c r="I15" s="37"/>
      <c r="J15" s="37"/>
      <c r="K15" s="35"/>
      <c r="L15" s="35"/>
      <c r="M15" s="35"/>
      <c r="N15" s="36"/>
      <c r="O15" s="32"/>
      <c r="P15" s="37"/>
      <c r="Q15" s="37"/>
      <c r="R15" s="38"/>
      <c r="S15" s="32"/>
      <c r="T15" s="39"/>
    </row>
    <row r="16" spans="1:25" ht="15">
      <c r="A16" s="40"/>
      <c r="B16" s="41"/>
      <c r="C16" s="42"/>
      <c r="D16" s="40"/>
      <c r="E16" s="40"/>
      <c r="F16" s="40"/>
      <c r="G16" s="43">
        <f>F16*6%</f>
        <v>0</v>
      </c>
      <c r="H16" s="43"/>
      <c r="I16" s="44">
        <f t="shared" si="4"/>
        <v>0</v>
      </c>
      <c r="J16" s="44">
        <f t="shared" si="0"/>
        <v>0</v>
      </c>
      <c r="K16" s="44">
        <f t="shared" si="1"/>
        <v>0</v>
      </c>
      <c r="L16" s="45"/>
      <c r="M16" s="40"/>
      <c r="N16" s="43">
        <f t="shared" si="2"/>
        <v>0</v>
      </c>
      <c r="O16" s="43">
        <f t="shared" si="3"/>
        <v>0</v>
      </c>
      <c r="P16" s="46"/>
      <c r="Q16" s="40"/>
      <c r="R16" s="47"/>
      <c r="S16" s="47"/>
      <c r="T16" s="48"/>
    </row>
    <row r="17" spans="1:22" ht="15">
      <c r="A17" s="32"/>
      <c r="B17" s="33"/>
      <c r="C17" s="34"/>
      <c r="D17" s="32"/>
      <c r="E17" s="32"/>
      <c r="F17" s="32"/>
      <c r="G17" s="37"/>
      <c r="H17" s="37"/>
      <c r="I17" s="37"/>
      <c r="J17" s="35"/>
      <c r="K17" s="35"/>
      <c r="L17" s="36"/>
      <c r="M17" s="32"/>
      <c r="N17" s="37"/>
      <c r="O17" s="37"/>
      <c r="P17" s="38"/>
      <c r="Q17" s="32"/>
      <c r="R17" s="32"/>
      <c r="S17" s="32"/>
      <c r="T17" s="39"/>
    </row>
    <row r="18" spans="1:22" ht="15">
      <c r="A18" s="40"/>
      <c r="B18" s="41"/>
      <c r="C18" s="42"/>
      <c r="D18" s="40"/>
      <c r="E18" s="40"/>
      <c r="F18" s="40"/>
      <c r="G18" s="43">
        <f>F18*6%</f>
        <v>0</v>
      </c>
      <c r="H18" s="43"/>
      <c r="I18" s="44">
        <f t="shared" si="4"/>
        <v>0</v>
      </c>
      <c r="J18" s="44">
        <f t="shared" si="0"/>
        <v>0</v>
      </c>
      <c r="K18" s="44">
        <f t="shared" si="1"/>
        <v>0</v>
      </c>
      <c r="L18" s="45"/>
      <c r="M18" s="40"/>
      <c r="N18" s="43">
        <f t="shared" si="2"/>
        <v>0</v>
      </c>
      <c r="O18" s="43">
        <f t="shared" si="3"/>
        <v>0</v>
      </c>
      <c r="P18" s="46"/>
      <c r="Q18" s="40"/>
      <c r="R18" s="40"/>
      <c r="S18" s="40"/>
      <c r="T18" s="5"/>
    </row>
    <row r="19" spans="1:22" ht="15">
      <c r="A19" s="32"/>
      <c r="B19" s="33"/>
      <c r="C19" s="34"/>
      <c r="D19" s="32"/>
      <c r="E19" s="32"/>
      <c r="F19" s="32"/>
      <c r="G19" s="37"/>
      <c r="H19" s="37"/>
      <c r="I19" s="37"/>
      <c r="J19" s="35"/>
      <c r="K19" s="35"/>
      <c r="L19" s="36"/>
      <c r="M19" s="32"/>
      <c r="N19" s="37"/>
      <c r="O19" s="37"/>
      <c r="P19" s="38"/>
      <c r="Q19" s="32"/>
      <c r="R19" s="32"/>
      <c r="S19" s="32"/>
      <c r="T19" s="39"/>
    </row>
    <row r="20" spans="1:22" ht="15">
      <c r="A20" s="40"/>
      <c r="B20" s="41"/>
      <c r="C20" s="42"/>
      <c r="D20" s="40"/>
      <c r="E20" s="40"/>
      <c r="F20" s="40"/>
      <c r="G20" s="43">
        <f>F20*6%</f>
        <v>0</v>
      </c>
      <c r="H20" s="43"/>
      <c r="I20" s="44">
        <f t="shared" si="4"/>
        <v>0</v>
      </c>
      <c r="J20" s="44">
        <f>S20+T20</f>
        <v>0</v>
      </c>
      <c r="K20" s="44">
        <f t="shared" si="1"/>
        <v>0</v>
      </c>
      <c r="L20" s="45"/>
      <c r="M20" s="40"/>
      <c r="N20" s="43">
        <f>I20-J20-M20-R20</f>
        <v>0</v>
      </c>
      <c r="O20" s="43">
        <f>R20+S20+T20</f>
        <v>0</v>
      </c>
      <c r="P20" s="46"/>
      <c r="Q20" s="40"/>
      <c r="R20" s="47"/>
      <c r="S20" s="47"/>
      <c r="T20" s="48"/>
    </row>
    <row r="21" spans="1:22" ht="15">
      <c r="A21" s="32"/>
      <c r="B21" s="33"/>
      <c r="C21" s="34"/>
      <c r="D21" s="32"/>
      <c r="E21" s="32"/>
      <c r="F21" s="32"/>
      <c r="G21" s="37"/>
      <c r="H21" s="37"/>
      <c r="I21" s="37"/>
      <c r="J21" s="35"/>
      <c r="K21" s="35"/>
      <c r="L21" s="36"/>
      <c r="M21" s="32"/>
      <c r="N21" s="37"/>
      <c r="O21" s="37"/>
      <c r="P21" s="38"/>
      <c r="Q21" s="32"/>
      <c r="R21" s="32"/>
      <c r="S21" s="32"/>
      <c r="T21" s="39"/>
    </row>
    <row r="22" spans="1:22" ht="15">
      <c r="A22" s="40"/>
      <c r="B22" s="41"/>
      <c r="C22" s="42"/>
      <c r="D22" s="40"/>
      <c r="E22" s="40"/>
      <c r="F22" s="40"/>
      <c r="G22" s="43">
        <f>F22*6%</f>
        <v>0</v>
      </c>
      <c r="H22" s="43"/>
      <c r="I22" s="44">
        <f t="shared" si="4"/>
        <v>0</v>
      </c>
      <c r="J22" s="44">
        <f t="shared" si="0"/>
        <v>0</v>
      </c>
      <c r="K22" s="44">
        <f t="shared" si="1"/>
        <v>0</v>
      </c>
      <c r="L22" s="45"/>
      <c r="M22" s="40"/>
      <c r="N22" s="43">
        <f t="shared" si="2"/>
        <v>0</v>
      </c>
      <c r="O22" s="43">
        <f t="shared" si="3"/>
        <v>0</v>
      </c>
      <c r="P22" s="46"/>
      <c r="Q22" s="40"/>
      <c r="R22" s="47"/>
      <c r="S22" s="47"/>
      <c r="T22" s="48"/>
    </row>
    <row r="23" spans="1:22" ht="15">
      <c r="A23" s="32"/>
      <c r="B23" s="33"/>
      <c r="C23" s="34"/>
      <c r="D23" s="32"/>
      <c r="E23" s="32"/>
      <c r="F23" s="32"/>
      <c r="G23" s="37"/>
      <c r="H23" s="37"/>
      <c r="I23" s="37"/>
      <c r="J23" s="35"/>
      <c r="K23" s="35"/>
      <c r="L23" s="36"/>
      <c r="M23" s="32"/>
      <c r="N23" s="37"/>
      <c r="O23" s="37"/>
      <c r="P23" s="38"/>
      <c r="Q23" s="32"/>
      <c r="R23" s="32"/>
      <c r="S23" s="32"/>
      <c r="T23" s="39"/>
    </row>
    <row r="24" spans="1:22" ht="15">
      <c r="A24" s="40"/>
      <c r="B24" s="41"/>
      <c r="C24" s="42"/>
      <c r="D24" s="40"/>
      <c r="E24" s="40"/>
      <c r="F24" s="40"/>
      <c r="G24" s="43">
        <f>F24*6%</f>
        <v>0</v>
      </c>
      <c r="H24" s="43"/>
      <c r="I24" s="44">
        <f t="shared" si="4"/>
        <v>0</v>
      </c>
      <c r="J24" s="44">
        <f t="shared" si="0"/>
        <v>0</v>
      </c>
      <c r="K24" s="44">
        <f t="shared" si="1"/>
        <v>0</v>
      </c>
      <c r="L24" s="45"/>
      <c r="M24" s="40"/>
      <c r="N24" s="43">
        <f t="shared" si="2"/>
        <v>0</v>
      </c>
      <c r="O24" s="43">
        <f t="shared" si="3"/>
        <v>0</v>
      </c>
      <c r="P24" s="46"/>
      <c r="Q24" s="40"/>
      <c r="R24" s="40"/>
      <c r="S24" s="40"/>
      <c r="T24" s="5"/>
    </row>
    <row r="25" spans="1:22" ht="15">
      <c r="A25" s="32"/>
      <c r="B25" s="33"/>
      <c r="C25" s="32"/>
      <c r="D25" s="33"/>
      <c r="E25" s="34"/>
      <c r="F25" s="32"/>
      <c r="G25" s="32"/>
      <c r="H25" s="32"/>
      <c r="I25" s="37"/>
      <c r="J25" s="37"/>
      <c r="K25" s="35"/>
      <c r="L25" s="35"/>
      <c r="M25" s="35"/>
      <c r="N25" s="36"/>
      <c r="O25" s="32"/>
      <c r="P25" s="37"/>
      <c r="Q25" s="37"/>
      <c r="R25" s="38"/>
      <c r="S25" s="32"/>
      <c r="T25" s="39"/>
    </row>
    <row r="26" spans="1:22" ht="15">
      <c r="A26" s="40"/>
      <c r="B26" s="41"/>
      <c r="C26" s="42"/>
      <c r="D26" s="40"/>
      <c r="E26" s="40"/>
      <c r="F26" s="40"/>
      <c r="G26" s="43">
        <f>F26*6%</f>
        <v>0</v>
      </c>
      <c r="H26" s="43"/>
      <c r="I26" s="44">
        <f t="shared" si="4"/>
        <v>0</v>
      </c>
      <c r="J26" s="44">
        <f t="shared" si="0"/>
        <v>0</v>
      </c>
      <c r="K26" s="44">
        <f t="shared" si="1"/>
        <v>0</v>
      </c>
      <c r="L26" s="45"/>
      <c r="M26" s="40"/>
      <c r="N26" s="43">
        <f t="shared" si="2"/>
        <v>0</v>
      </c>
      <c r="O26" s="43">
        <f t="shared" si="3"/>
        <v>0</v>
      </c>
      <c r="P26" s="46"/>
      <c r="Q26" s="40"/>
      <c r="R26" s="40"/>
      <c r="S26" s="40"/>
      <c r="T26" s="5"/>
    </row>
    <row r="27" spans="1:22" ht="15">
      <c r="A27" s="32"/>
      <c r="B27" s="33"/>
      <c r="C27" s="32"/>
      <c r="D27" s="33"/>
      <c r="E27" s="34"/>
      <c r="F27" s="32"/>
      <c r="G27" s="32"/>
      <c r="H27" s="32"/>
      <c r="I27" s="37"/>
      <c r="J27" s="37"/>
      <c r="K27" s="35"/>
      <c r="L27" s="35"/>
      <c r="M27" s="35"/>
      <c r="N27" s="36"/>
      <c r="O27" s="32"/>
      <c r="P27" s="37"/>
      <c r="Q27" s="37"/>
      <c r="R27" s="38"/>
      <c r="S27" s="32"/>
      <c r="T27" s="39"/>
      <c r="U27" s="6"/>
      <c r="V27" s="6"/>
    </row>
    <row r="28" spans="1:22" ht="15">
      <c r="A28" s="40"/>
      <c r="B28" s="41"/>
      <c r="C28" s="42"/>
      <c r="D28" s="40"/>
      <c r="E28" s="40"/>
      <c r="F28" s="40"/>
      <c r="G28" s="43">
        <f>F28*6%</f>
        <v>0</v>
      </c>
      <c r="H28" s="43"/>
      <c r="I28" s="44">
        <f t="shared" si="4"/>
        <v>0</v>
      </c>
      <c r="J28" s="44">
        <f t="shared" si="0"/>
        <v>0</v>
      </c>
      <c r="K28" s="44">
        <f t="shared" si="1"/>
        <v>0</v>
      </c>
      <c r="L28" s="45"/>
      <c r="M28" s="40"/>
      <c r="N28" s="43">
        <f t="shared" si="2"/>
        <v>0</v>
      </c>
      <c r="O28" s="43">
        <f t="shared" si="3"/>
        <v>0</v>
      </c>
      <c r="P28" s="46"/>
      <c r="Q28" s="40"/>
      <c r="R28" s="40"/>
      <c r="S28" s="40"/>
      <c r="T28" s="5"/>
    </row>
    <row r="29" spans="1:22" ht="15">
      <c r="A29" s="32"/>
      <c r="B29" s="33"/>
      <c r="C29" s="32"/>
      <c r="D29" s="33"/>
      <c r="E29" s="34"/>
      <c r="F29" s="32"/>
      <c r="G29" s="32"/>
      <c r="H29" s="32"/>
      <c r="I29" s="37"/>
      <c r="J29" s="37"/>
      <c r="K29" s="35"/>
      <c r="L29" s="35"/>
      <c r="M29" s="35"/>
      <c r="N29" s="36"/>
      <c r="O29" s="32"/>
      <c r="P29" s="37"/>
      <c r="Q29" s="37"/>
      <c r="R29" s="38"/>
      <c r="S29" s="32"/>
      <c r="T29" s="39"/>
      <c r="U29" s="6"/>
      <c r="V29" s="6"/>
    </row>
    <row r="30" spans="1:22" ht="15">
      <c r="A30" s="40"/>
      <c r="B30" s="41"/>
      <c r="C30" s="42"/>
      <c r="D30" s="40"/>
      <c r="E30" s="40"/>
      <c r="F30" s="40"/>
      <c r="G30" s="43">
        <f>F30*6%</f>
        <v>0</v>
      </c>
      <c r="H30" s="43"/>
      <c r="I30" s="44">
        <f t="shared" si="4"/>
        <v>0</v>
      </c>
      <c r="J30" s="44">
        <f t="shared" si="0"/>
        <v>0</v>
      </c>
      <c r="K30" s="44">
        <f t="shared" si="1"/>
        <v>0</v>
      </c>
      <c r="L30" s="45"/>
      <c r="M30" s="40"/>
      <c r="N30" s="43">
        <f t="shared" si="2"/>
        <v>0</v>
      </c>
      <c r="O30" s="43">
        <f t="shared" si="3"/>
        <v>0</v>
      </c>
      <c r="P30" s="46"/>
      <c r="Q30" s="40"/>
      <c r="R30" s="40"/>
      <c r="S30" s="40"/>
      <c r="T30" s="5"/>
    </row>
    <row r="31" spans="1:22" ht="15">
      <c r="A31" s="32"/>
      <c r="B31" s="33"/>
      <c r="C31" s="32"/>
      <c r="D31" s="33"/>
      <c r="E31" s="34"/>
      <c r="F31" s="32"/>
      <c r="G31" s="32"/>
      <c r="H31" s="32"/>
      <c r="I31" s="37"/>
      <c r="J31" s="37"/>
      <c r="K31" s="35"/>
      <c r="L31" s="35"/>
      <c r="M31" s="35"/>
      <c r="N31" s="36"/>
      <c r="O31" s="32"/>
      <c r="P31" s="37"/>
      <c r="Q31" s="37"/>
      <c r="R31" s="38"/>
      <c r="S31" s="32"/>
      <c r="T31" s="39"/>
      <c r="U31" s="6"/>
      <c r="V31" s="6"/>
    </row>
    <row r="32" spans="1:22" ht="15">
      <c r="A32" s="40"/>
      <c r="B32" s="41"/>
      <c r="C32" s="42"/>
      <c r="D32" s="40"/>
      <c r="E32" s="40"/>
      <c r="F32" s="40"/>
      <c r="G32" s="43">
        <f>F32*6%</f>
        <v>0</v>
      </c>
      <c r="H32" s="43"/>
      <c r="I32" s="44">
        <f t="shared" si="4"/>
        <v>0</v>
      </c>
      <c r="J32" s="44">
        <f t="shared" si="0"/>
        <v>0</v>
      </c>
      <c r="K32" s="44">
        <f t="shared" si="1"/>
        <v>0</v>
      </c>
      <c r="L32" s="45"/>
      <c r="M32" s="40"/>
      <c r="N32" s="43">
        <f t="shared" si="2"/>
        <v>0</v>
      </c>
      <c r="O32" s="43">
        <f t="shared" si="3"/>
        <v>0</v>
      </c>
      <c r="P32" s="46"/>
      <c r="Q32" s="40"/>
      <c r="R32" s="40"/>
      <c r="S32" s="40"/>
      <c r="T32" s="5"/>
    </row>
    <row r="33" spans="1:22" ht="15">
      <c r="A33" s="32"/>
      <c r="B33" s="33"/>
      <c r="C33" s="32"/>
      <c r="D33" s="33"/>
      <c r="E33" s="34"/>
      <c r="F33" s="32"/>
      <c r="G33" s="32"/>
      <c r="H33" s="32"/>
      <c r="I33" s="37"/>
      <c r="J33" s="37"/>
      <c r="K33" s="35"/>
      <c r="L33" s="35"/>
      <c r="M33" s="35"/>
      <c r="N33" s="36"/>
      <c r="O33" s="32"/>
      <c r="P33" s="37"/>
      <c r="Q33" s="37"/>
      <c r="R33" s="38"/>
      <c r="S33" s="32"/>
      <c r="T33" s="39"/>
      <c r="U33" s="6"/>
      <c r="V33" s="6"/>
    </row>
    <row r="34" spans="1:22" ht="15">
      <c r="A34" s="40"/>
      <c r="B34" s="41"/>
      <c r="C34" s="42"/>
      <c r="D34" s="40"/>
      <c r="E34" s="40"/>
      <c r="F34" s="40"/>
      <c r="G34" s="43">
        <f>F34*6%</f>
        <v>0</v>
      </c>
      <c r="H34" s="43"/>
      <c r="I34" s="44">
        <f t="shared" si="4"/>
        <v>0</v>
      </c>
      <c r="J34" s="44">
        <f t="shared" si="0"/>
        <v>0</v>
      </c>
      <c r="K34" s="44">
        <f t="shared" si="1"/>
        <v>0</v>
      </c>
      <c r="L34" s="45"/>
      <c r="M34" s="40"/>
      <c r="N34" s="43">
        <f t="shared" si="2"/>
        <v>0</v>
      </c>
      <c r="O34" s="43">
        <f t="shared" si="3"/>
        <v>0</v>
      </c>
      <c r="P34" s="46"/>
      <c r="Q34" s="40"/>
      <c r="R34" s="40"/>
      <c r="S34" s="40"/>
      <c r="T34" s="5"/>
    </row>
    <row r="35" spans="1:22" ht="15">
      <c r="A35" s="32"/>
      <c r="B35" s="33"/>
      <c r="C35" s="32"/>
      <c r="D35" s="33"/>
      <c r="E35" s="34"/>
      <c r="F35" s="32"/>
      <c r="G35" s="32"/>
      <c r="H35" s="32"/>
      <c r="I35" s="37"/>
      <c r="J35" s="37"/>
      <c r="K35" s="35"/>
      <c r="L35" s="35"/>
      <c r="M35" s="35"/>
      <c r="N35" s="36"/>
      <c r="O35" s="32"/>
      <c r="P35" s="37"/>
      <c r="Q35" s="37"/>
      <c r="R35" s="38"/>
      <c r="S35" s="32"/>
      <c r="T35" s="39"/>
      <c r="U35" s="6"/>
      <c r="V35" s="6"/>
    </row>
    <row r="36" spans="1:22" ht="15">
      <c r="A36" s="40"/>
      <c r="B36" s="41"/>
      <c r="C36" s="42"/>
      <c r="D36" s="40"/>
      <c r="E36" s="40"/>
      <c r="F36" s="40"/>
      <c r="G36" s="43">
        <f>F36*6%</f>
        <v>0</v>
      </c>
      <c r="H36" s="43"/>
      <c r="I36" s="44">
        <f t="shared" si="4"/>
        <v>0</v>
      </c>
      <c r="J36" s="44">
        <f t="shared" si="0"/>
        <v>0</v>
      </c>
      <c r="K36" s="44">
        <f t="shared" si="1"/>
        <v>0</v>
      </c>
      <c r="L36" s="45"/>
      <c r="M36" s="40"/>
      <c r="N36" s="43">
        <f t="shared" si="2"/>
        <v>0</v>
      </c>
      <c r="O36" s="43">
        <f t="shared" si="3"/>
        <v>0</v>
      </c>
      <c r="P36" s="46"/>
      <c r="Q36" s="40"/>
      <c r="R36" s="40"/>
      <c r="S36" s="40"/>
      <c r="T36" s="5"/>
    </row>
    <row r="37" spans="1:22" ht="15">
      <c r="A37" s="32"/>
      <c r="B37" s="33"/>
      <c r="C37" s="32"/>
      <c r="D37" s="33"/>
      <c r="E37" s="34"/>
      <c r="F37" s="32"/>
      <c r="G37" s="32"/>
      <c r="H37" s="32"/>
      <c r="I37" s="37"/>
      <c r="J37" s="37"/>
      <c r="K37" s="35"/>
      <c r="L37" s="35"/>
      <c r="M37" s="35"/>
      <c r="N37" s="36"/>
      <c r="O37" s="32"/>
      <c r="P37" s="37"/>
      <c r="Q37" s="37"/>
      <c r="R37" s="38"/>
      <c r="S37" s="32"/>
      <c r="T37" s="39"/>
      <c r="U37" s="6"/>
      <c r="V37" s="6"/>
    </row>
    <row r="38" spans="1:22" ht="15">
      <c r="A38" s="40"/>
      <c r="B38" s="41"/>
      <c r="C38" s="42"/>
      <c r="D38" s="40"/>
      <c r="E38" s="40"/>
      <c r="F38" s="40"/>
      <c r="G38" s="43">
        <f>F38*6%</f>
        <v>0</v>
      </c>
      <c r="H38" s="43"/>
      <c r="I38" s="44">
        <f t="shared" si="4"/>
        <v>0</v>
      </c>
      <c r="J38" s="44">
        <f t="shared" si="0"/>
        <v>0</v>
      </c>
      <c r="K38" s="44">
        <f t="shared" si="1"/>
        <v>0</v>
      </c>
      <c r="L38" s="45"/>
      <c r="M38" s="40"/>
      <c r="N38" s="43">
        <f t="shared" si="2"/>
        <v>0</v>
      </c>
      <c r="O38" s="43">
        <f t="shared" si="3"/>
        <v>0</v>
      </c>
      <c r="P38" s="46"/>
      <c r="Q38" s="40"/>
      <c r="R38" s="40"/>
      <c r="S38" s="40"/>
      <c r="T38" s="5"/>
    </row>
    <row r="39" spans="1:22" ht="15">
      <c r="A39" s="32"/>
      <c r="B39" s="33"/>
      <c r="C39" s="32"/>
      <c r="D39" s="33"/>
      <c r="E39" s="34"/>
      <c r="F39" s="32"/>
      <c r="G39" s="32"/>
      <c r="H39" s="32"/>
      <c r="I39" s="37"/>
      <c r="J39" s="37"/>
      <c r="K39" s="35"/>
      <c r="L39" s="35"/>
      <c r="M39" s="35"/>
      <c r="N39" s="36"/>
      <c r="O39" s="32"/>
      <c r="P39" s="37"/>
      <c r="Q39" s="37"/>
      <c r="R39" s="38"/>
      <c r="S39" s="32"/>
      <c r="T39" s="39"/>
      <c r="U39" s="6"/>
      <c r="V39" s="6"/>
    </row>
    <row r="40" spans="1:22" ht="15">
      <c r="A40" s="40"/>
      <c r="B40" s="41"/>
      <c r="C40" s="42"/>
      <c r="D40" s="40"/>
      <c r="E40" s="40"/>
      <c r="F40" s="40"/>
      <c r="G40" s="43">
        <f>F40*6%</f>
        <v>0</v>
      </c>
      <c r="H40" s="43"/>
      <c r="I40" s="44">
        <f t="shared" si="4"/>
        <v>0</v>
      </c>
      <c r="J40" s="44">
        <f t="shared" si="0"/>
        <v>0</v>
      </c>
      <c r="K40" s="44">
        <f t="shared" si="1"/>
        <v>0</v>
      </c>
      <c r="L40" s="45"/>
      <c r="M40" s="40"/>
      <c r="N40" s="43">
        <f t="shared" si="2"/>
        <v>0</v>
      </c>
      <c r="O40" s="43">
        <f t="shared" si="3"/>
        <v>0</v>
      </c>
      <c r="P40" s="46"/>
      <c r="Q40" s="40"/>
      <c r="R40" s="40"/>
      <c r="S40" s="40"/>
      <c r="T40" s="5"/>
    </row>
    <row r="41" spans="1:22" ht="15">
      <c r="A41" s="32"/>
      <c r="B41" s="33"/>
      <c r="C41" s="32"/>
      <c r="D41" s="33"/>
      <c r="E41" s="34"/>
      <c r="F41" s="32"/>
      <c r="G41" s="32"/>
      <c r="H41" s="32"/>
      <c r="I41" s="37"/>
      <c r="J41" s="37"/>
      <c r="K41" s="35"/>
      <c r="L41" s="35"/>
      <c r="M41" s="35"/>
      <c r="N41" s="36"/>
      <c r="O41" s="32"/>
      <c r="P41" s="37"/>
      <c r="Q41" s="37"/>
      <c r="R41" s="38"/>
      <c r="S41" s="32"/>
      <c r="T41" s="39"/>
      <c r="U41" s="6"/>
      <c r="V41" s="6"/>
    </row>
    <row r="42" spans="1:22" ht="15">
      <c r="A42" s="40"/>
      <c r="B42" s="41"/>
      <c r="C42" s="42"/>
      <c r="D42" s="40"/>
      <c r="E42" s="40"/>
      <c r="F42" s="40"/>
      <c r="G42" s="43">
        <f>F42*6%</f>
        <v>0</v>
      </c>
      <c r="H42" s="43"/>
      <c r="I42" s="44">
        <f t="shared" si="4"/>
        <v>0</v>
      </c>
      <c r="J42" s="44">
        <f t="shared" si="0"/>
        <v>0</v>
      </c>
      <c r="K42" s="44">
        <f t="shared" si="1"/>
        <v>0</v>
      </c>
      <c r="L42" s="45"/>
      <c r="M42" s="40"/>
      <c r="N42" s="43">
        <f t="shared" si="2"/>
        <v>0</v>
      </c>
      <c r="O42" s="43">
        <f t="shared" si="3"/>
        <v>0</v>
      </c>
      <c r="P42" s="46"/>
      <c r="Q42" s="40"/>
      <c r="R42" s="40"/>
      <c r="S42" s="40"/>
      <c r="T42" s="5"/>
    </row>
    <row r="43" spans="1:22" ht="15">
      <c r="A43" s="32"/>
      <c r="B43" s="33"/>
      <c r="C43" s="32"/>
      <c r="D43" s="33"/>
      <c r="E43" s="34"/>
      <c r="F43" s="32"/>
      <c r="G43" s="32"/>
      <c r="H43" s="32"/>
      <c r="I43" s="37"/>
      <c r="J43" s="37"/>
      <c r="K43" s="35"/>
      <c r="L43" s="35"/>
      <c r="M43" s="35"/>
      <c r="N43" s="36"/>
      <c r="O43" s="32"/>
      <c r="P43" s="37"/>
      <c r="Q43" s="37"/>
      <c r="R43" s="38"/>
      <c r="S43" s="32"/>
      <c r="T43" s="39"/>
      <c r="U43" s="6"/>
      <c r="V43" s="6"/>
    </row>
    <row r="44" spans="1:22" ht="15">
      <c r="A44" s="40"/>
      <c r="B44" s="41"/>
      <c r="C44" s="42"/>
      <c r="D44" s="40"/>
      <c r="E44" s="40"/>
      <c r="F44" s="40"/>
      <c r="G44" s="43">
        <f>F44*6%</f>
        <v>0</v>
      </c>
      <c r="H44" s="43"/>
      <c r="I44" s="44">
        <f t="shared" si="4"/>
        <v>0</v>
      </c>
      <c r="J44" s="44">
        <f t="shared" si="0"/>
        <v>0</v>
      </c>
      <c r="K44" s="44">
        <f t="shared" si="1"/>
        <v>0</v>
      </c>
      <c r="L44" s="45"/>
      <c r="M44" s="40"/>
      <c r="N44" s="43">
        <f t="shared" si="2"/>
        <v>0</v>
      </c>
      <c r="O44" s="43">
        <f t="shared" si="3"/>
        <v>0</v>
      </c>
      <c r="P44" s="46"/>
      <c r="Q44" s="40"/>
      <c r="R44" s="40"/>
      <c r="S44" s="40"/>
      <c r="T44" s="5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602" priority="70" operator="containsText" text="SIN FACTURA ">
      <formula>NOT(ISERROR(SEARCH("SIN FACTURA ",A2)))</formula>
    </cfRule>
  </conditionalFormatting>
  <conditionalFormatting sqref="J19:T19 J17:T17 J15:T15 J13:T13 J11:T11 J9:T9 A11:H11 A13:H13 A15:H15 A17:H17 A19:H19 I6:I19 A9:C9 G9:H9 A7:T7 L5:T5 A4:T4">
    <cfRule type="containsText" dxfId="601" priority="69" operator="containsText" text="SIN FACTURA">
      <formula>NOT(ISERROR(SEARCH("SIN FACTURA",A4)))</formula>
    </cfRule>
  </conditionalFormatting>
  <conditionalFormatting sqref="C6:H6 J6:V6">
    <cfRule type="containsText" dxfId="600" priority="63" operator="containsText" text="SIN FACTURA">
      <formula>NOT(ISERROR(SEARCH("SIN FACTURA",C6)))</formula>
    </cfRule>
  </conditionalFormatting>
  <conditionalFormatting sqref="C8:H8 J8:V8">
    <cfRule type="containsText" dxfId="599" priority="62" operator="containsText" text="SIN FACTURA">
      <formula>NOT(ISERROR(SEARCH("SIN FACTURA",C8)))</formula>
    </cfRule>
  </conditionalFormatting>
  <conditionalFormatting sqref="C10:H10 J10:V10">
    <cfRule type="containsText" dxfId="598" priority="61" operator="containsText" text="SIN FACTURA">
      <formula>NOT(ISERROR(SEARCH("SIN FACTURA",C10)))</formula>
    </cfRule>
  </conditionalFormatting>
  <conditionalFormatting sqref="C12:H12 J12:V12">
    <cfRule type="containsText" dxfId="597" priority="60" operator="containsText" text="SIN FACTURA">
      <formula>NOT(ISERROR(SEARCH("SIN FACTURA",C12)))</formula>
    </cfRule>
  </conditionalFormatting>
  <conditionalFormatting sqref="C14:H14 J14:V14">
    <cfRule type="containsText" dxfId="596" priority="59" operator="containsText" text="SIN FACTURA">
      <formula>NOT(ISERROR(SEARCH("SIN FACTURA",C14)))</formula>
    </cfRule>
  </conditionalFormatting>
  <conditionalFormatting sqref="C16:H16 J16:V16">
    <cfRule type="containsText" dxfId="595" priority="58" operator="containsText" text="SIN FACTURA">
      <formula>NOT(ISERROR(SEARCH("SIN FACTURA",C16)))</formula>
    </cfRule>
  </conditionalFormatting>
  <conditionalFormatting sqref="C18:H18 J18:V18">
    <cfRule type="containsText" dxfId="594" priority="57" operator="containsText" text="SIN FACTURA">
      <formula>NOT(ISERROR(SEARCH("SIN FACTURA",C18)))</formula>
    </cfRule>
  </conditionalFormatting>
  <conditionalFormatting sqref="A6:B6">
    <cfRule type="containsText" dxfId="593" priority="51" operator="containsText" text="SIN FACTURA">
      <formula>NOT(ISERROR(SEARCH("SIN FACTURA",A6)))</formula>
    </cfRule>
  </conditionalFormatting>
  <conditionalFormatting sqref="A18:B18">
    <cfRule type="containsText" dxfId="592" priority="45" operator="containsText" text="SIN FACTURA">
      <formula>NOT(ISERROR(SEARCH("SIN FACTURA",A18)))</formula>
    </cfRule>
  </conditionalFormatting>
  <conditionalFormatting sqref="A8:B8">
    <cfRule type="containsText" dxfId="591" priority="50" operator="containsText" text="SIN FACTURA">
      <formula>NOT(ISERROR(SEARCH("SIN FACTURA",A8)))</formula>
    </cfRule>
  </conditionalFormatting>
  <conditionalFormatting sqref="A10:B10">
    <cfRule type="containsText" dxfId="590" priority="49" operator="containsText" text="SIN FACTURA">
      <formula>NOT(ISERROR(SEARCH("SIN FACTURA",A10)))</formula>
    </cfRule>
  </conditionalFormatting>
  <conditionalFormatting sqref="A12:B12">
    <cfRule type="containsText" dxfId="589" priority="48" operator="containsText" text="SIN FACTURA">
      <formula>NOT(ISERROR(SEARCH("SIN FACTURA",A12)))</formula>
    </cfRule>
  </conditionalFormatting>
  <conditionalFormatting sqref="A14:B14">
    <cfRule type="containsText" dxfId="588" priority="47" operator="containsText" text="SIN FACTURA">
      <formula>NOT(ISERROR(SEARCH("SIN FACTURA",A14)))</formula>
    </cfRule>
  </conditionalFormatting>
  <conditionalFormatting sqref="A16:B16">
    <cfRule type="containsText" dxfId="587" priority="46" operator="containsText" text="SIN FACTURA">
      <formula>NOT(ISERROR(SEARCH("SIN FACTURA",A16)))</formula>
    </cfRule>
  </conditionalFormatting>
  <conditionalFormatting sqref="A5:K5">
    <cfRule type="containsText" dxfId="586" priority="25" operator="containsText" text="SIN FACTURA">
      <formula>NOT(ISERROR(SEARCH("SIN FACTURA",A5)))</formula>
    </cfRule>
  </conditionalFormatting>
  <conditionalFormatting sqref="D9:F9">
    <cfRule type="containsText" dxfId="585" priority="24" operator="containsText" text="SIN FACTURA">
      <formula>NOT(ISERROR(SEARCH("SIN FACTURA",D9)))</formula>
    </cfRule>
  </conditionalFormatting>
  <conditionalFormatting sqref="A5:T6 J44:T44 J42:T42 J40:T40 J38:T38 J36:T36 J34:T34 J32:T32 J30:T30 J28:T28 J26:T26 J16:T24 J7:T14 I7:I44 A7:H14 A16:H24 A26:H26 A28:H28 A30:H30 A32:H32 A34:H34 A36:H36 A38:H38 A40:H40 A42:H42 A44:H44">
    <cfRule type="containsText" dxfId="584" priority="23" operator="containsText" text="SIN FACTURA">
      <formula>NOT(ISERROR(SEARCH("SIN FACTURA",A5)))</formula>
    </cfRule>
  </conditionalFormatting>
  <conditionalFormatting sqref="C15:H15 J15:V15">
    <cfRule type="containsText" dxfId="583" priority="22" operator="containsText" text="SIN FACTURA">
      <formula>NOT(ISERROR(SEARCH("SIN FACTURA",C15)))</formula>
    </cfRule>
  </conditionalFormatting>
  <conditionalFormatting sqref="C25:H25 J25:V25">
    <cfRule type="containsText" dxfId="582" priority="21" operator="containsText" text="SIN FACTURA">
      <formula>NOT(ISERROR(SEARCH("SIN FACTURA",C25)))</formula>
    </cfRule>
  </conditionalFormatting>
  <conditionalFormatting sqref="C27:H27 J27:V27">
    <cfRule type="containsText" dxfId="581" priority="20" operator="containsText" text="SIN FACTURA">
      <formula>NOT(ISERROR(SEARCH("SIN FACTURA",C27)))</formula>
    </cfRule>
  </conditionalFormatting>
  <conditionalFormatting sqref="C29:H29 J29:V29">
    <cfRule type="containsText" dxfId="580" priority="19" operator="containsText" text="SIN FACTURA">
      <formula>NOT(ISERROR(SEARCH("SIN FACTURA",C29)))</formula>
    </cfRule>
  </conditionalFormatting>
  <conditionalFormatting sqref="C31:H31 J31:V31">
    <cfRule type="containsText" dxfId="579" priority="18" operator="containsText" text="SIN FACTURA">
      <formula>NOT(ISERROR(SEARCH("SIN FACTURA",C31)))</formula>
    </cfRule>
  </conditionalFormatting>
  <conditionalFormatting sqref="C33:H33 J33:V33">
    <cfRule type="containsText" dxfId="578" priority="17" operator="containsText" text="SIN FACTURA">
      <formula>NOT(ISERROR(SEARCH("SIN FACTURA",C33)))</formula>
    </cfRule>
  </conditionalFormatting>
  <conditionalFormatting sqref="C35:H35 J35:V35">
    <cfRule type="containsText" dxfId="577" priority="16" operator="containsText" text="SIN FACTURA">
      <formula>NOT(ISERROR(SEARCH("SIN FACTURA",C35)))</formula>
    </cfRule>
  </conditionalFormatting>
  <conditionalFormatting sqref="C37:H37 J37:V37">
    <cfRule type="containsText" dxfId="576" priority="15" operator="containsText" text="SIN FACTURA">
      <formula>NOT(ISERROR(SEARCH("SIN FACTURA",C37)))</formula>
    </cfRule>
  </conditionalFormatting>
  <conditionalFormatting sqref="C39:H39 J39:V39">
    <cfRule type="containsText" dxfId="575" priority="14" operator="containsText" text="SIN FACTURA">
      <formula>NOT(ISERROR(SEARCH("SIN FACTURA",C39)))</formula>
    </cfRule>
  </conditionalFormatting>
  <conditionalFormatting sqref="C41:H41 J41:V41">
    <cfRule type="containsText" dxfId="574" priority="13" operator="containsText" text="SIN FACTURA">
      <formula>NOT(ISERROR(SEARCH("SIN FACTURA",C41)))</formula>
    </cfRule>
  </conditionalFormatting>
  <conditionalFormatting sqref="C43:H43 J43:V43">
    <cfRule type="containsText" dxfId="573" priority="12" operator="containsText" text="SIN FACTURA">
      <formula>NOT(ISERROR(SEARCH("SIN FACTURA",C43)))</formula>
    </cfRule>
  </conditionalFormatting>
  <conditionalFormatting sqref="A15:B15">
    <cfRule type="containsText" dxfId="572" priority="11" operator="containsText" text="SIN FACTURA">
      <formula>NOT(ISERROR(SEARCH("SIN FACTURA",A15)))</formula>
    </cfRule>
  </conditionalFormatting>
  <conditionalFormatting sqref="A25:B25">
    <cfRule type="containsText" dxfId="571" priority="10" operator="containsText" text="SIN FACTURA">
      <formula>NOT(ISERROR(SEARCH("SIN FACTURA",A25)))</formula>
    </cfRule>
  </conditionalFormatting>
  <conditionalFormatting sqref="A27:B27">
    <cfRule type="containsText" dxfId="570" priority="9" operator="containsText" text="SIN FACTURA">
      <formula>NOT(ISERROR(SEARCH("SIN FACTURA",A27)))</formula>
    </cfRule>
  </conditionalFormatting>
  <conditionalFormatting sqref="A29:B29">
    <cfRule type="containsText" dxfId="569" priority="8" operator="containsText" text="SIN FACTURA">
      <formula>NOT(ISERROR(SEARCH("SIN FACTURA",A29)))</formula>
    </cfRule>
  </conditionalFormatting>
  <conditionalFormatting sqref="A31:B31">
    <cfRule type="containsText" dxfId="568" priority="7" operator="containsText" text="SIN FACTURA">
      <formula>NOT(ISERROR(SEARCH("SIN FACTURA",A31)))</formula>
    </cfRule>
  </conditionalFormatting>
  <conditionalFormatting sqref="A33:B33">
    <cfRule type="containsText" dxfId="567" priority="6" operator="containsText" text="SIN FACTURA">
      <formula>NOT(ISERROR(SEARCH("SIN FACTURA",A33)))</formula>
    </cfRule>
  </conditionalFormatting>
  <conditionalFormatting sqref="A35:B35">
    <cfRule type="containsText" dxfId="566" priority="5" operator="containsText" text="SIN FACTURA">
      <formula>NOT(ISERROR(SEARCH("SIN FACTURA",A35)))</formula>
    </cfRule>
  </conditionalFormatting>
  <conditionalFormatting sqref="A37:B37">
    <cfRule type="containsText" dxfId="565" priority="4" operator="containsText" text="SIN FACTURA">
      <formula>NOT(ISERROR(SEARCH("SIN FACTURA",A37)))</formula>
    </cfRule>
  </conditionalFormatting>
  <conditionalFormatting sqref="A39:B39">
    <cfRule type="containsText" dxfId="564" priority="3" operator="containsText" text="SIN FACTURA">
      <formula>NOT(ISERROR(SEARCH("SIN FACTURA",A39)))</formula>
    </cfRule>
  </conditionalFormatting>
  <conditionalFormatting sqref="A41:B41">
    <cfRule type="containsText" dxfId="563" priority="2" operator="containsText" text="SIN FACTURA">
      <formula>NOT(ISERROR(SEARCH("SIN FACTURA",A41)))</formula>
    </cfRule>
  </conditionalFormatting>
  <conditionalFormatting sqref="A43:B43">
    <cfRule type="containsText" dxfId="562" priority="1" operator="containsText" text="SIN FACTURA">
      <formula>NOT(ISERROR(SEARCH("SIN FACTURA",A43)))</formula>
    </cfRule>
  </conditionalFormatting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>
  <sheetPr codeName="Hoja73"/>
  <dimension ref="A1:Y27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24"/>
    </sheetView>
  </sheetViews>
  <sheetFormatPr baseColWidth="10" defaultColWidth="10.875" defaultRowHeight="15.75"/>
  <cols>
    <col min="1" max="1" width="19.875" style="1" customWidth="1"/>
    <col min="2" max="2" width="10.875" style="2"/>
    <col min="4" max="4" width="9.625" style="9" customWidth="1"/>
    <col min="5" max="5" width="10" style="1" customWidth="1"/>
    <col min="6" max="6" width="9.375" style="9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162</v>
      </c>
      <c r="B1" s="18" t="s">
        <v>46</v>
      </c>
      <c r="C1" s="20"/>
      <c r="D1" s="5"/>
      <c r="E1" s="11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3"/>
      <c r="E5" s="43"/>
      <c r="F5" s="43"/>
      <c r="G5" s="43">
        <f>F5*6%</f>
        <v>0</v>
      </c>
      <c r="H5" s="43"/>
      <c r="I5" s="44">
        <f t="shared" ref="I5:I27" si="0">F5-G5-H5</f>
        <v>0</v>
      </c>
      <c r="J5" s="44">
        <v>88.28</v>
      </c>
      <c r="K5" s="44">
        <f t="shared" ref="K5:K27" si="1">I5-J5</f>
        <v>-88.28</v>
      </c>
      <c r="L5" s="45"/>
      <c r="M5" s="40"/>
      <c r="N5" s="43"/>
      <c r="O5" s="43"/>
      <c r="P5" s="46"/>
      <c r="Q5" s="40"/>
      <c r="R5" s="40"/>
      <c r="S5" s="40"/>
      <c r="T5" s="5"/>
    </row>
    <row r="6" spans="1:25" ht="15">
      <c r="A6" s="32"/>
      <c r="B6" s="33"/>
      <c r="C6" s="32"/>
      <c r="D6" s="33"/>
      <c r="E6" s="34"/>
      <c r="F6" s="32"/>
      <c r="G6" s="37"/>
      <c r="H6" s="32"/>
      <c r="I6" s="37"/>
      <c r="J6" s="37"/>
      <c r="K6" s="35"/>
      <c r="L6" s="35"/>
      <c r="M6" s="35"/>
      <c r="N6" s="36"/>
      <c r="O6" s="32"/>
      <c r="P6" s="37"/>
      <c r="Q6" s="37"/>
      <c r="R6" s="38"/>
      <c r="S6" s="32"/>
      <c r="T6" s="39"/>
    </row>
    <row r="7" spans="1:25" ht="15">
      <c r="A7" s="40"/>
      <c r="B7" s="41"/>
      <c r="C7" s="42"/>
      <c r="D7" s="43"/>
      <c r="E7" s="43"/>
      <c r="F7" s="43"/>
      <c r="G7" s="43">
        <f>F7*6%</f>
        <v>0</v>
      </c>
      <c r="H7" s="43"/>
      <c r="I7" s="44">
        <f t="shared" si="0"/>
        <v>0</v>
      </c>
      <c r="J7" s="44">
        <f t="shared" ref="J7:J27" si="2">S7+T7</f>
        <v>0</v>
      </c>
      <c r="K7" s="44">
        <f t="shared" si="1"/>
        <v>0</v>
      </c>
      <c r="L7" s="45"/>
      <c r="M7" s="40"/>
      <c r="N7" s="43">
        <f t="shared" ref="N7:N27" si="3">I7-J7-M7-R7</f>
        <v>0</v>
      </c>
      <c r="O7" s="43">
        <f t="shared" ref="O7:O27" si="4">R7+S7+T7</f>
        <v>0</v>
      </c>
      <c r="P7" s="46"/>
      <c r="Q7" s="40"/>
      <c r="R7" s="40"/>
      <c r="S7" s="40"/>
      <c r="T7" s="5"/>
    </row>
    <row r="8" spans="1:25" ht="15">
      <c r="A8" s="32"/>
      <c r="B8" s="33"/>
      <c r="C8" s="32"/>
      <c r="D8" s="37"/>
      <c r="E8" s="35"/>
      <c r="F8" s="37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  <c r="U8" s="6"/>
      <c r="V8" s="6"/>
    </row>
    <row r="9" spans="1:25" ht="15">
      <c r="A9" s="40"/>
      <c r="B9" s="41"/>
      <c r="C9" s="42"/>
      <c r="D9" s="43"/>
      <c r="E9" s="43"/>
      <c r="F9" s="43"/>
      <c r="G9" s="43">
        <f>F9*6%</f>
        <v>0</v>
      </c>
      <c r="H9" s="43"/>
      <c r="I9" s="44">
        <f t="shared" si="0"/>
        <v>0</v>
      </c>
      <c r="J9" s="44">
        <f t="shared" si="2"/>
        <v>0</v>
      </c>
      <c r="K9" s="44">
        <f t="shared" si="1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7"/>
      <c r="E10" s="35"/>
      <c r="F10" s="37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  <c r="U10" s="6"/>
      <c r="V10" s="6"/>
    </row>
    <row r="11" spans="1:25" ht="15">
      <c r="A11" s="40"/>
      <c r="B11" s="41"/>
      <c r="C11" s="42"/>
      <c r="D11" s="43"/>
      <c r="E11" s="43"/>
      <c r="F11" s="43"/>
      <c r="G11" s="43">
        <f>F11*6%</f>
        <v>0</v>
      </c>
      <c r="H11" s="43"/>
      <c r="I11" s="44">
        <f t="shared" si="0"/>
        <v>0</v>
      </c>
      <c r="J11" s="44">
        <f t="shared" si="2"/>
        <v>0</v>
      </c>
      <c r="K11" s="44">
        <f t="shared" si="1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7"/>
      <c r="E12" s="35"/>
      <c r="F12" s="37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3"/>
      <c r="E13" s="43"/>
      <c r="F13" s="43"/>
      <c r="G13" s="43">
        <f>F13*6%</f>
        <v>0</v>
      </c>
      <c r="H13" s="43"/>
      <c r="I13" s="44">
        <f t="shared" si="0"/>
        <v>0</v>
      </c>
      <c r="J13" s="44">
        <f t="shared" si="2"/>
        <v>0</v>
      </c>
      <c r="K13" s="44">
        <f t="shared" si="1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3"/>
      <c r="E15" s="43"/>
      <c r="F15" s="43"/>
      <c r="G15" s="43">
        <f>F15*6%</f>
        <v>0</v>
      </c>
      <c r="H15" s="43"/>
      <c r="I15" s="44">
        <f t="shared" si="0"/>
        <v>0</v>
      </c>
      <c r="J15" s="44">
        <f t="shared" si="2"/>
        <v>0</v>
      </c>
      <c r="K15" s="44">
        <f t="shared" si="1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2"/>
        <v>0</v>
      </c>
      <c r="K17" s="44">
        <f t="shared" si="1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2"/>
        <v>0</v>
      </c>
      <c r="K19" s="44">
        <f t="shared" si="1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2"/>
        <v>0</v>
      </c>
      <c r="K21" s="44">
        <f t="shared" si="1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2"/>
        <v>0</v>
      </c>
      <c r="K23" s="44">
        <f t="shared" si="1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2"/>
        <v>0</v>
      </c>
      <c r="K25" s="44">
        <f t="shared" si="1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50"/>
      <c r="B27" s="51"/>
      <c r="C27" s="52"/>
      <c r="D27" s="50"/>
      <c r="E27" s="50"/>
      <c r="F27" s="50"/>
      <c r="G27" s="43">
        <f>F27*6%</f>
        <v>0</v>
      </c>
      <c r="H27" s="53"/>
      <c r="I27" s="44">
        <f t="shared" si="0"/>
        <v>0</v>
      </c>
      <c r="J27" s="54">
        <f t="shared" si="2"/>
        <v>0</v>
      </c>
      <c r="K27" s="54">
        <f t="shared" si="1"/>
        <v>0</v>
      </c>
      <c r="L27" s="55"/>
      <c r="M27" s="50"/>
      <c r="N27" s="53">
        <f t="shared" si="3"/>
        <v>0</v>
      </c>
      <c r="O27" s="53">
        <f t="shared" si="4"/>
        <v>0</v>
      </c>
      <c r="P27" s="56"/>
      <c r="Q27" s="50"/>
      <c r="R27" s="50"/>
      <c r="S27" s="50"/>
      <c r="T27" s="5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561" priority="42" operator="containsText" text="SIN FACTURA ">
      <formula>NOT(ISERROR(SEARCH("SIN FACTURA ",A2)))</formula>
    </cfRule>
  </conditionalFormatting>
  <conditionalFormatting sqref="A24:B24 J5:T5 I5:I27 A5:H5 A4:T4">
    <cfRule type="containsText" dxfId="560" priority="16" operator="containsText" text="SIN FACTURA">
      <formula>NOT(ISERROR(SEARCH("SIN FACTURA",A4)))</formula>
    </cfRule>
  </conditionalFormatting>
  <conditionalFormatting sqref="J27:T27 J25:T25 J23:T23 J21:T21 J19:T19 J17:T17 J15:T15 J13:T13 J11:T11 J9:T9 J7:T7 A7:H7 A9:H9 A11:H11 A13:H13 A15:H15 A17:H17 A19:H19 A21:H21 A23:H23 A25:H25 A27:H27">
    <cfRule type="containsText" dxfId="559" priority="39" operator="containsText" text="SIN FACTURA">
      <formula>NOT(ISERROR(SEARCH("SIN FACTURA",A7)))</formula>
    </cfRule>
  </conditionalFormatting>
  <conditionalFormatting sqref="C6:H6 J6:V6">
    <cfRule type="containsText" dxfId="558" priority="37" operator="containsText" text="SIN FACTURA">
      <formula>NOT(ISERROR(SEARCH("SIN FACTURA",C6)))</formula>
    </cfRule>
  </conditionalFormatting>
  <conditionalFormatting sqref="C8:H8 J8:V8">
    <cfRule type="containsText" dxfId="557" priority="36" operator="containsText" text="SIN FACTURA">
      <formula>NOT(ISERROR(SEARCH("SIN FACTURA",C8)))</formula>
    </cfRule>
  </conditionalFormatting>
  <conditionalFormatting sqref="C10:H10 J10:V10">
    <cfRule type="containsText" dxfId="556" priority="35" operator="containsText" text="SIN FACTURA">
      <formula>NOT(ISERROR(SEARCH("SIN FACTURA",C10)))</formula>
    </cfRule>
  </conditionalFormatting>
  <conditionalFormatting sqref="C12:H12 J12:V12">
    <cfRule type="containsText" dxfId="555" priority="34" operator="containsText" text="SIN FACTURA">
      <formula>NOT(ISERROR(SEARCH("SIN FACTURA",C12)))</formula>
    </cfRule>
  </conditionalFormatting>
  <conditionalFormatting sqref="C14:H14 J14:V14">
    <cfRule type="containsText" dxfId="554" priority="33" operator="containsText" text="SIN FACTURA">
      <formula>NOT(ISERROR(SEARCH("SIN FACTURA",C14)))</formula>
    </cfRule>
  </conditionalFormatting>
  <conditionalFormatting sqref="C16:H16 J16:V16">
    <cfRule type="containsText" dxfId="553" priority="32" operator="containsText" text="SIN FACTURA">
      <formula>NOT(ISERROR(SEARCH("SIN FACTURA",C16)))</formula>
    </cfRule>
  </conditionalFormatting>
  <conditionalFormatting sqref="C18:H18 J18:V18">
    <cfRule type="containsText" dxfId="552" priority="31" operator="containsText" text="SIN FACTURA">
      <formula>NOT(ISERROR(SEARCH("SIN FACTURA",C18)))</formula>
    </cfRule>
  </conditionalFormatting>
  <conditionalFormatting sqref="C20:H20 J20:V20">
    <cfRule type="containsText" dxfId="551" priority="30" operator="containsText" text="SIN FACTURA">
      <formula>NOT(ISERROR(SEARCH("SIN FACTURA",C20)))</formula>
    </cfRule>
  </conditionalFormatting>
  <conditionalFormatting sqref="C22:H22 J22:V22">
    <cfRule type="containsText" dxfId="550" priority="29" operator="containsText" text="SIN FACTURA">
      <formula>NOT(ISERROR(SEARCH("SIN FACTURA",C22)))</formula>
    </cfRule>
  </conditionalFormatting>
  <conditionalFormatting sqref="C24:H24 J24:V24">
    <cfRule type="containsText" dxfId="549" priority="28" operator="containsText" text="SIN FACTURA">
      <formula>NOT(ISERROR(SEARCH("SIN FACTURA",C24)))</formula>
    </cfRule>
  </conditionalFormatting>
  <conditionalFormatting sqref="C26:H26 J26:V26">
    <cfRule type="containsText" dxfId="548" priority="27" operator="containsText" text="SIN FACTURA">
      <formula>NOT(ISERROR(SEARCH("SIN FACTURA",C26)))</formula>
    </cfRule>
  </conditionalFormatting>
  <conditionalFormatting sqref="A6:B6">
    <cfRule type="containsText" dxfId="547" priority="25" operator="containsText" text="SIN FACTURA">
      <formula>NOT(ISERROR(SEARCH("SIN FACTURA",A6)))</formula>
    </cfRule>
  </conditionalFormatting>
  <conditionalFormatting sqref="A8:B8">
    <cfRule type="containsText" dxfId="546" priority="24" operator="containsText" text="SIN FACTURA">
      <formula>NOT(ISERROR(SEARCH("SIN FACTURA",A8)))</formula>
    </cfRule>
  </conditionalFormatting>
  <conditionalFormatting sqref="A10:B10">
    <cfRule type="containsText" dxfId="545" priority="23" operator="containsText" text="SIN FACTURA">
      <formula>NOT(ISERROR(SEARCH("SIN FACTURA",A10)))</formula>
    </cfRule>
  </conditionalFormatting>
  <conditionalFormatting sqref="A12:B12">
    <cfRule type="containsText" dxfId="544" priority="22" operator="containsText" text="SIN FACTURA">
      <formula>NOT(ISERROR(SEARCH("SIN FACTURA",A12)))</formula>
    </cfRule>
  </conditionalFormatting>
  <conditionalFormatting sqref="A14:B14">
    <cfRule type="containsText" dxfId="543" priority="21" operator="containsText" text="SIN FACTURA">
      <formula>NOT(ISERROR(SEARCH("SIN FACTURA",A14)))</formula>
    </cfRule>
  </conditionalFormatting>
  <conditionalFormatting sqref="A26:B26">
    <cfRule type="containsText" dxfId="542" priority="15" operator="containsText" text="SIN FACTURA">
      <formula>NOT(ISERROR(SEARCH("SIN FACTURA",A26)))</formula>
    </cfRule>
  </conditionalFormatting>
  <conditionalFormatting sqref="A16:B16">
    <cfRule type="containsText" dxfId="541" priority="20" operator="containsText" text="SIN FACTURA">
      <formula>NOT(ISERROR(SEARCH("SIN FACTURA",A16)))</formula>
    </cfRule>
  </conditionalFormatting>
  <conditionalFormatting sqref="A18:B18">
    <cfRule type="containsText" dxfId="540" priority="19" operator="containsText" text="SIN FACTURA">
      <formula>NOT(ISERROR(SEARCH("SIN FACTURA",A18)))</formula>
    </cfRule>
  </conditionalFormatting>
  <conditionalFormatting sqref="A20:B20">
    <cfRule type="containsText" dxfId="539" priority="18" operator="containsText" text="SIN FACTURA">
      <formula>NOT(ISERROR(SEARCH("SIN FACTURA",A20)))</formula>
    </cfRule>
  </conditionalFormatting>
  <conditionalFormatting sqref="A22:B22">
    <cfRule type="containsText" dxfId="538" priority="17" operator="containsText" text="SIN FACTURA">
      <formula>NOT(ISERROR(SEARCH("SIN FACTURA",A22)))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155.xml><?xml version="1.0" encoding="utf-8"?>
<worksheet xmlns="http://schemas.openxmlformats.org/spreadsheetml/2006/main" xmlns:r="http://schemas.openxmlformats.org/officeDocument/2006/relationships">
  <sheetPr codeName="Hoja232"/>
  <dimension ref="A1:Y43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382</v>
      </c>
      <c r="B1" s="18" t="s">
        <v>104</v>
      </c>
      <c r="C1" s="20"/>
      <c r="D1" s="271"/>
      <c r="E1" s="271"/>
      <c r="F1" s="271"/>
      <c r="G1" s="271"/>
      <c r="H1" s="271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44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537" priority="28" operator="containsText" text="SIN FACTURA ">
      <formula>NOT(ISERROR(SEARCH("SIN FACTURA ",A2)))</formula>
    </cfRule>
  </conditionalFormatting>
  <conditionalFormatting sqref="A40:B40 A4:T4 J5:T11 I5:I43 A5:H11">
    <cfRule type="containsText" dxfId="536" priority="2" operator="containsText" text="SIN FACTURA">
      <formula>NOT(ISERROR(SEARCH("SIN FACTURA",A4)))</formula>
    </cfRule>
  </conditionalFormatting>
  <conditionalFormatting sqref="A42:B42">
    <cfRule type="containsText" dxfId="535" priority="1" operator="containsText" text="SIN FACTURA">
      <formula>NOT(ISERROR(SEARCH("SIN FACTURA",A42)))</formula>
    </cfRule>
  </conditionalFormatting>
  <conditionalFormatting sqref="J43:T43 J41:T41 J39:T39 J37:T37 J35:T35 J33:T33 J31:T31 J29:T29 J27:T27 J25:T25 J23:T23 J13:T21 A13:H21 A23:H23 A25:H25 A27:H27 A29:H29 A31:H31 A33:H33 A35:H35 A37:H37 A39:H39 A41:H41 A43:H43">
    <cfRule type="containsText" dxfId="534" priority="25" operator="containsText" text="SIN FACTURA">
      <formula>NOT(ISERROR(SEARCH("SIN FACTURA",A13)))</formula>
    </cfRule>
  </conditionalFormatting>
  <conditionalFormatting sqref="C12:H12 J12:V12">
    <cfRule type="containsText" dxfId="533" priority="24" operator="containsText" text="SIN FACTURA">
      <formula>NOT(ISERROR(SEARCH("SIN FACTURA",C12)))</formula>
    </cfRule>
  </conditionalFormatting>
  <conditionalFormatting sqref="C22:H22 J22:V22">
    <cfRule type="containsText" dxfId="532" priority="23" operator="containsText" text="SIN FACTURA">
      <formula>NOT(ISERROR(SEARCH("SIN FACTURA",C22)))</formula>
    </cfRule>
  </conditionalFormatting>
  <conditionalFormatting sqref="C24:H24 J24:V24">
    <cfRule type="containsText" dxfId="531" priority="22" operator="containsText" text="SIN FACTURA">
      <formula>NOT(ISERROR(SEARCH("SIN FACTURA",C24)))</formula>
    </cfRule>
  </conditionalFormatting>
  <conditionalFormatting sqref="C26:H26 J26:V26">
    <cfRule type="containsText" dxfId="530" priority="21" operator="containsText" text="SIN FACTURA">
      <formula>NOT(ISERROR(SEARCH("SIN FACTURA",C26)))</formula>
    </cfRule>
  </conditionalFormatting>
  <conditionalFormatting sqref="C28:H28 J28:V28">
    <cfRule type="containsText" dxfId="529" priority="20" operator="containsText" text="SIN FACTURA">
      <formula>NOT(ISERROR(SEARCH("SIN FACTURA",C28)))</formula>
    </cfRule>
  </conditionalFormatting>
  <conditionalFormatting sqref="C30:H30 J30:V30">
    <cfRule type="containsText" dxfId="528" priority="19" operator="containsText" text="SIN FACTURA">
      <formula>NOT(ISERROR(SEARCH("SIN FACTURA",C30)))</formula>
    </cfRule>
  </conditionalFormatting>
  <conditionalFormatting sqref="C32:H32 J32:V32">
    <cfRule type="containsText" dxfId="527" priority="18" operator="containsText" text="SIN FACTURA">
      <formula>NOT(ISERROR(SEARCH("SIN FACTURA",C32)))</formula>
    </cfRule>
  </conditionalFormatting>
  <conditionalFormatting sqref="C34:H34 J34:V34">
    <cfRule type="containsText" dxfId="526" priority="17" operator="containsText" text="SIN FACTURA">
      <formula>NOT(ISERROR(SEARCH("SIN FACTURA",C34)))</formula>
    </cfRule>
  </conditionalFormatting>
  <conditionalFormatting sqref="C36:H36 J36:V36">
    <cfRule type="containsText" dxfId="525" priority="16" operator="containsText" text="SIN FACTURA">
      <formula>NOT(ISERROR(SEARCH("SIN FACTURA",C36)))</formula>
    </cfRule>
  </conditionalFormatting>
  <conditionalFormatting sqref="C38:H38 J38:V38">
    <cfRule type="containsText" dxfId="524" priority="15" operator="containsText" text="SIN FACTURA">
      <formula>NOT(ISERROR(SEARCH("SIN FACTURA",C38)))</formula>
    </cfRule>
  </conditionalFormatting>
  <conditionalFormatting sqref="C40:H40 J40:V40">
    <cfRule type="containsText" dxfId="523" priority="14" operator="containsText" text="SIN FACTURA">
      <formula>NOT(ISERROR(SEARCH("SIN FACTURA",C40)))</formula>
    </cfRule>
  </conditionalFormatting>
  <conditionalFormatting sqref="C42:H42 J42:V42">
    <cfRule type="containsText" dxfId="522" priority="13" operator="containsText" text="SIN FACTURA">
      <formula>NOT(ISERROR(SEARCH("SIN FACTURA",C42)))</formula>
    </cfRule>
  </conditionalFormatting>
  <conditionalFormatting sqref="A12:B12">
    <cfRule type="containsText" dxfId="521" priority="12" operator="containsText" text="SIN FACTURA">
      <formula>NOT(ISERROR(SEARCH("SIN FACTURA",A12)))</formula>
    </cfRule>
  </conditionalFormatting>
  <conditionalFormatting sqref="A22:B22">
    <cfRule type="containsText" dxfId="520" priority="11" operator="containsText" text="SIN FACTURA">
      <formula>NOT(ISERROR(SEARCH("SIN FACTURA",A22)))</formula>
    </cfRule>
  </conditionalFormatting>
  <conditionalFormatting sqref="A24:B24">
    <cfRule type="containsText" dxfId="519" priority="10" operator="containsText" text="SIN FACTURA">
      <formula>NOT(ISERROR(SEARCH("SIN FACTURA",A24)))</formula>
    </cfRule>
  </conditionalFormatting>
  <conditionalFormatting sqref="A26:B26">
    <cfRule type="containsText" dxfId="518" priority="9" operator="containsText" text="SIN FACTURA">
      <formula>NOT(ISERROR(SEARCH("SIN FACTURA",A26)))</formula>
    </cfRule>
  </conditionalFormatting>
  <conditionalFormatting sqref="A28:B28">
    <cfRule type="containsText" dxfId="517" priority="8" operator="containsText" text="SIN FACTURA">
      <formula>NOT(ISERROR(SEARCH("SIN FACTURA",A28)))</formula>
    </cfRule>
  </conditionalFormatting>
  <conditionalFormatting sqref="A30:B30">
    <cfRule type="containsText" dxfId="516" priority="7" operator="containsText" text="SIN FACTURA">
      <formula>NOT(ISERROR(SEARCH("SIN FACTURA",A30)))</formula>
    </cfRule>
  </conditionalFormatting>
  <conditionalFormatting sqref="A32:B32">
    <cfRule type="containsText" dxfId="515" priority="6" operator="containsText" text="SIN FACTURA">
      <formula>NOT(ISERROR(SEARCH("SIN FACTURA",A32)))</formula>
    </cfRule>
  </conditionalFormatting>
  <conditionalFormatting sqref="A34:B34">
    <cfRule type="containsText" dxfId="514" priority="5" operator="containsText" text="SIN FACTURA">
      <formula>NOT(ISERROR(SEARCH("SIN FACTURA",A34)))</formula>
    </cfRule>
  </conditionalFormatting>
  <conditionalFormatting sqref="A36:B36">
    <cfRule type="containsText" dxfId="513" priority="4" operator="containsText" text="SIN FACTURA">
      <formula>NOT(ISERROR(SEARCH("SIN FACTURA",A36)))</formula>
    </cfRule>
  </conditionalFormatting>
  <conditionalFormatting sqref="A38:B38">
    <cfRule type="containsText" dxfId="512" priority="3" operator="containsText" text="SIN FACTURA">
      <formula>NOT(ISERROR(SEARCH("SIN FACTURA",A38)))</formula>
    </cfRule>
  </conditionalFormatting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>
  <sheetPr codeName="Hoja233"/>
  <dimension ref="A1:Y35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B1" sqref="B1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4">
        <v>287</v>
      </c>
      <c r="B1" s="15" t="s">
        <v>72</v>
      </c>
      <c r="C1" s="1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6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5" si="0">F5-G5-H5</f>
        <v>0</v>
      </c>
      <c r="J5" s="44">
        <f t="shared" ref="J5:J35" si="1">S5+T5</f>
        <v>0</v>
      </c>
      <c r="K5" s="44">
        <f t="shared" ref="K5:K35" si="2">I5-J5</f>
        <v>0</v>
      </c>
      <c r="L5" s="45"/>
      <c r="M5" s="40"/>
      <c r="N5" s="43">
        <f t="shared" ref="N5:N35" si="3">I5-J5-M5-R5</f>
        <v>0</v>
      </c>
      <c r="O5" s="43">
        <f t="shared" ref="O5:O35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 t="shared" si="2"/>
        <v>0</v>
      </c>
      <c r="L9" s="45"/>
      <c r="M9" s="40"/>
      <c r="N9" s="43">
        <f>I9-J9-M9-R9</f>
        <v>0</v>
      </c>
      <c r="O9" s="43">
        <f>R9+S9+T9</f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50"/>
      <c r="B35" s="51"/>
      <c r="C35" s="52"/>
      <c r="D35" s="50"/>
      <c r="E35" s="50"/>
      <c r="F35" s="50"/>
      <c r="G35" s="43">
        <f>F35*6%</f>
        <v>0</v>
      </c>
      <c r="H35" s="53"/>
      <c r="I35" s="44">
        <f t="shared" si="0"/>
        <v>0</v>
      </c>
      <c r="J35" s="54">
        <f t="shared" si="1"/>
        <v>0</v>
      </c>
      <c r="K35" s="54">
        <f t="shared" si="2"/>
        <v>0</v>
      </c>
      <c r="L35" s="55"/>
      <c r="M35" s="50"/>
      <c r="N35" s="53">
        <f t="shared" si="3"/>
        <v>0</v>
      </c>
      <c r="O35" s="53">
        <f t="shared" si="4"/>
        <v>0</v>
      </c>
      <c r="P35" s="56"/>
      <c r="Q35" s="50"/>
      <c r="R35" s="50"/>
      <c r="S35" s="50"/>
      <c r="T35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511" priority="27" operator="containsText" text="SIN FACTURA ">
      <formula>NOT(ISERROR(SEARCH("SIN FACTURA ",A2)))</formula>
    </cfRule>
  </conditionalFormatting>
  <conditionalFormatting sqref="A34:B34 I5:I35 A4:T4">
    <cfRule type="containsText" dxfId="510" priority="1" operator="containsText" text="SIN FACTURA">
      <formula>NOT(ISERROR(SEARCH("SIN FACTURA",A4)))</formula>
    </cfRule>
  </conditionalFormatting>
  <conditionalFormatting sqref="J35:T35 J33:T33 J31:T31 J29:T29 J27:T27 J25:T25 J23:T23 J21:T21 J19:T19 J17:T17 J15:T15 J5:T13 A5:H13 A15:H15 A17:H17 A19:H19 A21:H21 A23:H23 A25:H25 A27:H27 A29:H29 A31:H31 A33:H33 A35:H35">
    <cfRule type="containsText" dxfId="509" priority="25" operator="containsText" text="SIN FACTURA">
      <formula>NOT(ISERROR(SEARCH("SIN FACTURA",A5)))</formula>
    </cfRule>
  </conditionalFormatting>
  <conditionalFormatting sqref="C14:H14 J14:V14">
    <cfRule type="containsText" dxfId="508" priority="23" operator="containsText" text="SIN FACTURA">
      <formula>NOT(ISERROR(SEARCH("SIN FACTURA",C14)))</formula>
    </cfRule>
  </conditionalFormatting>
  <conditionalFormatting sqref="C16:H16 J16:V16">
    <cfRule type="containsText" dxfId="507" priority="22" operator="containsText" text="SIN FACTURA">
      <formula>NOT(ISERROR(SEARCH("SIN FACTURA",C16)))</formula>
    </cfRule>
  </conditionalFormatting>
  <conditionalFormatting sqref="C18:H18 J18:V18">
    <cfRule type="containsText" dxfId="506" priority="21" operator="containsText" text="SIN FACTURA">
      <formula>NOT(ISERROR(SEARCH("SIN FACTURA",C18)))</formula>
    </cfRule>
  </conditionalFormatting>
  <conditionalFormatting sqref="C20:H20 J20:V20">
    <cfRule type="containsText" dxfId="505" priority="20" operator="containsText" text="SIN FACTURA">
      <formula>NOT(ISERROR(SEARCH("SIN FACTURA",C20)))</formula>
    </cfRule>
  </conditionalFormatting>
  <conditionalFormatting sqref="C22:H22 J22:V22">
    <cfRule type="containsText" dxfId="504" priority="19" operator="containsText" text="SIN FACTURA">
      <formula>NOT(ISERROR(SEARCH("SIN FACTURA",C22)))</formula>
    </cfRule>
  </conditionalFormatting>
  <conditionalFormatting sqref="C24:H24 J24:V24">
    <cfRule type="containsText" dxfId="503" priority="18" operator="containsText" text="SIN FACTURA">
      <formula>NOT(ISERROR(SEARCH("SIN FACTURA",C24)))</formula>
    </cfRule>
  </conditionalFormatting>
  <conditionalFormatting sqref="C26:H26 J26:V26">
    <cfRule type="containsText" dxfId="502" priority="17" operator="containsText" text="SIN FACTURA">
      <formula>NOT(ISERROR(SEARCH("SIN FACTURA",C26)))</formula>
    </cfRule>
  </conditionalFormatting>
  <conditionalFormatting sqref="C28:H28 J28:V28">
    <cfRule type="containsText" dxfId="501" priority="16" operator="containsText" text="SIN FACTURA">
      <formula>NOT(ISERROR(SEARCH("SIN FACTURA",C28)))</formula>
    </cfRule>
  </conditionalFormatting>
  <conditionalFormatting sqref="C30:H30 J30:V30">
    <cfRule type="containsText" dxfId="500" priority="15" operator="containsText" text="SIN FACTURA">
      <formula>NOT(ISERROR(SEARCH("SIN FACTURA",C30)))</formula>
    </cfRule>
  </conditionalFormatting>
  <conditionalFormatting sqref="C32:H32 J32:V32">
    <cfRule type="containsText" dxfId="499" priority="14" operator="containsText" text="SIN FACTURA">
      <formula>NOT(ISERROR(SEARCH("SIN FACTURA",C32)))</formula>
    </cfRule>
  </conditionalFormatting>
  <conditionalFormatting sqref="C34:H34 J34:V34">
    <cfRule type="containsText" dxfId="498" priority="13" operator="containsText" text="SIN FACTURA">
      <formula>NOT(ISERROR(SEARCH("SIN FACTURA",C34)))</formula>
    </cfRule>
  </conditionalFormatting>
  <conditionalFormatting sqref="A14:B14">
    <cfRule type="containsText" dxfId="497" priority="11" operator="containsText" text="SIN FACTURA">
      <formula>NOT(ISERROR(SEARCH("SIN FACTURA",A14)))</formula>
    </cfRule>
  </conditionalFormatting>
  <conditionalFormatting sqref="A16:B16">
    <cfRule type="containsText" dxfId="496" priority="10" operator="containsText" text="SIN FACTURA">
      <formula>NOT(ISERROR(SEARCH("SIN FACTURA",A16)))</formula>
    </cfRule>
  </conditionalFormatting>
  <conditionalFormatting sqref="A18:B18">
    <cfRule type="containsText" dxfId="495" priority="9" operator="containsText" text="SIN FACTURA">
      <formula>NOT(ISERROR(SEARCH("SIN FACTURA",A18)))</formula>
    </cfRule>
  </conditionalFormatting>
  <conditionalFormatting sqref="A20:B20">
    <cfRule type="containsText" dxfId="494" priority="8" operator="containsText" text="SIN FACTURA">
      <formula>NOT(ISERROR(SEARCH("SIN FACTURA",A20)))</formula>
    </cfRule>
  </conditionalFormatting>
  <conditionalFormatting sqref="A22:B22">
    <cfRule type="containsText" dxfId="493" priority="7" operator="containsText" text="SIN FACTURA">
      <formula>NOT(ISERROR(SEARCH("SIN FACTURA",A22)))</formula>
    </cfRule>
  </conditionalFormatting>
  <conditionalFormatting sqref="A24:B24">
    <cfRule type="containsText" dxfId="492" priority="6" operator="containsText" text="SIN FACTURA">
      <formula>NOT(ISERROR(SEARCH("SIN FACTURA",A24)))</formula>
    </cfRule>
  </conditionalFormatting>
  <conditionalFormatting sqref="A26:B26">
    <cfRule type="containsText" dxfId="491" priority="5" operator="containsText" text="SIN FACTURA">
      <formula>NOT(ISERROR(SEARCH("SIN FACTURA",A26)))</formula>
    </cfRule>
  </conditionalFormatting>
  <conditionalFormatting sqref="A28:B28">
    <cfRule type="containsText" dxfId="490" priority="4" operator="containsText" text="SIN FACTURA">
      <formula>NOT(ISERROR(SEARCH("SIN FACTURA",A28)))</formula>
    </cfRule>
  </conditionalFormatting>
  <conditionalFormatting sqref="A30:B30">
    <cfRule type="containsText" dxfId="489" priority="3" operator="containsText" text="SIN FACTURA">
      <formula>NOT(ISERROR(SEARCH("SIN FACTURA",A30)))</formula>
    </cfRule>
  </conditionalFormatting>
  <conditionalFormatting sqref="A32:B32">
    <cfRule type="containsText" dxfId="488" priority="2" operator="containsText" text="SIN FACTURA">
      <formula>NOT(ISERROR(SEARCH("SIN FACTURA",A32)))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157.xml><?xml version="1.0" encoding="utf-8"?>
<worksheet xmlns="http://schemas.openxmlformats.org/spreadsheetml/2006/main" xmlns:r="http://schemas.openxmlformats.org/officeDocument/2006/relationships">
  <sheetPr codeName="Hoja234"/>
  <dimension ref="A1:Y44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44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138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4">
        <v>267</v>
      </c>
      <c r="B1" s="15" t="s">
        <v>63</v>
      </c>
      <c r="C1" s="1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6"/>
      <c r="Q1" s="11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4"/>
      <c r="R4" s="32"/>
      <c r="S4" s="32"/>
      <c r="T4" s="39"/>
    </row>
    <row r="5" spans="1:25" ht="15">
      <c r="A5" s="32"/>
      <c r="B5" s="33"/>
      <c r="C5" s="34"/>
      <c r="D5" s="32"/>
      <c r="E5" s="32"/>
      <c r="F5" s="32"/>
      <c r="G5" s="32"/>
      <c r="H5" s="32"/>
      <c r="I5" s="35"/>
      <c r="J5" s="35"/>
      <c r="K5" s="35"/>
      <c r="L5" s="36"/>
      <c r="M5" s="32"/>
      <c r="N5" s="37"/>
      <c r="O5" s="37"/>
      <c r="P5" s="38"/>
      <c r="Q5" s="32"/>
      <c r="R5" s="32"/>
      <c r="S5" s="32"/>
      <c r="T5" s="39"/>
    </row>
    <row r="6" spans="1:25" ht="15">
      <c r="A6" s="40"/>
      <c r="B6" s="41"/>
      <c r="C6" s="42"/>
      <c r="D6" s="40"/>
      <c r="E6" s="40"/>
      <c r="F6" s="40"/>
      <c r="G6" s="43">
        <f>F6*6%</f>
        <v>0</v>
      </c>
      <c r="H6" s="43"/>
      <c r="I6" s="44">
        <f>F6-G6-H6</f>
        <v>0</v>
      </c>
      <c r="J6" s="44">
        <f t="shared" ref="J6:J44" si="0">S6+T6</f>
        <v>0</v>
      </c>
      <c r="K6" s="44">
        <f t="shared" ref="K6:K44" si="1">I6-J6</f>
        <v>0</v>
      </c>
      <c r="L6" s="45"/>
      <c r="M6" s="40"/>
      <c r="N6" s="43">
        <f t="shared" ref="N6:N44" si="2">I6-J6-M6-R6</f>
        <v>0</v>
      </c>
      <c r="O6" s="43">
        <f t="shared" ref="O6:O44" si="3">R6+S6+T6</f>
        <v>0</v>
      </c>
      <c r="P6" s="46"/>
      <c r="Q6" s="40"/>
      <c r="R6" s="40"/>
      <c r="S6" s="40"/>
      <c r="T6" s="5"/>
    </row>
    <row r="7" spans="1:25" ht="15">
      <c r="A7" s="32"/>
      <c r="B7" s="33"/>
      <c r="C7" s="34"/>
      <c r="D7" s="32"/>
      <c r="E7" s="32"/>
      <c r="F7" s="32"/>
      <c r="G7" s="37"/>
      <c r="H7" s="37"/>
      <c r="I7" s="37"/>
      <c r="J7" s="35"/>
      <c r="K7" s="35"/>
      <c r="L7" s="36"/>
      <c r="M7" s="32"/>
      <c r="N7" s="37"/>
      <c r="O7" s="37"/>
      <c r="P7" s="38"/>
      <c r="Q7" s="32"/>
      <c r="R7" s="32"/>
      <c r="S7" s="32"/>
      <c r="T7" s="39"/>
    </row>
    <row r="8" spans="1:25" ht="15">
      <c r="A8" s="40"/>
      <c r="B8" s="41"/>
      <c r="C8" s="42"/>
      <c r="D8" s="40"/>
      <c r="E8" s="40"/>
      <c r="F8" s="40"/>
      <c r="G8" s="43">
        <f>F8*6%</f>
        <v>0</v>
      </c>
      <c r="H8" s="43"/>
      <c r="I8" s="44">
        <f t="shared" ref="I8:I44" si="4">F8-G8-H8</f>
        <v>0</v>
      </c>
      <c r="J8" s="44">
        <f t="shared" si="0"/>
        <v>0</v>
      </c>
      <c r="K8" s="44">
        <f t="shared" si="1"/>
        <v>0</v>
      </c>
      <c r="L8" s="45"/>
      <c r="M8" s="40"/>
      <c r="N8" s="43">
        <f t="shared" si="2"/>
        <v>0</v>
      </c>
      <c r="O8" s="43">
        <f t="shared" si="3"/>
        <v>0</v>
      </c>
      <c r="P8" s="46"/>
      <c r="Q8" s="40"/>
      <c r="R8" s="47"/>
      <c r="S8" s="47"/>
      <c r="T8" s="48"/>
    </row>
    <row r="9" spans="1:25" ht="15">
      <c r="A9" s="32"/>
      <c r="B9" s="33"/>
      <c r="C9" s="34"/>
      <c r="D9" s="32"/>
      <c r="E9" s="32"/>
      <c r="F9" s="32"/>
      <c r="G9" s="37"/>
      <c r="H9" s="37"/>
      <c r="I9" s="37"/>
      <c r="J9" s="35"/>
      <c r="K9" s="35"/>
      <c r="L9" s="36"/>
      <c r="M9" s="32"/>
      <c r="N9" s="37"/>
      <c r="O9" s="37"/>
      <c r="P9" s="38"/>
      <c r="Q9" s="32"/>
      <c r="R9" s="32"/>
      <c r="S9" s="32"/>
      <c r="T9" s="39"/>
    </row>
    <row r="10" spans="1:25" ht="15">
      <c r="A10" s="40"/>
      <c r="B10" s="41"/>
      <c r="C10" s="42"/>
      <c r="D10" s="40"/>
      <c r="E10" s="40"/>
      <c r="F10" s="40"/>
      <c r="G10" s="43">
        <f>F10*6%</f>
        <v>0</v>
      </c>
      <c r="H10" s="43"/>
      <c r="I10" s="44">
        <f t="shared" si="4"/>
        <v>0</v>
      </c>
      <c r="J10" s="44">
        <f t="shared" si="0"/>
        <v>0</v>
      </c>
      <c r="K10" s="44">
        <f t="shared" si="1"/>
        <v>0</v>
      </c>
      <c r="L10" s="45"/>
      <c r="M10" s="40"/>
      <c r="N10" s="43">
        <f t="shared" si="2"/>
        <v>0</v>
      </c>
      <c r="O10" s="43">
        <f t="shared" si="3"/>
        <v>0</v>
      </c>
      <c r="P10" s="46"/>
      <c r="Q10" s="40"/>
      <c r="R10" s="43"/>
      <c r="S10" s="43"/>
      <c r="T10" s="49"/>
    </row>
    <row r="11" spans="1:25" ht="15">
      <c r="A11" s="32"/>
      <c r="B11" s="33"/>
      <c r="C11" s="34"/>
      <c r="D11" s="32"/>
      <c r="E11" s="32"/>
      <c r="F11" s="32"/>
      <c r="G11" s="37"/>
      <c r="H11" s="37"/>
      <c r="I11" s="37"/>
      <c r="J11" s="35"/>
      <c r="K11" s="35"/>
      <c r="L11" s="36"/>
      <c r="M11" s="32"/>
      <c r="N11" s="37"/>
      <c r="O11" s="37"/>
      <c r="P11" s="38"/>
      <c r="Q11" s="32"/>
      <c r="R11" s="32"/>
      <c r="S11" s="32"/>
      <c r="T11" s="39"/>
    </row>
    <row r="12" spans="1:25" ht="15">
      <c r="A12" s="40"/>
      <c r="B12" s="41"/>
      <c r="C12" s="42"/>
      <c r="D12" s="40"/>
      <c r="E12" s="40"/>
      <c r="F12" s="40"/>
      <c r="G12" s="43">
        <f>F12*6%</f>
        <v>0</v>
      </c>
      <c r="H12" s="43"/>
      <c r="I12" s="44">
        <f t="shared" si="4"/>
        <v>0</v>
      </c>
      <c r="J12" s="44">
        <f>S12+T12</f>
        <v>0</v>
      </c>
      <c r="K12" s="44">
        <f>I12-J12</f>
        <v>0</v>
      </c>
      <c r="L12" s="45"/>
      <c r="M12" s="40"/>
      <c r="N12" s="43">
        <f t="shared" si="2"/>
        <v>0</v>
      </c>
      <c r="O12" s="43">
        <f t="shared" si="3"/>
        <v>0</v>
      </c>
      <c r="P12" s="46"/>
      <c r="Q12" s="40"/>
      <c r="R12" s="47"/>
      <c r="S12" s="47"/>
      <c r="T12" s="48"/>
    </row>
    <row r="13" spans="1:25" ht="15">
      <c r="A13" s="32"/>
      <c r="B13" s="33"/>
      <c r="C13" s="34"/>
      <c r="D13" s="32"/>
      <c r="E13" s="32"/>
      <c r="F13" s="32"/>
      <c r="G13" s="37"/>
      <c r="H13" s="37"/>
      <c r="I13" s="37"/>
      <c r="J13" s="35"/>
      <c r="K13" s="35"/>
      <c r="L13" s="36"/>
      <c r="M13" s="32"/>
      <c r="N13" s="37"/>
      <c r="O13" s="37"/>
      <c r="P13" s="38"/>
      <c r="Q13" s="32"/>
      <c r="R13" s="32"/>
      <c r="S13" s="32"/>
      <c r="T13" s="39"/>
    </row>
    <row r="14" spans="1:25" ht="15">
      <c r="A14" s="40"/>
      <c r="B14" s="41"/>
      <c r="C14" s="42"/>
      <c r="D14" s="40"/>
      <c r="E14" s="40"/>
      <c r="F14" s="40"/>
      <c r="G14" s="43">
        <f>F14*6%</f>
        <v>0</v>
      </c>
      <c r="H14" s="43"/>
      <c r="I14" s="44">
        <f t="shared" si="4"/>
        <v>0</v>
      </c>
      <c r="J14" s="44">
        <f t="shared" si="0"/>
        <v>0</v>
      </c>
      <c r="K14" s="44">
        <f t="shared" si="1"/>
        <v>0</v>
      </c>
      <c r="L14" s="45"/>
      <c r="M14" s="40"/>
      <c r="N14" s="43">
        <f t="shared" si="2"/>
        <v>0</v>
      </c>
      <c r="O14" s="43">
        <f t="shared" si="3"/>
        <v>0</v>
      </c>
      <c r="P14" s="46"/>
      <c r="Q14" s="40"/>
      <c r="R14" s="47"/>
      <c r="S14" s="47"/>
      <c r="T14" s="48"/>
    </row>
    <row r="15" spans="1:25" ht="15">
      <c r="A15" s="32"/>
      <c r="B15" s="33"/>
      <c r="C15" s="32"/>
      <c r="D15" s="33"/>
      <c r="E15" s="34"/>
      <c r="F15" s="32"/>
      <c r="G15" s="32"/>
      <c r="H15" s="32"/>
      <c r="I15" s="37"/>
      <c r="J15" s="37"/>
      <c r="K15" s="35"/>
      <c r="L15" s="35"/>
      <c r="M15" s="35"/>
      <c r="N15" s="36"/>
      <c r="O15" s="32"/>
      <c r="P15" s="37"/>
      <c r="Q15" s="37"/>
      <c r="R15" s="38"/>
      <c r="S15" s="32"/>
      <c r="T15" s="39"/>
    </row>
    <row r="16" spans="1:25" ht="15">
      <c r="A16" s="40"/>
      <c r="B16" s="41"/>
      <c r="C16" s="42"/>
      <c r="D16" s="40"/>
      <c r="E16" s="40"/>
      <c r="F16" s="40"/>
      <c r="G16" s="43">
        <f>F16*6%</f>
        <v>0</v>
      </c>
      <c r="H16" s="43"/>
      <c r="I16" s="44">
        <f t="shared" si="4"/>
        <v>0</v>
      </c>
      <c r="J16" s="44">
        <f t="shared" si="0"/>
        <v>0</v>
      </c>
      <c r="K16" s="44">
        <f t="shared" si="1"/>
        <v>0</v>
      </c>
      <c r="L16" s="45"/>
      <c r="M16" s="40"/>
      <c r="N16" s="43">
        <f t="shared" si="2"/>
        <v>0</v>
      </c>
      <c r="O16" s="43">
        <f t="shared" si="3"/>
        <v>0</v>
      </c>
      <c r="P16" s="46"/>
      <c r="Q16" s="40"/>
      <c r="R16" s="47"/>
      <c r="S16" s="47"/>
      <c r="T16" s="48"/>
    </row>
    <row r="17" spans="1:22" ht="15">
      <c r="A17" s="32"/>
      <c r="B17" s="33"/>
      <c r="C17" s="34"/>
      <c r="D17" s="32"/>
      <c r="E17" s="32"/>
      <c r="F17" s="32"/>
      <c r="G17" s="37"/>
      <c r="H17" s="37"/>
      <c r="I17" s="37"/>
      <c r="J17" s="35"/>
      <c r="K17" s="35"/>
      <c r="L17" s="36"/>
      <c r="M17" s="32"/>
      <c r="N17" s="37"/>
      <c r="O17" s="37"/>
      <c r="P17" s="38"/>
      <c r="Q17" s="32"/>
      <c r="R17" s="32"/>
      <c r="S17" s="32"/>
      <c r="T17" s="39"/>
    </row>
    <row r="18" spans="1:22" ht="15">
      <c r="A18" s="40"/>
      <c r="B18" s="41"/>
      <c r="C18" s="42"/>
      <c r="D18" s="40"/>
      <c r="E18" s="40"/>
      <c r="F18" s="40"/>
      <c r="G18" s="43">
        <f>F18*6%</f>
        <v>0</v>
      </c>
      <c r="H18" s="43"/>
      <c r="I18" s="44">
        <f t="shared" si="4"/>
        <v>0</v>
      </c>
      <c r="J18" s="44">
        <f t="shared" si="0"/>
        <v>0</v>
      </c>
      <c r="K18" s="44">
        <f t="shared" si="1"/>
        <v>0</v>
      </c>
      <c r="L18" s="45"/>
      <c r="M18" s="40"/>
      <c r="N18" s="43">
        <f t="shared" si="2"/>
        <v>0</v>
      </c>
      <c r="O18" s="43">
        <f t="shared" si="3"/>
        <v>0</v>
      </c>
      <c r="P18" s="46"/>
      <c r="Q18" s="40"/>
      <c r="R18" s="40"/>
      <c r="S18" s="40"/>
      <c r="T18" s="5"/>
    </row>
    <row r="19" spans="1:22" ht="15">
      <c r="A19" s="32"/>
      <c r="B19" s="33"/>
      <c r="C19" s="34"/>
      <c r="D19" s="32"/>
      <c r="E19" s="32"/>
      <c r="F19" s="32"/>
      <c r="G19" s="37"/>
      <c r="H19" s="37"/>
      <c r="I19" s="37"/>
      <c r="J19" s="35"/>
      <c r="K19" s="35"/>
      <c r="L19" s="36"/>
      <c r="M19" s="32"/>
      <c r="N19" s="37"/>
      <c r="O19" s="37"/>
      <c r="P19" s="38"/>
      <c r="Q19" s="32"/>
      <c r="R19" s="32"/>
      <c r="S19" s="32"/>
      <c r="T19" s="39"/>
    </row>
    <row r="20" spans="1:22" ht="15">
      <c r="A20" s="40"/>
      <c r="B20" s="41"/>
      <c r="C20" s="42"/>
      <c r="D20" s="40"/>
      <c r="E20" s="40"/>
      <c r="F20" s="40"/>
      <c r="G20" s="43">
        <f>F20*6%</f>
        <v>0</v>
      </c>
      <c r="H20" s="43"/>
      <c r="I20" s="44">
        <f t="shared" si="4"/>
        <v>0</v>
      </c>
      <c r="J20" s="44">
        <f>S20+T20</f>
        <v>0</v>
      </c>
      <c r="K20" s="44">
        <f t="shared" si="1"/>
        <v>0</v>
      </c>
      <c r="L20" s="45"/>
      <c r="M20" s="40"/>
      <c r="N20" s="43">
        <f>I20-J20-M20-R20</f>
        <v>0</v>
      </c>
      <c r="O20" s="43">
        <f>R20+S20+T20</f>
        <v>0</v>
      </c>
      <c r="P20" s="46"/>
      <c r="Q20" s="40"/>
      <c r="R20" s="47"/>
      <c r="S20" s="47"/>
      <c r="T20" s="48"/>
    </row>
    <row r="21" spans="1:22" ht="15">
      <c r="A21" s="32"/>
      <c r="B21" s="33"/>
      <c r="C21" s="34"/>
      <c r="D21" s="32"/>
      <c r="E21" s="32"/>
      <c r="F21" s="32"/>
      <c r="G21" s="37"/>
      <c r="H21" s="37"/>
      <c r="I21" s="37"/>
      <c r="J21" s="35"/>
      <c r="K21" s="35"/>
      <c r="L21" s="36"/>
      <c r="M21" s="32"/>
      <c r="N21" s="37"/>
      <c r="O21" s="37"/>
      <c r="P21" s="38"/>
      <c r="Q21" s="32"/>
      <c r="R21" s="32"/>
      <c r="S21" s="32"/>
      <c r="T21" s="39"/>
    </row>
    <row r="22" spans="1:22" ht="15">
      <c r="A22" s="40"/>
      <c r="B22" s="41"/>
      <c r="C22" s="42"/>
      <c r="D22" s="40"/>
      <c r="E22" s="40"/>
      <c r="F22" s="40"/>
      <c r="G22" s="43">
        <f>F22*6%</f>
        <v>0</v>
      </c>
      <c r="H22" s="43"/>
      <c r="I22" s="44">
        <f t="shared" si="4"/>
        <v>0</v>
      </c>
      <c r="J22" s="44">
        <f t="shared" si="0"/>
        <v>0</v>
      </c>
      <c r="K22" s="44">
        <f t="shared" si="1"/>
        <v>0</v>
      </c>
      <c r="L22" s="45"/>
      <c r="M22" s="40"/>
      <c r="N22" s="43">
        <f t="shared" si="2"/>
        <v>0</v>
      </c>
      <c r="O22" s="43">
        <f t="shared" si="3"/>
        <v>0</v>
      </c>
      <c r="P22" s="46"/>
      <c r="Q22" s="40"/>
      <c r="R22" s="47"/>
      <c r="S22" s="47"/>
      <c r="T22" s="48"/>
    </row>
    <row r="23" spans="1:22" ht="15">
      <c r="A23" s="32"/>
      <c r="B23" s="33"/>
      <c r="C23" s="34"/>
      <c r="D23" s="32"/>
      <c r="E23" s="32"/>
      <c r="F23" s="32"/>
      <c r="G23" s="37"/>
      <c r="H23" s="37"/>
      <c r="I23" s="37"/>
      <c r="J23" s="35"/>
      <c r="K23" s="35"/>
      <c r="L23" s="36"/>
      <c r="M23" s="32"/>
      <c r="N23" s="37"/>
      <c r="O23" s="37"/>
      <c r="P23" s="38"/>
      <c r="Q23" s="32"/>
      <c r="R23" s="32"/>
      <c r="S23" s="32"/>
      <c r="T23" s="39"/>
    </row>
    <row r="24" spans="1:22" ht="15">
      <c r="A24" s="40"/>
      <c r="B24" s="41"/>
      <c r="C24" s="42"/>
      <c r="D24" s="40"/>
      <c r="E24" s="40"/>
      <c r="F24" s="40"/>
      <c r="G24" s="43">
        <f>F24*6%</f>
        <v>0</v>
      </c>
      <c r="H24" s="43"/>
      <c r="I24" s="44">
        <f t="shared" si="4"/>
        <v>0</v>
      </c>
      <c r="J24" s="44">
        <f t="shared" si="0"/>
        <v>0</v>
      </c>
      <c r="K24" s="44">
        <f t="shared" si="1"/>
        <v>0</v>
      </c>
      <c r="L24" s="45"/>
      <c r="M24" s="40"/>
      <c r="N24" s="43">
        <f t="shared" si="2"/>
        <v>0</v>
      </c>
      <c r="O24" s="43">
        <f t="shared" si="3"/>
        <v>0</v>
      </c>
      <c r="P24" s="46"/>
      <c r="Q24" s="40"/>
      <c r="R24" s="40"/>
      <c r="S24" s="40"/>
      <c r="T24" s="5"/>
    </row>
    <row r="25" spans="1:22" ht="15">
      <c r="A25" s="32"/>
      <c r="B25" s="33"/>
      <c r="C25" s="32"/>
      <c r="D25" s="33"/>
      <c r="E25" s="34"/>
      <c r="F25" s="32"/>
      <c r="G25" s="32"/>
      <c r="H25" s="32"/>
      <c r="I25" s="37"/>
      <c r="J25" s="37"/>
      <c r="K25" s="35"/>
      <c r="L25" s="35"/>
      <c r="M25" s="35"/>
      <c r="N25" s="36"/>
      <c r="O25" s="32"/>
      <c r="P25" s="37"/>
      <c r="Q25" s="37"/>
      <c r="R25" s="38"/>
      <c r="S25" s="32"/>
      <c r="T25" s="39"/>
    </row>
    <row r="26" spans="1:22" ht="15">
      <c r="A26" s="40"/>
      <c r="B26" s="41"/>
      <c r="C26" s="42"/>
      <c r="D26" s="40"/>
      <c r="E26" s="40"/>
      <c r="F26" s="40"/>
      <c r="G26" s="43">
        <f>F26*6%</f>
        <v>0</v>
      </c>
      <c r="H26" s="43"/>
      <c r="I26" s="44">
        <f t="shared" si="4"/>
        <v>0</v>
      </c>
      <c r="J26" s="44">
        <f t="shared" si="0"/>
        <v>0</v>
      </c>
      <c r="K26" s="44">
        <f t="shared" si="1"/>
        <v>0</v>
      </c>
      <c r="L26" s="45"/>
      <c r="M26" s="40"/>
      <c r="N26" s="43">
        <f t="shared" si="2"/>
        <v>0</v>
      </c>
      <c r="O26" s="43">
        <f t="shared" si="3"/>
        <v>0</v>
      </c>
      <c r="P26" s="46"/>
      <c r="Q26" s="40"/>
      <c r="R26" s="40"/>
      <c r="S26" s="40"/>
      <c r="T26" s="5"/>
    </row>
    <row r="27" spans="1:22" ht="15">
      <c r="A27" s="32"/>
      <c r="B27" s="33"/>
      <c r="C27" s="32"/>
      <c r="D27" s="33"/>
      <c r="E27" s="34"/>
      <c r="F27" s="32"/>
      <c r="G27" s="32"/>
      <c r="H27" s="32"/>
      <c r="I27" s="37"/>
      <c r="J27" s="37"/>
      <c r="K27" s="35"/>
      <c r="L27" s="35"/>
      <c r="M27" s="35"/>
      <c r="N27" s="36"/>
      <c r="O27" s="32"/>
      <c r="P27" s="37"/>
      <c r="Q27" s="37"/>
      <c r="R27" s="38"/>
      <c r="S27" s="32"/>
      <c r="T27" s="39"/>
      <c r="U27" s="6"/>
      <c r="V27" s="6"/>
    </row>
    <row r="28" spans="1:22" ht="15">
      <c r="A28" s="40"/>
      <c r="B28" s="41"/>
      <c r="C28" s="42"/>
      <c r="D28" s="40"/>
      <c r="E28" s="40"/>
      <c r="F28" s="40"/>
      <c r="G28" s="43">
        <f>F28*6%</f>
        <v>0</v>
      </c>
      <c r="H28" s="43"/>
      <c r="I28" s="44">
        <f t="shared" si="4"/>
        <v>0</v>
      </c>
      <c r="J28" s="44">
        <f t="shared" si="0"/>
        <v>0</v>
      </c>
      <c r="K28" s="44">
        <f t="shared" si="1"/>
        <v>0</v>
      </c>
      <c r="L28" s="45"/>
      <c r="M28" s="40"/>
      <c r="N28" s="43">
        <f t="shared" si="2"/>
        <v>0</v>
      </c>
      <c r="O28" s="43">
        <f t="shared" si="3"/>
        <v>0</v>
      </c>
      <c r="P28" s="46"/>
      <c r="Q28" s="40"/>
      <c r="R28" s="40"/>
      <c r="S28" s="40"/>
      <c r="T28" s="5"/>
    </row>
    <row r="29" spans="1:22" ht="15">
      <c r="A29" s="32"/>
      <c r="B29" s="33"/>
      <c r="C29" s="32"/>
      <c r="D29" s="33"/>
      <c r="E29" s="34"/>
      <c r="F29" s="32"/>
      <c r="G29" s="32"/>
      <c r="H29" s="32"/>
      <c r="I29" s="37"/>
      <c r="J29" s="37"/>
      <c r="K29" s="35"/>
      <c r="L29" s="35"/>
      <c r="M29" s="35"/>
      <c r="N29" s="36"/>
      <c r="O29" s="32"/>
      <c r="P29" s="37"/>
      <c r="Q29" s="37"/>
      <c r="R29" s="38"/>
      <c r="S29" s="32"/>
      <c r="T29" s="39"/>
      <c r="U29" s="6"/>
      <c r="V29" s="6"/>
    </row>
    <row r="30" spans="1:22" ht="15">
      <c r="A30" s="40"/>
      <c r="B30" s="41"/>
      <c r="C30" s="42"/>
      <c r="D30" s="40"/>
      <c r="E30" s="40"/>
      <c r="F30" s="40"/>
      <c r="G30" s="43">
        <f>F30*6%</f>
        <v>0</v>
      </c>
      <c r="H30" s="43"/>
      <c r="I30" s="44">
        <f t="shared" si="4"/>
        <v>0</v>
      </c>
      <c r="J30" s="44">
        <f t="shared" si="0"/>
        <v>0</v>
      </c>
      <c r="K30" s="44">
        <f t="shared" si="1"/>
        <v>0</v>
      </c>
      <c r="L30" s="45"/>
      <c r="M30" s="40"/>
      <c r="N30" s="43">
        <f t="shared" si="2"/>
        <v>0</v>
      </c>
      <c r="O30" s="43">
        <f t="shared" si="3"/>
        <v>0</v>
      </c>
      <c r="P30" s="46"/>
      <c r="Q30" s="40"/>
      <c r="R30" s="40"/>
      <c r="S30" s="40"/>
      <c r="T30" s="5"/>
    </row>
    <row r="31" spans="1:22" ht="15">
      <c r="A31" s="32"/>
      <c r="B31" s="33"/>
      <c r="C31" s="32"/>
      <c r="D31" s="33"/>
      <c r="E31" s="34"/>
      <c r="F31" s="32"/>
      <c r="G31" s="32"/>
      <c r="H31" s="32"/>
      <c r="I31" s="37"/>
      <c r="J31" s="37"/>
      <c r="K31" s="35"/>
      <c r="L31" s="35"/>
      <c r="M31" s="35"/>
      <c r="N31" s="36"/>
      <c r="O31" s="32"/>
      <c r="P31" s="37"/>
      <c r="Q31" s="37"/>
      <c r="R31" s="38"/>
      <c r="S31" s="32"/>
      <c r="T31" s="39"/>
      <c r="U31" s="6"/>
      <c r="V31" s="6"/>
    </row>
    <row r="32" spans="1:22" ht="15">
      <c r="A32" s="40"/>
      <c r="B32" s="41"/>
      <c r="C32" s="42"/>
      <c r="D32" s="40"/>
      <c r="E32" s="40"/>
      <c r="F32" s="40"/>
      <c r="G32" s="43">
        <f>F32*6%</f>
        <v>0</v>
      </c>
      <c r="H32" s="43"/>
      <c r="I32" s="44">
        <f t="shared" si="4"/>
        <v>0</v>
      </c>
      <c r="J32" s="44">
        <f t="shared" si="0"/>
        <v>0</v>
      </c>
      <c r="K32" s="44">
        <f t="shared" si="1"/>
        <v>0</v>
      </c>
      <c r="L32" s="45"/>
      <c r="M32" s="40"/>
      <c r="N32" s="43">
        <f t="shared" si="2"/>
        <v>0</v>
      </c>
      <c r="O32" s="43">
        <f t="shared" si="3"/>
        <v>0</v>
      </c>
      <c r="P32" s="46"/>
      <c r="Q32" s="40"/>
      <c r="R32" s="40"/>
      <c r="S32" s="40"/>
      <c r="T32" s="5"/>
    </row>
    <row r="33" spans="1:22" ht="15">
      <c r="A33" s="32"/>
      <c r="B33" s="33"/>
      <c r="C33" s="32"/>
      <c r="D33" s="33"/>
      <c r="E33" s="34"/>
      <c r="F33" s="32"/>
      <c r="G33" s="32"/>
      <c r="H33" s="32"/>
      <c r="I33" s="37"/>
      <c r="J33" s="37"/>
      <c r="K33" s="35"/>
      <c r="L33" s="35"/>
      <c r="M33" s="35"/>
      <c r="N33" s="36"/>
      <c r="O33" s="32"/>
      <c r="P33" s="37"/>
      <c r="Q33" s="37"/>
      <c r="R33" s="38"/>
      <c r="S33" s="32"/>
      <c r="T33" s="39"/>
      <c r="U33" s="6"/>
      <c r="V33" s="6"/>
    </row>
    <row r="34" spans="1:22" ht="15">
      <c r="A34" s="40"/>
      <c r="B34" s="41"/>
      <c r="C34" s="42"/>
      <c r="D34" s="40"/>
      <c r="E34" s="40"/>
      <c r="F34" s="40"/>
      <c r="G34" s="43">
        <f>F34*6%</f>
        <v>0</v>
      </c>
      <c r="H34" s="43"/>
      <c r="I34" s="44">
        <f t="shared" si="4"/>
        <v>0</v>
      </c>
      <c r="J34" s="44">
        <f t="shared" si="0"/>
        <v>0</v>
      </c>
      <c r="K34" s="44">
        <f t="shared" si="1"/>
        <v>0</v>
      </c>
      <c r="L34" s="45"/>
      <c r="M34" s="40"/>
      <c r="N34" s="43">
        <f t="shared" si="2"/>
        <v>0</v>
      </c>
      <c r="O34" s="43">
        <f t="shared" si="3"/>
        <v>0</v>
      </c>
      <c r="P34" s="46"/>
      <c r="Q34" s="40"/>
      <c r="R34" s="40"/>
      <c r="S34" s="40"/>
      <c r="T34" s="5"/>
    </row>
    <row r="35" spans="1:22" ht="15">
      <c r="A35" s="32"/>
      <c r="B35" s="33"/>
      <c r="C35" s="32"/>
      <c r="D35" s="33"/>
      <c r="E35" s="34"/>
      <c r="F35" s="32"/>
      <c r="G35" s="32"/>
      <c r="H35" s="32"/>
      <c r="I35" s="37"/>
      <c r="J35" s="37"/>
      <c r="K35" s="35"/>
      <c r="L35" s="35"/>
      <c r="M35" s="35"/>
      <c r="N35" s="36"/>
      <c r="O35" s="32"/>
      <c r="P35" s="37"/>
      <c r="Q35" s="37"/>
      <c r="R35" s="38"/>
      <c r="S35" s="32"/>
      <c r="T35" s="39"/>
      <c r="U35" s="6"/>
      <c r="V35" s="6"/>
    </row>
    <row r="36" spans="1:22" ht="15">
      <c r="A36" s="40"/>
      <c r="B36" s="41"/>
      <c r="C36" s="42"/>
      <c r="D36" s="40"/>
      <c r="E36" s="40"/>
      <c r="F36" s="40"/>
      <c r="G36" s="43">
        <f>F36*6%</f>
        <v>0</v>
      </c>
      <c r="H36" s="43"/>
      <c r="I36" s="44">
        <f t="shared" si="4"/>
        <v>0</v>
      </c>
      <c r="J36" s="44">
        <f t="shared" si="0"/>
        <v>0</v>
      </c>
      <c r="K36" s="44">
        <f t="shared" si="1"/>
        <v>0</v>
      </c>
      <c r="L36" s="45"/>
      <c r="M36" s="40"/>
      <c r="N36" s="43">
        <f t="shared" si="2"/>
        <v>0</v>
      </c>
      <c r="O36" s="43">
        <f t="shared" si="3"/>
        <v>0</v>
      </c>
      <c r="P36" s="46"/>
      <c r="Q36" s="40"/>
      <c r="R36" s="40"/>
      <c r="S36" s="40"/>
      <c r="T36" s="5"/>
    </row>
    <row r="37" spans="1:22" ht="15">
      <c r="A37" s="32"/>
      <c r="B37" s="33"/>
      <c r="C37" s="32"/>
      <c r="D37" s="33"/>
      <c r="E37" s="34"/>
      <c r="F37" s="32"/>
      <c r="G37" s="32"/>
      <c r="H37" s="32"/>
      <c r="I37" s="37"/>
      <c r="J37" s="37"/>
      <c r="K37" s="35"/>
      <c r="L37" s="35"/>
      <c r="M37" s="35"/>
      <c r="N37" s="36"/>
      <c r="O37" s="32"/>
      <c r="P37" s="37"/>
      <c r="Q37" s="37"/>
      <c r="R37" s="38"/>
      <c r="S37" s="32"/>
      <c r="T37" s="39"/>
      <c r="U37" s="6"/>
      <c r="V37" s="6"/>
    </row>
    <row r="38" spans="1:22" ht="15">
      <c r="A38" s="40"/>
      <c r="B38" s="41"/>
      <c r="C38" s="42"/>
      <c r="D38" s="40"/>
      <c r="E38" s="40"/>
      <c r="F38" s="40"/>
      <c r="G38" s="43">
        <f>F38*6%</f>
        <v>0</v>
      </c>
      <c r="H38" s="43"/>
      <c r="I38" s="44">
        <f t="shared" si="4"/>
        <v>0</v>
      </c>
      <c r="J38" s="44">
        <f t="shared" si="0"/>
        <v>0</v>
      </c>
      <c r="K38" s="44">
        <f t="shared" si="1"/>
        <v>0</v>
      </c>
      <c r="L38" s="45"/>
      <c r="M38" s="40"/>
      <c r="N38" s="43">
        <f t="shared" si="2"/>
        <v>0</v>
      </c>
      <c r="O38" s="43">
        <f t="shared" si="3"/>
        <v>0</v>
      </c>
      <c r="P38" s="46"/>
      <c r="Q38" s="40"/>
      <c r="R38" s="40"/>
      <c r="S38" s="40"/>
      <c r="T38" s="5"/>
    </row>
    <row r="39" spans="1:22" ht="15">
      <c r="A39" s="32"/>
      <c r="B39" s="33"/>
      <c r="C39" s="32"/>
      <c r="D39" s="33"/>
      <c r="E39" s="34"/>
      <c r="F39" s="32"/>
      <c r="G39" s="32"/>
      <c r="H39" s="32"/>
      <c r="I39" s="37"/>
      <c r="J39" s="37"/>
      <c r="K39" s="35"/>
      <c r="L39" s="35"/>
      <c r="M39" s="35"/>
      <c r="N39" s="36"/>
      <c r="O39" s="32"/>
      <c r="P39" s="37"/>
      <c r="Q39" s="37"/>
      <c r="R39" s="38"/>
      <c r="S39" s="32"/>
      <c r="T39" s="39"/>
      <c r="U39" s="6"/>
      <c r="V39" s="6"/>
    </row>
    <row r="40" spans="1:22" ht="15">
      <c r="A40" s="40"/>
      <c r="B40" s="41"/>
      <c r="C40" s="42"/>
      <c r="D40" s="40"/>
      <c r="E40" s="40"/>
      <c r="F40" s="40"/>
      <c r="G40" s="43">
        <f>F40*6%</f>
        <v>0</v>
      </c>
      <c r="H40" s="43"/>
      <c r="I40" s="44">
        <f t="shared" si="4"/>
        <v>0</v>
      </c>
      <c r="J40" s="44">
        <f t="shared" si="0"/>
        <v>0</v>
      </c>
      <c r="K40" s="44">
        <f t="shared" si="1"/>
        <v>0</v>
      </c>
      <c r="L40" s="45"/>
      <c r="M40" s="40"/>
      <c r="N40" s="43">
        <f t="shared" si="2"/>
        <v>0</v>
      </c>
      <c r="O40" s="43">
        <f t="shared" si="3"/>
        <v>0</v>
      </c>
      <c r="P40" s="46"/>
      <c r="Q40" s="40"/>
      <c r="R40" s="40"/>
      <c r="S40" s="40"/>
      <c r="T40" s="5"/>
    </row>
    <row r="41" spans="1:22" ht="15">
      <c r="A41" s="32"/>
      <c r="B41" s="33"/>
      <c r="C41" s="32"/>
      <c r="D41" s="33"/>
      <c r="E41" s="34"/>
      <c r="F41" s="32"/>
      <c r="G41" s="32"/>
      <c r="H41" s="32"/>
      <c r="I41" s="37"/>
      <c r="J41" s="37"/>
      <c r="K41" s="35"/>
      <c r="L41" s="35"/>
      <c r="M41" s="35"/>
      <c r="N41" s="36"/>
      <c r="O41" s="32"/>
      <c r="P41" s="37"/>
      <c r="Q41" s="37"/>
      <c r="R41" s="38"/>
      <c r="S41" s="32"/>
      <c r="T41" s="39"/>
      <c r="U41" s="6"/>
      <c r="V41" s="6"/>
    </row>
    <row r="42" spans="1:22" ht="15">
      <c r="A42" s="40"/>
      <c r="B42" s="41"/>
      <c r="C42" s="42"/>
      <c r="D42" s="40"/>
      <c r="E42" s="40"/>
      <c r="F42" s="40"/>
      <c r="G42" s="43">
        <f>F42*6%</f>
        <v>0</v>
      </c>
      <c r="H42" s="43"/>
      <c r="I42" s="44">
        <f t="shared" si="4"/>
        <v>0</v>
      </c>
      <c r="J42" s="44">
        <f t="shared" si="0"/>
        <v>0</v>
      </c>
      <c r="K42" s="44">
        <f t="shared" si="1"/>
        <v>0</v>
      </c>
      <c r="L42" s="45"/>
      <c r="M42" s="40"/>
      <c r="N42" s="43">
        <f t="shared" si="2"/>
        <v>0</v>
      </c>
      <c r="O42" s="43">
        <f t="shared" si="3"/>
        <v>0</v>
      </c>
      <c r="P42" s="46"/>
      <c r="Q42" s="40"/>
      <c r="R42" s="40"/>
      <c r="S42" s="40"/>
      <c r="T42" s="5"/>
    </row>
    <row r="43" spans="1:22" ht="15">
      <c r="A43" s="32"/>
      <c r="B43" s="33"/>
      <c r="C43" s="32"/>
      <c r="D43" s="33"/>
      <c r="E43" s="34"/>
      <c r="F43" s="32"/>
      <c r="G43" s="32"/>
      <c r="H43" s="32"/>
      <c r="I43" s="37"/>
      <c r="J43" s="37"/>
      <c r="K43" s="35"/>
      <c r="L43" s="35"/>
      <c r="M43" s="35"/>
      <c r="N43" s="36"/>
      <c r="O43" s="32"/>
      <c r="P43" s="37"/>
      <c r="Q43" s="37"/>
      <c r="R43" s="38"/>
      <c r="S43" s="32"/>
      <c r="T43" s="39"/>
      <c r="U43" s="6"/>
      <c r="V43" s="6"/>
    </row>
    <row r="44" spans="1:22" ht="15">
      <c r="A44" s="40"/>
      <c r="B44" s="41"/>
      <c r="C44" s="42"/>
      <c r="D44" s="40"/>
      <c r="E44" s="40"/>
      <c r="F44" s="40"/>
      <c r="G44" s="43">
        <f>F44*6%</f>
        <v>0</v>
      </c>
      <c r="H44" s="43"/>
      <c r="I44" s="44">
        <f t="shared" si="4"/>
        <v>0</v>
      </c>
      <c r="J44" s="44">
        <f t="shared" si="0"/>
        <v>0</v>
      </c>
      <c r="K44" s="44">
        <f t="shared" si="1"/>
        <v>0</v>
      </c>
      <c r="L44" s="45"/>
      <c r="M44" s="40"/>
      <c r="N44" s="43">
        <f t="shared" si="2"/>
        <v>0</v>
      </c>
      <c r="O44" s="43">
        <f t="shared" si="3"/>
        <v>0</v>
      </c>
      <c r="P44" s="46"/>
      <c r="Q44" s="40"/>
      <c r="R44" s="40"/>
      <c r="S44" s="40"/>
      <c r="T44" s="5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487" priority="78" operator="containsText" text="SIN FACTURA ">
      <formula>NOT(ISERROR(SEARCH("SIN FACTURA ",A2)))</formula>
    </cfRule>
  </conditionalFormatting>
  <conditionalFormatting sqref="A4:T4">
    <cfRule type="containsText" dxfId="486" priority="77" operator="containsText" text="SIN FACTURA">
      <formula>NOT(ISERROR(SEARCH("SIN FACTURA",A4)))</formula>
    </cfRule>
  </conditionalFormatting>
  <conditionalFormatting sqref="A5:T6 J44:T44 J42:T42 J40:T40 J38:T38 J36:T36 J34:T34 J32:T32 J30:T30 J28:T28 J26:T26 J16:T24 J7:T14 I7:I44 A7:H14 A16:H24 A26:H26 A28:H28 A30:H30 A32:H32 A34:H34 A36:H36 A38:H38 A40:H40 A42:H42 A44:H44">
    <cfRule type="containsText" dxfId="485" priority="23" operator="containsText" text="SIN FACTURA">
      <formula>NOT(ISERROR(SEARCH("SIN FACTURA",A5)))</formula>
    </cfRule>
  </conditionalFormatting>
  <conditionalFormatting sqref="C15:H15 J15:V15">
    <cfRule type="containsText" dxfId="484" priority="22" operator="containsText" text="SIN FACTURA">
      <formula>NOT(ISERROR(SEARCH("SIN FACTURA",C15)))</formula>
    </cfRule>
  </conditionalFormatting>
  <conditionalFormatting sqref="C25:H25 J25:V25">
    <cfRule type="containsText" dxfId="483" priority="21" operator="containsText" text="SIN FACTURA">
      <formula>NOT(ISERROR(SEARCH("SIN FACTURA",C25)))</formula>
    </cfRule>
  </conditionalFormatting>
  <conditionalFormatting sqref="C27:H27 J27:V27">
    <cfRule type="containsText" dxfId="482" priority="20" operator="containsText" text="SIN FACTURA">
      <formula>NOT(ISERROR(SEARCH("SIN FACTURA",C27)))</formula>
    </cfRule>
  </conditionalFormatting>
  <conditionalFormatting sqref="C29:H29 J29:V29">
    <cfRule type="containsText" dxfId="481" priority="19" operator="containsText" text="SIN FACTURA">
      <formula>NOT(ISERROR(SEARCH("SIN FACTURA",C29)))</formula>
    </cfRule>
  </conditionalFormatting>
  <conditionalFormatting sqref="C31:H31 J31:V31">
    <cfRule type="containsText" dxfId="480" priority="18" operator="containsText" text="SIN FACTURA">
      <formula>NOT(ISERROR(SEARCH("SIN FACTURA",C31)))</formula>
    </cfRule>
  </conditionalFormatting>
  <conditionalFormatting sqref="C33:H33 J33:V33">
    <cfRule type="containsText" dxfId="479" priority="17" operator="containsText" text="SIN FACTURA">
      <formula>NOT(ISERROR(SEARCH("SIN FACTURA",C33)))</formula>
    </cfRule>
  </conditionalFormatting>
  <conditionalFormatting sqref="C35:H35 J35:V35">
    <cfRule type="containsText" dxfId="478" priority="16" operator="containsText" text="SIN FACTURA">
      <formula>NOT(ISERROR(SEARCH("SIN FACTURA",C35)))</formula>
    </cfRule>
  </conditionalFormatting>
  <conditionalFormatting sqref="C37:H37 J37:V37">
    <cfRule type="containsText" dxfId="477" priority="15" operator="containsText" text="SIN FACTURA">
      <formula>NOT(ISERROR(SEARCH("SIN FACTURA",C37)))</formula>
    </cfRule>
  </conditionalFormatting>
  <conditionalFormatting sqref="C39:H39 J39:V39">
    <cfRule type="containsText" dxfId="476" priority="14" operator="containsText" text="SIN FACTURA">
      <formula>NOT(ISERROR(SEARCH("SIN FACTURA",C39)))</formula>
    </cfRule>
  </conditionalFormatting>
  <conditionalFormatting sqref="C41:H41 J41:V41">
    <cfRule type="containsText" dxfId="475" priority="13" operator="containsText" text="SIN FACTURA">
      <formula>NOT(ISERROR(SEARCH("SIN FACTURA",C41)))</formula>
    </cfRule>
  </conditionalFormatting>
  <conditionalFormatting sqref="C43:H43 J43:V43">
    <cfRule type="containsText" dxfId="474" priority="12" operator="containsText" text="SIN FACTURA">
      <formula>NOT(ISERROR(SEARCH("SIN FACTURA",C43)))</formula>
    </cfRule>
  </conditionalFormatting>
  <conditionalFormatting sqref="A15:B15">
    <cfRule type="containsText" dxfId="473" priority="11" operator="containsText" text="SIN FACTURA">
      <formula>NOT(ISERROR(SEARCH("SIN FACTURA",A15)))</formula>
    </cfRule>
  </conditionalFormatting>
  <conditionalFormatting sqref="A25:B25">
    <cfRule type="containsText" dxfId="472" priority="10" operator="containsText" text="SIN FACTURA">
      <formula>NOT(ISERROR(SEARCH("SIN FACTURA",A25)))</formula>
    </cfRule>
  </conditionalFormatting>
  <conditionalFormatting sqref="A27:B27">
    <cfRule type="containsText" dxfId="471" priority="9" operator="containsText" text="SIN FACTURA">
      <formula>NOT(ISERROR(SEARCH("SIN FACTURA",A27)))</formula>
    </cfRule>
  </conditionalFormatting>
  <conditionalFormatting sqref="A29:B29">
    <cfRule type="containsText" dxfId="470" priority="8" operator="containsText" text="SIN FACTURA">
      <formula>NOT(ISERROR(SEARCH("SIN FACTURA",A29)))</formula>
    </cfRule>
  </conditionalFormatting>
  <conditionalFormatting sqref="A31:B31">
    <cfRule type="containsText" dxfId="469" priority="7" operator="containsText" text="SIN FACTURA">
      <formula>NOT(ISERROR(SEARCH("SIN FACTURA",A31)))</formula>
    </cfRule>
  </conditionalFormatting>
  <conditionalFormatting sqref="A33:B33">
    <cfRule type="containsText" dxfId="468" priority="6" operator="containsText" text="SIN FACTURA">
      <formula>NOT(ISERROR(SEARCH("SIN FACTURA",A33)))</formula>
    </cfRule>
  </conditionalFormatting>
  <conditionalFormatting sqref="A35:B35">
    <cfRule type="containsText" dxfId="467" priority="5" operator="containsText" text="SIN FACTURA">
      <formula>NOT(ISERROR(SEARCH("SIN FACTURA",A35)))</formula>
    </cfRule>
  </conditionalFormatting>
  <conditionalFormatting sqref="A37:B37">
    <cfRule type="containsText" dxfId="466" priority="4" operator="containsText" text="SIN FACTURA">
      <formula>NOT(ISERROR(SEARCH("SIN FACTURA",A37)))</formula>
    </cfRule>
  </conditionalFormatting>
  <conditionalFormatting sqref="A39:B39">
    <cfRule type="containsText" dxfId="465" priority="3" operator="containsText" text="SIN FACTURA">
      <formula>NOT(ISERROR(SEARCH("SIN FACTURA",A39)))</formula>
    </cfRule>
  </conditionalFormatting>
  <conditionalFormatting sqref="A41:B41">
    <cfRule type="containsText" dxfId="464" priority="2" operator="containsText" text="SIN FACTURA">
      <formula>NOT(ISERROR(SEARCH("SIN FACTURA",A41)))</formula>
    </cfRule>
  </conditionalFormatting>
  <conditionalFormatting sqref="A43:B43">
    <cfRule type="containsText" dxfId="463" priority="1" operator="containsText" text="SIN FACTURA">
      <formula>NOT(ISERROR(SEARCH("SIN FACTURA",A43)))</formula>
    </cfRule>
  </conditionalFormatting>
  <pageMargins left="0.75" right="0.75" top="1" bottom="1" header="0.5" footer="0.5"/>
  <pageSetup paperSize="9" orientation="portrait" horizontalDpi="0" verticalDpi="0" r:id="rId1"/>
</worksheet>
</file>

<file path=xl/worksheets/sheet158.xml><?xml version="1.0" encoding="utf-8"?>
<worksheet xmlns="http://schemas.openxmlformats.org/spreadsheetml/2006/main" xmlns:r="http://schemas.openxmlformats.org/officeDocument/2006/relationships">
  <sheetPr codeName="Hoja235"/>
  <dimension ref="A1:Y43"/>
  <sheetViews>
    <sheetView topLeftCell="B1" zoomScale="125" zoomScaleNormal="125" zoomScalePageLayoutView="125" workbookViewId="0">
      <pane ySplit="4" topLeftCell="A5" activePane="bottomLeft" state="frozen"/>
      <selection activeCell="C52" sqref="C52"/>
      <selection pane="bottomLeft" activeCell="B5" sqref="A5:XFD10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393</v>
      </c>
      <c r="B1" s="18" t="s">
        <v>106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44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462" priority="27" operator="containsText" text="SIN FACTURA ">
      <formula>NOT(ISERROR(SEARCH("SIN FACTURA ",A2)))</formula>
    </cfRule>
  </conditionalFormatting>
  <conditionalFormatting sqref="A42:B42 I5:I43 A5:H11 J5:T11 A4:T4">
    <cfRule type="containsText" dxfId="461" priority="1" operator="containsText" text="SIN FACTURA">
      <formula>NOT(ISERROR(SEARCH("SIN FACTURA",A4)))</formula>
    </cfRule>
  </conditionalFormatting>
  <conditionalFormatting sqref="J43:T43 J41:T41 J39:T39 J37:T37 J35:T35 J33:T33 J31:T31 J29:T29 J27:T27 J25:T25 J23:T23 J13:T21 A13:H21 A23:H23 A25:H25 A27:H27 A29:H29 A31:H31 A33:H33 A35:H35 A37:H37 A39:H39 A41:H41 A43:H43">
    <cfRule type="containsText" dxfId="460" priority="25" operator="containsText" text="SIN FACTURA">
      <formula>NOT(ISERROR(SEARCH("SIN FACTURA",A13)))</formula>
    </cfRule>
  </conditionalFormatting>
  <conditionalFormatting sqref="C12:H12 J12:V12">
    <cfRule type="containsText" dxfId="459" priority="24" operator="containsText" text="SIN FACTURA">
      <formula>NOT(ISERROR(SEARCH("SIN FACTURA",C12)))</formula>
    </cfRule>
  </conditionalFormatting>
  <conditionalFormatting sqref="C22:H22 J22:V22">
    <cfRule type="containsText" dxfId="458" priority="23" operator="containsText" text="SIN FACTURA">
      <formula>NOT(ISERROR(SEARCH("SIN FACTURA",C22)))</formula>
    </cfRule>
  </conditionalFormatting>
  <conditionalFormatting sqref="C24:H24 J24:V24">
    <cfRule type="containsText" dxfId="457" priority="22" operator="containsText" text="SIN FACTURA">
      <formula>NOT(ISERROR(SEARCH("SIN FACTURA",C24)))</formula>
    </cfRule>
  </conditionalFormatting>
  <conditionalFormatting sqref="C26:H26 J26:V26">
    <cfRule type="containsText" dxfId="456" priority="21" operator="containsText" text="SIN FACTURA">
      <formula>NOT(ISERROR(SEARCH("SIN FACTURA",C26)))</formula>
    </cfRule>
  </conditionalFormatting>
  <conditionalFormatting sqref="C28:H28 J28:V28">
    <cfRule type="containsText" dxfId="455" priority="20" operator="containsText" text="SIN FACTURA">
      <formula>NOT(ISERROR(SEARCH("SIN FACTURA",C28)))</formula>
    </cfRule>
  </conditionalFormatting>
  <conditionalFormatting sqref="C30:H30 J30:V30">
    <cfRule type="containsText" dxfId="454" priority="19" operator="containsText" text="SIN FACTURA">
      <formula>NOT(ISERROR(SEARCH("SIN FACTURA",C30)))</formula>
    </cfRule>
  </conditionalFormatting>
  <conditionalFormatting sqref="C32:H32 J32:V32">
    <cfRule type="containsText" dxfId="453" priority="18" operator="containsText" text="SIN FACTURA">
      <formula>NOT(ISERROR(SEARCH("SIN FACTURA",C32)))</formula>
    </cfRule>
  </conditionalFormatting>
  <conditionalFormatting sqref="C34:H34 J34:V34">
    <cfRule type="containsText" dxfId="452" priority="17" operator="containsText" text="SIN FACTURA">
      <formula>NOT(ISERROR(SEARCH("SIN FACTURA",C34)))</formula>
    </cfRule>
  </conditionalFormatting>
  <conditionalFormatting sqref="C36:H36 J36:V36">
    <cfRule type="containsText" dxfId="451" priority="16" operator="containsText" text="SIN FACTURA">
      <formula>NOT(ISERROR(SEARCH("SIN FACTURA",C36)))</formula>
    </cfRule>
  </conditionalFormatting>
  <conditionalFormatting sqref="C38:H38 J38:V38">
    <cfRule type="containsText" dxfId="450" priority="15" operator="containsText" text="SIN FACTURA">
      <formula>NOT(ISERROR(SEARCH("SIN FACTURA",C38)))</formula>
    </cfRule>
  </conditionalFormatting>
  <conditionalFormatting sqref="C40:H40 J40:V40">
    <cfRule type="containsText" dxfId="449" priority="14" operator="containsText" text="SIN FACTURA">
      <formula>NOT(ISERROR(SEARCH("SIN FACTURA",C40)))</formula>
    </cfRule>
  </conditionalFormatting>
  <conditionalFormatting sqref="C42:H42 J42:V42">
    <cfRule type="containsText" dxfId="448" priority="13" operator="containsText" text="SIN FACTURA">
      <formula>NOT(ISERROR(SEARCH("SIN FACTURA",C42)))</formula>
    </cfRule>
  </conditionalFormatting>
  <conditionalFormatting sqref="A12:B12">
    <cfRule type="containsText" dxfId="447" priority="12" operator="containsText" text="SIN FACTURA">
      <formula>NOT(ISERROR(SEARCH("SIN FACTURA",A12)))</formula>
    </cfRule>
  </conditionalFormatting>
  <conditionalFormatting sqref="A22:B22">
    <cfRule type="containsText" dxfId="446" priority="11" operator="containsText" text="SIN FACTURA">
      <formula>NOT(ISERROR(SEARCH("SIN FACTURA",A22)))</formula>
    </cfRule>
  </conditionalFormatting>
  <conditionalFormatting sqref="A24:B24">
    <cfRule type="containsText" dxfId="445" priority="10" operator="containsText" text="SIN FACTURA">
      <formula>NOT(ISERROR(SEARCH("SIN FACTURA",A24)))</formula>
    </cfRule>
  </conditionalFormatting>
  <conditionalFormatting sqref="A26:B26">
    <cfRule type="containsText" dxfId="444" priority="9" operator="containsText" text="SIN FACTURA">
      <formula>NOT(ISERROR(SEARCH("SIN FACTURA",A26)))</formula>
    </cfRule>
  </conditionalFormatting>
  <conditionalFormatting sqref="A28:B28">
    <cfRule type="containsText" dxfId="443" priority="8" operator="containsText" text="SIN FACTURA">
      <formula>NOT(ISERROR(SEARCH("SIN FACTURA",A28)))</formula>
    </cfRule>
  </conditionalFormatting>
  <conditionalFormatting sqref="A30:B30">
    <cfRule type="containsText" dxfId="442" priority="7" operator="containsText" text="SIN FACTURA">
      <formula>NOT(ISERROR(SEARCH("SIN FACTURA",A30)))</formula>
    </cfRule>
  </conditionalFormatting>
  <conditionalFormatting sqref="A32:B32">
    <cfRule type="containsText" dxfId="441" priority="6" operator="containsText" text="SIN FACTURA">
      <formula>NOT(ISERROR(SEARCH("SIN FACTURA",A32)))</formula>
    </cfRule>
  </conditionalFormatting>
  <conditionalFormatting sqref="A34:B34">
    <cfRule type="containsText" dxfId="440" priority="5" operator="containsText" text="SIN FACTURA">
      <formula>NOT(ISERROR(SEARCH("SIN FACTURA",A34)))</formula>
    </cfRule>
  </conditionalFormatting>
  <conditionalFormatting sqref="A36:B36">
    <cfRule type="containsText" dxfId="439" priority="4" operator="containsText" text="SIN FACTURA">
      <formula>NOT(ISERROR(SEARCH("SIN FACTURA",A36)))</formula>
    </cfRule>
  </conditionalFormatting>
  <conditionalFormatting sqref="A38:B38">
    <cfRule type="containsText" dxfId="438" priority="3" operator="containsText" text="SIN FACTURA">
      <formula>NOT(ISERROR(SEARCH("SIN FACTURA",A38)))</formula>
    </cfRule>
  </conditionalFormatting>
  <conditionalFormatting sqref="A40:B40">
    <cfRule type="containsText" dxfId="437" priority="2" operator="containsText" text="SIN FACTURA">
      <formula>NOT(ISERROR(SEARCH("SIN FACTURA",A40)))</formula>
    </cfRule>
  </conditionalFormatting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>
  <sheetPr codeName="Hoja188"/>
  <dimension ref="A1:Y33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1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173</v>
      </c>
      <c r="B1" s="18"/>
      <c r="C1" s="20"/>
      <c r="D1" s="5">
        <v>455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3" si="0">F5-G5-H5</f>
        <v>0</v>
      </c>
      <c r="J5" s="44">
        <f t="shared" ref="J5:J33" si="1">S5+T5</f>
        <v>0</v>
      </c>
      <c r="K5" s="44">
        <f t="shared" ref="K5:K33" si="2">I5-J5</f>
        <v>0</v>
      </c>
      <c r="L5" s="45"/>
      <c r="M5" s="40"/>
      <c r="N5" s="43">
        <f t="shared" ref="N5:N33" si="3">I5-J5-M5-R5</f>
        <v>0</v>
      </c>
      <c r="O5" s="43">
        <f t="shared" ref="O5:O33" si="4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>S7+T7</f>
        <v>0</v>
      </c>
      <c r="K7" s="44">
        <f t="shared" si="2"/>
        <v>0</v>
      </c>
      <c r="L7" s="45"/>
      <c r="M7" s="40"/>
      <c r="N7" s="43">
        <f>I7-J7-M7-R7</f>
        <v>0</v>
      </c>
      <c r="O7" s="43">
        <f>R7+S7+T7</f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0" ht="15">
      <c r="A33" s="50"/>
      <c r="B33" s="51"/>
      <c r="C33" s="52"/>
      <c r="D33" s="50"/>
      <c r="E33" s="50"/>
      <c r="F33" s="50"/>
      <c r="G33" s="43">
        <f>F33*6%</f>
        <v>0</v>
      </c>
      <c r="H33" s="53"/>
      <c r="I33" s="78">
        <f t="shared" si="0"/>
        <v>0</v>
      </c>
      <c r="J33" s="54">
        <f t="shared" si="1"/>
        <v>0</v>
      </c>
      <c r="K33" s="54">
        <f t="shared" si="2"/>
        <v>0</v>
      </c>
      <c r="L33" s="55"/>
      <c r="M33" s="50"/>
      <c r="N33" s="53">
        <f t="shared" si="3"/>
        <v>0</v>
      </c>
      <c r="O33" s="53">
        <f t="shared" si="4"/>
        <v>0</v>
      </c>
      <c r="P33" s="56"/>
      <c r="Q33" s="50"/>
      <c r="R33" s="50"/>
      <c r="S33" s="50"/>
      <c r="T3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436" priority="26" operator="containsText" text="SIN FACTURA ">
      <formula>NOT(ISERROR(SEARCH("SIN FACTURA ",A2)))</formula>
    </cfRule>
  </conditionalFormatting>
  <conditionalFormatting sqref="J33:T33 J31:T31 J29:T29 J27:T27 J25:T25 J23:T23 J21:T21 J19:T19 J17:T17 J15:T15 J13:T13 A13:H13 A15:H15 A17:H17 A19:H19 A21:H21 A23:H23 A25:H25 A27:H27 A29:H29 A31:H31 A33:H33 A4:T4 J5:T11 I5:I33 A5:H11">
    <cfRule type="containsText" dxfId="435" priority="25" operator="containsText" text="SIN FACTURA">
      <formula>NOT(ISERROR(SEARCH("SIN FACTURA",A4)))</formula>
    </cfRule>
  </conditionalFormatting>
  <conditionalFormatting sqref="C12:H12 J12:V12">
    <cfRule type="containsText" dxfId="434" priority="23" operator="containsText" text="SIN FACTURA">
      <formula>NOT(ISERROR(SEARCH("SIN FACTURA",C12)))</formula>
    </cfRule>
  </conditionalFormatting>
  <conditionalFormatting sqref="C14:H14 J14:V14">
    <cfRule type="containsText" dxfId="433" priority="22" operator="containsText" text="SIN FACTURA">
      <formula>NOT(ISERROR(SEARCH("SIN FACTURA",C14)))</formula>
    </cfRule>
  </conditionalFormatting>
  <conditionalFormatting sqref="C16:H16 J16:V16">
    <cfRule type="containsText" dxfId="432" priority="21" operator="containsText" text="SIN FACTURA">
      <formula>NOT(ISERROR(SEARCH("SIN FACTURA",C16)))</formula>
    </cfRule>
  </conditionalFormatting>
  <conditionalFormatting sqref="C18:H18 J18:V18">
    <cfRule type="containsText" dxfId="431" priority="20" operator="containsText" text="SIN FACTURA">
      <formula>NOT(ISERROR(SEARCH("SIN FACTURA",C18)))</formula>
    </cfRule>
  </conditionalFormatting>
  <conditionalFormatting sqref="C20:H20 J20:V20">
    <cfRule type="containsText" dxfId="430" priority="19" operator="containsText" text="SIN FACTURA">
      <formula>NOT(ISERROR(SEARCH("SIN FACTURA",C20)))</formula>
    </cfRule>
  </conditionalFormatting>
  <conditionalFormatting sqref="C22:H22 J22:V22">
    <cfRule type="containsText" dxfId="429" priority="18" operator="containsText" text="SIN FACTURA">
      <formula>NOT(ISERROR(SEARCH("SIN FACTURA",C22)))</formula>
    </cfRule>
  </conditionalFormatting>
  <conditionalFormatting sqref="C24:H24 J24:V24">
    <cfRule type="containsText" dxfId="428" priority="17" operator="containsText" text="SIN FACTURA">
      <formula>NOT(ISERROR(SEARCH("SIN FACTURA",C24)))</formula>
    </cfRule>
  </conditionalFormatting>
  <conditionalFormatting sqref="C26:H26 J26:V26">
    <cfRule type="containsText" dxfId="427" priority="16" operator="containsText" text="SIN FACTURA">
      <formula>NOT(ISERROR(SEARCH("SIN FACTURA",C26)))</formula>
    </cfRule>
  </conditionalFormatting>
  <conditionalFormatting sqref="C28:H28 J28:V28">
    <cfRule type="containsText" dxfId="426" priority="15" operator="containsText" text="SIN FACTURA">
      <formula>NOT(ISERROR(SEARCH("SIN FACTURA",C28)))</formula>
    </cfRule>
  </conditionalFormatting>
  <conditionalFormatting sqref="C30:H30 J30:V30">
    <cfRule type="containsText" dxfId="425" priority="14" operator="containsText" text="SIN FACTURA">
      <formula>NOT(ISERROR(SEARCH("SIN FACTURA",C30)))</formula>
    </cfRule>
  </conditionalFormatting>
  <conditionalFormatting sqref="C32:H32 J32:V32">
    <cfRule type="containsText" dxfId="424" priority="13" operator="containsText" text="SIN FACTURA">
      <formula>NOT(ISERROR(SEARCH("SIN FACTURA",C32)))</formula>
    </cfRule>
  </conditionalFormatting>
  <conditionalFormatting sqref="A12:B12">
    <cfRule type="containsText" dxfId="423" priority="11" operator="containsText" text="SIN FACTURA">
      <formula>NOT(ISERROR(SEARCH("SIN FACTURA",A12)))</formula>
    </cfRule>
  </conditionalFormatting>
  <conditionalFormatting sqref="A14:B14">
    <cfRule type="containsText" dxfId="422" priority="10" operator="containsText" text="SIN FACTURA">
      <formula>NOT(ISERROR(SEARCH("SIN FACTURA",A14)))</formula>
    </cfRule>
  </conditionalFormatting>
  <conditionalFormatting sqref="A16:B16">
    <cfRule type="containsText" dxfId="421" priority="9" operator="containsText" text="SIN FACTURA">
      <formula>NOT(ISERROR(SEARCH("SIN FACTURA",A16)))</formula>
    </cfRule>
  </conditionalFormatting>
  <conditionalFormatting sqref="A18:B18">
    <cfRule type="containsText" dxfId="420" priority="8" operator="containsText" text="SIN FACTURA">
      <formula>NOT(ISERROR(SEARCH("SIN FACTURA",A18)))</formula>
    </cfRule>
  </conditionalFormatting>
  <conditionalFormatting sqref="A20:B20">
    <cfRule type="containsText" dxfId="419" priority="7" operator="containsText" text="SIN FACTURA">
      <formula>NOT(ISERROR(SEARCH("SIN FACTURA",A20)))</formula>
    </cfRule>
  </conditionalFormatting>
  <conditionalFormatting sqref="A32:B32">
    <cfRule type="containsText" dxfId="418" priority="1" operator="containsText" text="SIN FACTURA">
      <formula>NOT(ISERROR(SEARCH("SIN FACTURA",A32)))</formula>
    </cfRule>
  </conditionalFormatting>
  <conditionalFormatting sqref="A22:B22">
    <cfRule type="containsText" dxfId="417" priority="6" operator="containsText" text="SIN FACTURA">
      <formula>NOT(ISERROR(SEARCH("SIN FACTURA",A22)))</formula>
    </cfRule>
  </conditionalFormatting>
  <conditionalFormatting sqref="A24:B24">
    <cfRule type="containsText" dxfId="416" priority="5" operator="containsText" text="SIN FACTURA">
      <formula>NOT(ISERROR(SEARCH("SIN FACTURA",A24)))</formula>
    </cfRule>
  </conditionalFormatting>
  <conditionalFormatting sqref="A26:B26">
    <cfRule type="containsText" dxfId="415" priority="4" operator="containsText" text="SIN FACTURA">
      <formula>NOT(ISERROR(SEARCH("SIN FACTURA",A26)))</formula>
    </cfRule>
  </conditionalFormatting>
  <conditionalFormatting sqref="A28:B28">
    <cfRule type="containsText" dxfId="414" priority="3" operator="containsText" text="SIN FACTURA">
      <formula>NOT(ISERROR(SEARCH("SIN FACTURA",A28)))</formula>
    </cfRule>
  </conditionalFormatting>
  <conditionalFormatting sqref="A30:B30">
    <cfRule type="containsText" dxfId="413" priority="2" operator="containsText" text="SIN FACTURA">
      <formula>NOT(ISERROR(SEARCH("SIN FACTURA",A30)))</formula>
    </cfRule>
  </conditionalFormatting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>
  <sheetPr codeName="Hoja236"/>
  <dimension ref="A1:Y37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14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4">
        <v>397</v>
      </c>
      <c r="B1" s="15" t="s">
        <v>105</v>
      </c>
      <c r="C1" s="1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6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7" si="0">F5-G5-H5</f>
        <v>0</v>
      </c>
      <c r="J5" s="44">
        <f t="shared" ref="J5:J37" si="1">S5+T5</f>
        <v>0</v>
      </c>
      <c r="K5" s="44">
        <f t="shared" ref="K5:K37" si="2">I5-J5</f>
        <v>0</v>
      </c>
      <c r="L5" s="45"/>
      <c r="M5" s="40"/>
      <c r="N5" s="43">
        <f t="shared" ref="N5:N37" si="3">I5-J5-M5-R5</f>
        <v>0</v>
      </c>
      <c r="O5" s="43">
        <f t="shared" ref="O5:O37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2"/>
      <c r="D6" s="33"/>
      <c r="E6" s="34"/>
      <c r="F6" s="32"/>
      <c r="G6" s="32"/>
      <c r="H6" s="32"/>
      <c r="I6" s="37"/>
      <c r="J6" s="37"/>
      <c r="K6" s="35"/>
      <c r="L6" s="35"/>
      <c r="M6" s="35"/>
      <c r="N6" s="36"/>
      <c r="O6" s="32"/>
      <c r="P6" s="37"/>
      <c r="Q6" s="37"/>
      <c r="R6" s="38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>S11+T11</f>
        <v>0</v>
      </c>
      <c r="K11" s="44">
        <f t="shared" si="2"/>
        <v>0</v>
      </c>
      <c r="L11" s="45"/>
      <c r="M11" s="40"/>
      <c r="N11" s="43">
        <f>I11-J11-M11-R11</f>
        <v>0</v>
      </c>
      <c r="O11" s="43">
        <f>R11+S11+T11</f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50"/>
      <c r="B37" s="51"/>
      <c r="C37" s="52"/>
      <c r="D37" s="50"/>
      <c r="E37" s="50"/>
      <c r="F37" s="50"/>
      <c r="G37" s="43">
        <f>F37*6%</f>
        <v>0</v>
      </c>
      <c r="H37" s="53"/>
      <c r="I37" s="44">
        <f t="shared" si="0"/>
        <v>0</v>
      </c>
      <c r="J37" s="54">
        <f t="shared" si="1"/>
        <v>0</v>
      </c>
      <c r="K37" s="54">
        <f t="shared" si="2"/>
        <v>0</v>
      </c>
      <c r="L37" s="55"/>
      <c r="M37" s="50"/>
      <c r="N37" s="53">
        <f t="shared" si="3"/>
        <v>0</v>
      </c>
      <c r="O37" s="53">
        <f t="shared" si="4"/>
        <v>0</v>
      </c>
      <c r="P37" s="56"/>
      <c r="Q37" s="50"/>
      <c r="R37" s="50"/>
      <c r="S37" s="50"/>
      <c r="T37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412" priority="27" operator="containsText" text="SIN FACTURA ">
      <formula>NOT(ISERROR(SEARCH("SIN FACTURA ",A2)))</formula>
    </cfRule>
  </conditionalFormatting>
  <conditionalFormatting sqref="A36:B36 A4:T4 J5:T5 I5:I37 A5:H5">
    <cfRule type="containsText" dxfId="411" priority="1" operator="containsText" text="SIN FACTURA">
      <formula>NOT(ISERROR(SEARCH("SIN FACTURA",A4)))</formula>
    </cfRule>
  </conditionalFormatting>
  <conditionalFormatting sqref="J37:T37 J35:T35 J33:T33 J31:T31 J29:T29 J27:T27 J25:T25 J23:T23 J21:T21 J19:T19 J17:T17 J7:T15 A7:H15 A17:H17 A19:H19 A21:H21 A23:H23 A25:H25 A27:H27 A29:H29 A31:H31 A33:H33 A35:H35 A37:H37">
    <cfRule type="containsText" dxfId="410" priority="25" operator="containsText" text="SIN FACTURA">
      <formula>NOT(ISERROR(SEARCH("SIN FACTURA",A7)))</formula>
    </cfRule>
  </conditionalFormatting>
  <conditionalFormatting sqref="C6:H6 J6:V6">
    <cfRule type="containsText" dxfId="409" priority="24" operator="containsText" text="SIN FACTURA">
      <formula>NOT(ISERROR(SEARCH("SIN FACTURA",C6)))</formula>
    </cfRule>
  </conditionalFormatting>
  <conditionalFormatting sqref="C16:H16 J16:V16">
    <cfRule type="containsText" dxfId="408" priority="23" operator="containsText" text="SIN FACTURA">
      <formula>NOT(ISERROR(SEARCH("SIN FACTURA",C16)))</formula>
    </cfRule>
  </conditionalFormatting>
  <conditionalFormatting sqref="C18:H18 J18:V18">
    <cfRule type="containsText" dxfId="407" priority="22" operator="containsText" text="SIN FACTURA">
      <formula>NOT(ISERROR(SEARCH("SIN FACTURA",C18)))</formula>
    </cfRule>
  </conditionalFormatting>
  <conditionalFormatting sqref="C20:H20 J20:V20">
    <cfRule type="containsText" dxfId="406" priority="21" operator="containsText" text="SIN FACTURA">
      <formula>NOT(ISERROR(SEARCH("SIN FACTURA",C20)))</formula>
    </cfRule>
  </conditionalFormatting>
  <conditionalFormatting sqref="C22:H22 J22:V22">
    <cfRule type="containsText" dxfId="405" priority="20" operator="containsText" text="SIN FACTURA">
      <formula>NOT(ISERROR(SEARCH("SIN FACTURA",C22)))</formula>
    </cfRule>
  </conditionalFormatting>
  <conditionalFormatting sqref="C24:H24 J24:V24">
    <cfRule type="containsText" dxfId="404" priority="19" operator="containsText" text="SIN FACTURA">
      <formula>NOT(ISERROR(SEARCH("SIN FACTURA",C24)))</formula>
    </cfRule>
  </conditionalFormatting>
  <conditionalFormatting sqref="C26:H26 J26:V26">
    <cfRule type="containsText" dxfId="403" priority="18" operator="containsText" text="SIN FACTURA">
      <formula>NOT(ISERROR(SEARCH("SIN FACTURA",C26)))</formula>
    </cfRule>
  </conditionalFormatting>
  <conditionalFormatting sqref="C28:H28 J28:V28">
    <cfRule type="containsText" dxfId="402" priority="17" operator="containsText" text="SIN FACTURA">
      <formula>NOT(ISERROR(SEARCH("SIN FACTURA",C28)))</formula>
    </cfRule>
  </conditionalFormatting>
  <conditionalFormatting sqref="C30:H30 J30:V30">
    <cfRule type="containsText" dxfId="401" priority="16" operator="containsText" text="SIN FACTURA">
      <formula>NOT(ISERROR(SEARCH("SIN FACTURA",C30)))</formula>
    </cfRule>
  </conditionalFormatting>
  <conditionalFormatting sqref="C32:H32 J32:V32">
    <cfRule type="containsText" dxfId="400" priority="15" operator="containsText" text="SIN FACTURA">
      <formula>NOT(ISERROR(SEARCH("SIN FACTURA",C32)))</formula>
    </cfRule>
  </conditionalFormatting>
  <conditionalFormatting sqref="C34:H34 J34:V34">
    <cfRule type="containsText" dxfId="399" priority="14" operator="containsText" text="SIN FACTURA">
      <formula>NOT(ISERROR(SEARCH("SIN FACTURA",C34)))</formula>
    </cfRule>
  </conditionalFormatting>
  <conditionalFormatting sqref="C36:H36 J36:V36">
    <cfRule type="containsText" dxfId="398" priority="13" operator="containsText" text="SIN FACTURA">
      <formula>NOT(ISERROR(SEARCH("SIN FACTURA",C36)))</formula>
    </cfRule>
  </conditionalFormatting>
  <conditionalFormatting sqref="A6:B6">
    <cfRule type="containsText" dxfId="397" priority="12" operator="containsText" text="SIN FACTURA">
      <formula>NOT(ISERROR(SEARCH("SIN FACTURA",A6)))</formula>
    </cfRule>
  </conditionalFormatting>
  <conditionalFormatting sqref="A16:B16">
    <cfRule type="containsText" dxfId="396" priority="11" operator="containsText" text="SIN FACTURA">
      <formula>NOT(ISERROR(SEARCH("SIN FACTURA",A16)))</formula>
    </cfRule>
  </conditionalFormatting>
  <conditionalFormatting sqref="A18:B18">
    <cfRule type="containsText" dxfId="395" priority="10" operator="containsText" text="SIN FACTURA">
      <formula>NOT(ISERROR(SEARCH("SIN FACTURA",A18)))</formula>
    </cfRule>
  </conditionalFormatting>
  <conditionalFormatting sqref="A20:B20">
    <cfRule type="containsText" dxfId="394" priority="9" operator="containsText" text="SIN FACTURA">
      <formula>NOT(ISERROR(SEARCH("SIN FACTURA",A20)))</formula>
    </cfRule>
  </conditionalFormatting>
  <conditionalFormatting sqref="A22:B22">
    <cfRule type="containsText" dxfId="393" priority="8" operator="containsText" text="SIN FACTURA">
      <formula>NOT(ISERROR(SEARCH("SIN FACTURA",A22)))</formula>
    </cfRule>
  </conditionalFormatting>
  <conditionalFormatting sqref="A24:B24">
    <cfRule type="containsText" dxfId="392" priority="7" operator="containsText" text="SIN FACTURA">
      <formula>NOT(ISERROR(SEARCH("SIN FACTURA",A24)))</formula>
    </cfRule>
  </conditionalFormatting>
  <conditionalFormatting sqref="A26:B26">
    <cfRule type="containsText" dxfId="391" priority="6" operator="containsText" text="SIN FACTURA">
      <formula>NOT(ISERROR(SEARCH("SIN FACTURA",A26)))</formula>
    </cfRule>
  </conditionalFormatting>
  <conditionalFormatting sqref="A28:B28">
    <cfRule type="containsText" dxfId="390" priority="5" operator="containsText" text="SIN FACTURA">
      <formula>NOT(ISERROR(SEARCH("SIN FACTURA",A28)))</formula>
    </cfRule>
  </conditionalFormatting>
  <conditionalFormatting sqref="A30:B30">
    <cfRule type="containsText" dxfId="389" priority="4" operator="containsText" text="SIN FACTURA">
      <formula>NOT(ISERROR(SEARCH("SIN FACTURA",A30)))</formula>
    </cfRule>
  </conditionalFormatting>
  <conditionalFormatting sqref="A32:B32">
    <cfRule type="containsText" dxfId="388" priority="3" operator="containsText" text="SIN FACTURA">
      <formula>NOT(ISERROR(SEARCH("SIN FACTURA",A32)))</formula>
    </cfRule>
  </conditionalFormatting>
  <conditionalFormatting sqref="A34:B34">
    <cfRule type="containsText" dxfId="387" priority="2" operator="containsText" text="SIN FACTURA">
      <formula>NOT(ISERROR(SEARCH("SIN FACTURA",A34)))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161.xml><?xml version="1.0" encoding="utf-8"?>
<worksheet xmlns="http://schemas.openxmlformats.org/spreadsheetml/2006/main" xmlns:r="http://schemas.openxmlformats.org/officeDocument/2006/relationships">
  <sheetPr codeName="Hoja237"/>
  <dimension ref="A1:Y39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10"/>
    </sheetView>
  </sheetViews>
  <sheetFormatPr baseColWidth="10" defaultColWidth="10.875" defaultRowHeight="15.75"/>
  <cols>
    <col min="1" max="1" width="18.625" style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4">
        <v>68</v>
      </c>
      <c r="B1" s="15" t="s">
        <v>67</v>
      </c>
      <c r="C1" s="1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6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9" si="0">F5-G5-H5</f>
        <v>0</v>
      </c>
      <c r="J5" s="44">
        <f>S5+T5</f>
        <v>0</v>
      </c>
      <c r="K5" s="44">
        <f>I5-J5</f>
        <v>0</v>
      </c>
      <c r="L5" s="45"/>
      <c r="M5" s="40"/>
      <c r="N5" s="43">
        <f t="shared" ref="N5:N39" si="1">I5-J5-M5-R5</f>
        <v>0</v>
      </c>
      <c r="O5" s="43">
        <f t="shared" ref="O5:O39" si="2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ref="J7:J39" si="3">S7+T7</f>
        <v>0</v>
      </c>
      <c r="K7" s="44">
        <f t="shared" ref="K7:K39" si="4">I7-J7</f>
        <v>0</v>
      </c>
      <c r="L7" s="45"/>
      <c r="M7" s="40"/>
      <c r="N7" s="43">
        <f t="shared" si="1"/>
        <v>0</v>
      </c>
      <c r="O7" s="43">
        <f t="shared" si="2"/>
        <v>0</v>
      </c>
      <c r="P7" s="46"/>
      <c r="Q7" s="40"/>
      <c r="R7" s="47"/>
      <c r="S7" s="47"/>
      <c r="T7" s="48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3"/>
        <v>0</v>
      </c>
      <c r="K9" s="44">
        <f t="shared" si="4"/>
        <v>0</v>
      </c>
      <c r="L9" s="45"/>
      <c r="M9" s="40"/>
      <c r="N9" s="43">
        <f t="shared" si="1"/>
        <v>0</v>
      </c>
      <c r="O9" s="43">
        <f t="shared" si="2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3"/>
        <v>0</v>
      </c>
      <c r="K11" s="44">
        <f t="shared" si="4"/>
        <v>0</v>
      </c>
      <c r="L11" s="45"/>
      <c r="M11" s="40"/>
      <c r="N11" s="43">
        <f t="shared" si="1"/>
        <v>0</v>
      </c>
      <c r="O11" s="43">
        <f t="shared" si="2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>S13+T13</f>
        <v>0</v>
      </c>
      <c r="K13" s="44">
        <f t="shared" si="4"/>
        <v>0</v>
      </c>
      <c r="L13" s="45"/>
      <c r="M13" s="40"/>
      <c r="N13" s="43">
        <f>I13-J13-M13-R13</f>
        <v>0</v>
      </c>
      <c r="O13" s="43">
        <f>R13+S13+T13</f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3"/>
        <v>0</v>
      </c>
      <c r="K15" s="44">
        <f t="shared" si="4"/>
        <v>0</v>
      </c>
      <c r="L15" s="45"/>
      <c r="M15" s="40"/>
      <c r="N15" s="43">
        <f t="shared" si="1"/>
        <v>0</v>
      </c>
      <c r="O15" s="43">
        <f t="shared" si="2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3"/>
        <v>0</v>
      </c>
      <c r="K17" s="44">
        <f t="shared" si="4"/>
        <v>0</v>
      </c>
      <c r="L17" s="45"/>
      <c r="M17" s="40"/>
      <c r="N17" s="43">
        <f t="shared" si="1"/>
        <v>0</v>
      </c>
      <c r="O17" s="43">
        <f t="shared" si="2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3"/>
        <v>0</v>
      </c>
      <c r="K19" s="44">
        <f t="shared" si="4"/>
        <v>0</v>
      </c>
      <c r="L19" s="45"/>
      <c r="M19" s="40"/>
      <c r="N19" s="43">
        <f t="shared" si="1"/>
        <v>0</v>
      </c>
      <c r="O19" s="43">
        <f t="shared" si="2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3"/>
        <v>0</v>
      </c>
      <c r="K21" s="44">
        <f t="shared" si="4"/>
        <v>0</v>
      </c>
      <c r="L21" s="45"/>
      <c r="M21" s="40"/>
      <c r="N21" s="43">
        <f t="shared" si="1"/>
        <v>0</v>
      </c>
      <c r="O21" s="43">
        <f t="shared" si="2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3"/>
        <v>0</v>
      </c>
      <c r="K23" s="44">
        <f t="shared" si="4"/>
        <v>0</v>
      </c>
      <c r="L23" s="45"/>
      <c r="M23" s="40"/>
      <c r="N23" s="43">
        <f t="shared" si="1"/>
        <v>0</v>
      </c>
      <c r="O23" s="43">
        <f t="shared" si="2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3"/>
        <v>0</v>
      </c>
      <c r="K25" s="44">
        <f t="shared" si="4"/>
        <v>0</v>
      </c>
      <c r="L25" s="45"/>
      <c r="M25" s="40"/>
      <c r="N25" s="43">
        <f t="shared" si="1"/>
        <v>0</v>
      </c>
      <c r="O25" s="43">
        <f t="shared" si="2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3"/>
        <v>0</v>
      </c>
      <c r="K27" s="44">
        <f t="shared" si="4"/>
        <v>0</v>
      </c>
      <c r="L27" s="45"/>
      <c r="M27" s="40"/>
      <c r="N27" s="43">
        <f t="shared" si="1"/>
        <v>0</v>
      </c>
      <c r="O27" s="43">
        <f t="shared" si="2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3"/>
        <v>0</v>
      </c>
      <c r="K29" s="44">
        <f t="shared" si="4"/>
        <v>0</v>
      </c>
      <c r="L29" s="45"/>
      <c r="M29" s="40"/>
      <c r="N29" s="43">
        <f t="shared" si="1"/>
        <v>0</v>
      </c>
      <c r="O29" s="43">
        <f t="shared" si="2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3"/>
        <v>0</v>
      </c>
      <c r="K31" s="44">
        <f t="shared" si="4"/>
        <v>0</v>
      </c>
      <c r="L31" s="45"/>
      <c r="M31" s="40"/>
      <c r="N31" s="43">
        <f t="shared" si="1"/>
        <v>0</v>
      </c>
      <c r="O31" s="43">
        <f t="shared" si="2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3"/>
        <v>0</v>
      </c>
      <c r="K33" s="44">
        <f t="shared" si="4"/>
        <v>0</v>
      </c>
      <c r="L33" s="45"/>
      <c r="M33" s="40"/>
      <c r="N33" s="43">
        <f t="shared" si="1"/>
        <v>0</v>
      </c>
      <c r="O33" s="43">
        <f t="shared" si="2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3"/>
        <v>0</v>
      </c>
      <c r="K35" s="44">
        <f t="shared" si="4"/>
        <v>0</v>
      </c>
      <c r="L35" s="45"/>
      <c r="M35" s="40"/>
      <c r="N35" s="43">
        <f t="shared" si="1"/>
        <v>0</v>
      </c>
      <c r="O35" s="43">
        <f t="shared" si="2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3"/>
        <v>0</v>
      </c>
      <c r="K37" s="44">
        <f t="shared" si="4"/>
        <v>0</v>
      </c>
      <c r="L37" s="45"/>
      <c r="M37" s="40"/>
      <c r="N37" s="43">
        <f t="shared" si="1"/>
        <v>0</v>
      </c>
      <c r="O37" s="43">
        <f t="shared" si="2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50"/>
      <c r="B39" s="51"/>
      <c r="C39" s="52"/>
      <c r="D39" s="50"/>
      <c r="E39" s="50"/>
      <c r="F39" s="50"/>
      <c r="G39" s="43">
        <f>F39*6%</f>
        <v>0</v>
      </c>
      <c r="H39" s="53"/>
      <c r="I39" s="44">
        <f t="shared" si="0"/>
        <v>0</v>
      </c>
      <c r="J39" s="54">
        <f t="shared" si="3"/>
        <v>0</v>
      </c>
      <c r="K39" s="54">
        <f t="shared" si="4"/>
        <v>0</v>
      </c>
      <c r="L39" s="55"/>
      <c r="M39" s="50"/>
      <c r="N39" s="53">
        <f t="shared" si="1"/>
        <v>0</v>
      </c>
      <c r="O39" s="53">
        <f t="shared" si="2"/>
        <v>0</v>
      </c>
      <c r="P39" s="56"/>
      <c r="Q39" s="50"/>
      <c r="R39" s="50"/>
      <c r="S39" s="50"/>
      <c r="T39" s="57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386" priority="27" operator="containsText" text="SIN FACTURA ">
      <formula>NOT(ISERROR(SEARCH("SIN FACTURA ",A2)))</formula>
    </cfRule>
  </conditionalFormatting>
  <conditionalFormatting sqref="A38:B38 A4:T4 J5:T7 I5:I39 A5:H7">
    <cfRule type="containsText" dxfId="385" priority="1" operator="containsText" text="SIN FACTURA">
      <formula>NOT(ISERROR(SEARCH("SIN FACTURA",A4)))</formula>
    </cfRule>
  </conditionalFormatting>
  <conditionalFormatting sqref="J39:T39 J37:T37 J35:T35 J33:T33 J31:T31 J29:T29 J27:T27 J25:T25 J23:T23 J21:T21 J19:T19 J9:T17 A9:H17 A19:H19 A21:H21 A23:H23 A25:H25 A27:H27 A29:H29 A31:H31 A33:H33 A35:H35 A37:H37 A39:H39">
    <cfRule type="containsText" dxfId="384" priority="25" operator="containsText" text="SIN FACTURA">
      <formula>NOT(ISERROR(SEARCH("SIN FACTURA",A9)))</formula>
    </cfRule>
  </conditionalFormatting>
  <conditionalFormatting sqref="C8:H8 J8:V8">
    <cfRule type="containsText" dxfId="383" priority="24" operator="containsText" text="SIN FACTURA">
      <formula>NOT(ISERROR(SEARCH("SIN FACTURA",C8)))</formula>
    </cfRule>
  </conditionalFormatting>
  <conditionalFormatting sqref="C18:H18 J18:V18">
    <cfRule type="containsText" dxfId="382" priority="23" operator="containsText" text="SIN FACTURA">
      <formula>NOT(ISERROR(SEARCH("SIN FACTURA",C18)))</formula>
    </cfRule>
  </conditionalFormatting>
  <conditionalFormatting sqref="C20:H20 J20:V20">
    <cfRule type="containsText" dxfId="381" priority="22" operator="containsText" text="SIN FACTURA">
      <formula>NOT(ISERROR(SEARCH("SIN FACTURA",C20)))</formula>
    </cfRule>
  </conditionalFormatting>
  <conditionalFormatting sqref="C22:H22 J22:V22">
    <cfRule type="containsText" dxfId="380" priority="21" operator="containsText" text="SIN FACTURA">
      <formula>NOT(ISERROR(SEARCH("SIN FACTURA",C22)))</formula>
    </cfRule>
  </conditionalFormatting>
  <conditionalFormatting sqref="C24:H24 J24:V24">
    <cfRule type="containsText" dxfId="379" priority="20" operator="containsText" text="SIN FACTURA">
      <formula>NOT(ISERROR(SEARCH("SIN FACTURA",C24)))</formula>
    </cfRule>
  </conditionalFormatting>
  <conditionalFormatting sqref="C26:H26 J26:V26">
    <cfRule type="containsText" dxfId="378" priority="19" operator="containsText" text="SIN FACTURA">
      <formula>NOT(ISERROR(SEARCH("SIN FACTURA",C26)))</formula>
    </cfRule>
  </conditionalFormatting>
  <conditionalFormatting sqref="C28:H28 J28:V28">
    <cfRule type="containsText" dxfId="377" priority="18" operator="containsText" text="SIN FACTURA">
      <formula>NOT(ISERROR(SEARCH("SIN FACTURA",C28)))</formula>
    </cfRule>
  </conditionalFormatting>
  <conditionalFormatting sqref="C30:H30 J30:V30">
    <cfRule type="containsText" dxfId="376" priority="17" operator="containsText" text="SIN FACTURA">
      <formula>NOT(ISERROR(SEARCH("SIN FACTURA",C30)))</formula>
    </cfRule>
  </conditionalFormatting>
  <conditionalFormatting sqref="C32:H32 J32:V32">
    <cfRule type="containsText" dxfId="375" priority="16" operator="containsText" text="SIN FACTURA">
      <formula>NOT(ISERROR(SEARCH("SIN FACTURA",C32)))</formula>
    </cfRule>
  </conditionalFormatting>
  <conditionalFormatting sqref="C34:H34 J34:V34">
    <cfRule type="containsText" dxfId="374" priority="15" operator="containsText" text="SIN FACTURA">
      <formula>NOT(ISERROR(SEARCH("SIN FACTURA",C34)))</formula>
    </cfRule>
  </conditionalFormatting>
  <conditionalFormatting sqref="C36:H36 J36:V36">
    <cfRule type="containsText" dxfId="373" priority="14" operator="containsText" text="SIN FACTURA">
      <formula>NOT(ISERROR(SEARCH("SIN FACTURA",C36)))</formula>
    </cfRule>
  </conditionalFormatting>
  <conditionalFormatting sqref="C38:H38 J38:V38">
    <cfRule type="containsText" dxfId="372" priority="13" operator="containsText" text="SIN FACTURA">
      <formula>NOT(ISERROR(SEARCH("SIN FACTURA",C38)))</formula>
    </cfRule>
  </conditionalFormatting>
  <conditionalFormatting sqref="A8:B8">
    <cfRule type="containsText" dxfId="371" priority="12" operator="containsText" text="SIN FACTURA">
      <formula>NOT(ISERROR(SEARCH("SIN FACTURA",A8)))</formula>
    </cfRule>
  </conditionalFormatting>
  <conditionalFormatting sqref="A18:B18">
    <cfRule type="containsText" dxfId="370" priority="11" operator="containsText" text="SIN FACTURA">
      <formula>NOT(ISERROR(SEARCH("SIN FACTURA",A18)))</formula>
    </cfRule>
  </conditionalFormatting>
  <conditionalFormatting sqref="A20:B20">
    <cfRule type="containsText" dxfId="369" priority="10" operator="containsText" text="SIN FACTURA">
      <formula>NOT(ISERROR(SEARCH("SIN FACTURA",A20)))</formula>
    </cfRule>
  </conditionalFormatting>
  <conditionalFormatting sqref="A22:B22">
    <cfRule type="containsText" dxfId="368" priority="9" operator="containsText" text="SIN FACTURA">
      <formula>NOT(ISERROR(SEARCH("SIN FACTURA",A22)))</formula>
    </cfRule>
  </conditionalFormatting>
  <conditionalFormatting sqref="A24:B24">
    <cfRule type="containsText" dxfId="367" priority="8" operator="containsText" text="SIN FACTURA">
      <formula>NOT(ISERROR(SEARCH("SIN FACTURA",A24)))</formula>
    </cfRule>
  </conditionalFormatting>
  <conditionalFormatting sqref="A26:B26">
    <cfRule type="containsText" dxfId="366" priority="7" operator="containsText" text="SIN FACTURA">
      <formula>NOT(ISERROR(SEARCH("SIN FACTURA",A26)))</formula>
    </cfRule>
  </conditionalFormatting>
  <conditionalFormatting sqref="A28:B28">
    <cfRule type="containsText" dxfId="365" priority="6" operator="containsText" text="SIN FACTURA">
      <formula>NOT(ISERROR(SEARCH("SIN FACTURA",A28)))</formula>
    </cfRule>
  </conditionalFormatting>
  <conditionalFormatting sqref="A30:B30">
    <cfRule type="containsText" dxfId="364" priority="5" operator="containsText" text="SIN FACTURA">
      <formula>NOT(ISERROR(SEARCH("SIN FACTURA",A30)))</formula>
    </cfRule>
  </conditionalFormatting>
  <conditionalFormatting sqref="A32:B32">
    <cfRule type="containsText" dxfId="363" priority="4" operator="containsText" text="SIN FACTURA">
      <formula>NOT(ISERROR(SEARCH("SIN FACTURA",A32)))</formula>
    </cfRule>
  </conditionalFormatting>
  <conditionalFormatting sqref="A34:B34">
    <cfRule type="containsText" dxfId="362" priority="3" operator="containsText" text="SIN FACTURA">
      <formula>NOT(ISERROR(SEARCH("SIN FACTURA",A34)))</formula>
    </cfRule>
  </conditionalFormatting>
  <conditionalFormatting sqref="A36:B36">
    <cfRule type="containsText" dxfId="361" priority="2" operator="containsText" text="SIN FACTURA">
      <formula>NOT(ISERROR(SEARCH("SIN FACTURA",A36)))</formula>
    </cfRule>
  </conditionalFormatting>
  <pageMargins left="0.75" right="0.75" top="1" bottom="1" header="0.5" footer="0.5"/>
  <pageSetup paperSize="9" orientation="portrait" horizontalDpi="4294967292" verticalDpi="4294967292"/>
</worksheet>
</file>

<file path=xl/worksheets/sheet162.xml><?xml version="1.0" encoding="utf-8"?>
<worksheet xmlns="http://schemas.openxmlformats.org/spreadsheetml/2006/main" xmlns:r="http://schemas.openxmlformats.org/officeDocument/2006/relationships">
  <sheetPr codeName="Hoja238"/>
  <dimension ref="A1:Y25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B1" sqref="B1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4">
        <v>303</v>
      </c>
      <c r="B1" s="15" t="s">
        <v>83</v>
      </c>
      <c r="C1" s="1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6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>F5-G5-H5</f>
        <v>0</v>
      </c>
      <c r="J5" s="44">
        <f t="shared" ref="J5:J25" si="0">S5+T5</f>
        <v>0</v>
      </c>
      <c r="K5" s="44">
        <f t="shared" ref="K5:K25" si="1">I5-J5</f>
        <v>0</v>
      </c>
      <c r="L5" s="45"/>
      <c r="M5" s="40"/>
      <c r="N5" s="43">
        <f t="shared" ref="N5:N25" si="2">I5-J5-M5-R5</f>
        <v>0</v>
      </c>
      <c r="O5" s="43">
        <f t="shared" ref="O5:O25" si="3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2"/>
      <c r="D6" s="33"/>
      <c r="E6" s="34"/>
      <c r="F6" s="32"/>
      <c r="G6" s="37"/>
      <c r="H6" s="32"/>
      <c r="I6" s="37"/>
      <c r="J6" s="37"/>
      <c r="K6" s="35"/>
      <c r="L6" s="35"/>
      <c r="M6" s="35"/>
      <c r="N6" s="36"/>
      <c r="O6" s="32"/>
      <c r="P6" s="37"/>
      <c r="Q6" s="37"/>
      <c r="R6" s="38"/>
      <c r="S6" s="32"/>
      <c r="T6" s="39"/>
      <c r="U6" s="6"/>
      <c r="V6" s="6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>F7-G7-H7</f>
        <v>0</v>
      </c>
      <c r="J7" s="44">
        <f t="shared" si="0"/>
        <v>0</v>
      </c>
      <c r="K7" s="44">
        <f t="shared" si="1"/>
        <v>0</v>
      </c>
      <c r="L7" s="45"/>
      <c r="M7" s="40"/>
      <c r="N7" s="43">
        <f t="shared" si="2"/>
        <v>0</v>
      </c>
      <c r="O7" s="43">
        <f t="shared" si="3"/>
        <v>0</v>
      </c>
      <c r="P7" s="46"/>
      <c r="Q7" s="40"/>
      <c r="R7" s="40"/>
      <c r="S7" s="40"/>
      <c r="T7" s="5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  <c r="U8" s="6"/>
      <c r="V8" s="6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>F9-G9-H9</f>
        <v>0</v>
      </c>
      <c r="J9" s="44">
        <f t="shared" si="0"/>
        <v>0</v>
      </c>
      <c r="K9" s="44">
        <f t="shared" si="1"/>
        <v>0</v>
      </c>
      <c r="L9" s="45"/>
      <c r="M9" s="40"/>
      <c r="N9" s="43">
        <f t="shared" si="2"/>
        <v>0</v>
      </c>
      <c r="O9" s="43">
        <f t="shared" si="3"/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  <c r="U10" s="6"/>
      <c r="V10" s="6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>F11-G11-H11</f>
        <v>0</v>
      </c>
      <c r="J11" s="44">
        <f t="shared" si="0"/>
        <v>0</v>
      </c>
      <c r="K11" s="44">
        <f t="shared" si="1"/>
        <v>0</v>
      </c>
      <c r="L11" s="45"/>
      <c r="M11" s="40"/>
      <c r="N11" s="43">
        <f t="shared" si="2"/>
        <v>0</v>
      </c>
      <c r="O11" s="43">
        <f t="shared" si="3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>F13-G13-H13</f>
        <v>0</v>
      </c>
      <c r="J13" s="44">
        <f t="shared" si="0"/>
        <v>0</v>
      </c>
      <c r="K13" s="44">
        <f t="shared" si="1"/>
        <v>0</v>
      </c>
      <c r="L13" s="45"/>
      <c r="M13" s="40"/>
      <c r="N13" s="43">
        <f t="shared" si="2"/>
        <v>0</v>
      </c>
      <c r="O13" s="43">
        <f t="shared" si="3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>F15-G15-H15</f>
        <v>0</v>
      </c>
      <c r="J15" s="44">
        <f t="shared" si="0"/>
        <v>0</v>
      </c>
      <c r="K15" s="44">
        <f t="shared" si="1"/>
        <v>0</v>
      </c>
      <c r="L15" s="45"/>
      <c r="M15" s="40"/>
      <c r="N15" s="43">
        <f t="shared" si="2"/>
        <v>0</v>
      </c>
      <c r="O15" s="43">
        <f t="shared" si="3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>F17-G17-H17</f>
        <v>0</v>
      </c>
      <c r="J17" s="44">
        <f t="shared" si="0"/>
        <v>0</v>
      </c>
      <c r="K17" s="44">
        <f t="shared" si="1"/>
        <v>0</v>
      </c>
      <c r="L17" s="45"/>
      <c r="M17" s="40"/>
      <c r="N17" s="43">
        <f t="shared" si="2"/>
        <v>0</v>
      </c>
      <c r="O17" s="43">
        <f t="shared" si="3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>F19-G19-H19</f>
        <v>0</v>
      </c>
      <c r="J19" s="44">
        <f t="shared" si="0"/>
        <v>0</v>
      </c>
      <c r="K19" s="44">
        <f t="shared" si="1"/>
        <v>0</v>
      </c>
      <c r="L19" s="45"/>
      <c r="M19" s="40"/>
      <c r="N19" s="43">
        <f t="shared" si="2"/>
        <v>0</v>
      </c>
      <c r="O19" s="43">
        <f t="shared" si="3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>F21-G21-H21</f>
        <v>0</v>
      </c>
      <c r="J21" s="44">
        <f t="shared" si="0"/>
        <v>0</v>
      </c>
      <c r="K21" s="44">
        <f t="shared" si="1"/>
        <v>0</v>
      </c>
      <c r="L21" s="45"/>
      <c r="M21" s="40"/>
      <c r="N21" s="43">
        <f t="shared" si="2"/>
        <v>0</v>
      </c>
      <c r="O21" s="43">
        <f t="shared" si="3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>F23-G23-H23</f>
        <v>0</v>
      </c>
      <c r="J23" s="44">
        <f t="shared" si="0"/>
        <v>0</v>
      </c>
      <c r="K23" s="44">
        <f t="shared" si="1"/>
        <v>0</v>
      </c>
      <c r="L23" s="45"/>
      <c r="M23" s="40"/>
      <c r="N23" s="43">
        <f t="shared" si="2"/>
        <v>0</v>
      </c>
      <c r="O23" s="43">
        <f t="shared" si="3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50"/>
      <c r="B25" s="51"/>
      <c r="C25" s="52"/>
      <c r="D25" s="50"/>
      <c r="E25" s="50"/>
      <c r="F25" s="50"/>
      <c r="G25" s="43">
        <f>F25*6%</f>
        <v>0</v>
      </c>
      <c r="H25" s="53"/>
      <c r="I25" s="44">
        <f>F25-G25-H25</f>
        <v>0</v>
      </c>
      <c r="J25" s="54">
        <f t="shared" si="0"/>
        <v>0</v>
      </c>
      <c r="K25" s="54">
        <f t="shared" si="1"/>
        <v>0</v>
      </c>
      <c r="L25" s="55"/>
      <c r="M25" s="50"/>
      <c r="N25" s="53">
        <f t="shared" si="2"/>
        <v>0</v>
      </c>
      <c r="O25" s="53">
        <f t="shared" si="3"/>
        <v>0</v>
      </c>
      <c r="P25" s="56"/>
      <c r="Q25" s="50"/>
      <c r="R25" s="50"/>
      <c r="S25" s="50"/>
      <c r="T25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60" priority="32" operator="containsText" text="SIN FACTURA ">
      <formula>NOT(ISERROR(SEARCH("SIN FACTURA ",A2)))</formula>
    </cfRule>
  </conditionalFormatting>
  <conditionalFormatting sqref="A24:B24 I5:I25 A4:T4 A5:H5">
    <cfRule type="containsText" dxfId="359" priority="6" operator="containsText" text="SIN FACTURA">
      <formula>NOT(ISERROR(SEARCH("SIN FACTURA",A4)))</formula>
    </cfRule>
  </conditionalFormatting>
  <conditionalFormatting sqref="J25:T25 J23:T23 J21:T21 J19:T19 J17:T17 J15:T15 J13:T13 J11:T11 J9:T9 J7:T7 J5:T5 A7:H7 A9:H9 A11:H11 A13:H13 A15:H15 A17:H17 A19:H19 A21:H21 A23:H23 A25:H25">
    <cfRule type="containsText" dxfId="358" priority="30" operator="containsText" text="SIN FACTURA">
      <formula>NOT(ISERROR(SEARCH("SIN FACTURA",A5)))</formula>
    </cfRule>
  </conditionalFormatting>
  <conditionalFormatting sqref="C6:H6 J6:V6">
    <cfRule type="containsText" dxfId="357" priority="27" operator="containsText" text="SIN FACTURA">
      <formula>NOT(ISERROR(SEARCH("SIN FACTURA",C6)))</formula>
    </cfRule>
  </conditionalFormatting>
  <conditionalFormatting sqref="C8:H8 J8:V8">
    <cfRule type="containsText" dxfId="356" priority="26" operator="containsText" text="SIN FACTURA">
      <formula>NOT(ISERROR(SEARCH("SIN FACTURA",C8)))</formula>
    </cfRule>
  </conditionalFormatting>
  <conditionalFormatting sqref="C10:H10 J10:V10">
    <cfRule type="containsText" dxfId="355" priority="25" operator="containsText" text="SIN FACTURA">
      <formula>NOT(ISERROR(SEARCH("SIN FACTURA",C10)))</formula>
    </cfRule>
  </conditionalFormatting>
  <conditionalFormatting sqref="C12:H12 J12:V12">
    <cfRule type="containsText" dxfId="354" priority="24" operator="containsText" text="SIN FACTURA">
      <formula>NOT(ISERROR(SEARCH("SIN FACTURA",C12)))</formula>
    </cfRule>
  </conditionalFormatting>
  <conditionalFormatting sqref="C14:H14 J14:V14">
    <cfRule type="containsText" dxfId="353" priority="23" operator="containsText" text="SIN FACTURA">
      <formula>NOT(ISERROR(SEARCH("SIN FACTURA",C14)))</formula>
    </cfRule>
  </conditionalFormatting>
  <conditionalFormatting sqref="C16:H16 J16:V16">
    <cfRule type="containsText" dxfId="352" priority="22" operator="containsText" text="SIN FACTURA">
      <formula>NOT(ISERROR(SEARCH("SIN FACTURA",C16)))</formula>
    </cfRule>
  </conditionalFormatting>
  <conditionalFormatting sqref="C18:H18 J18:V18">
    <cfRule type="containsText" dxfId="351" priority="21" operator="containsText" text="SIN FACTURA">
      <formula>NOT(ISERROR(SEARCH("SIN FACTURA",C18)))</formula>
    </cfRule>
  </conditionalFormatting>
  <conditionalFormatting sqref="C20:H20 J20:V20">
    <cfRule type="containsText" dxfId="350" priority="20" operator="containsText" text="SIN FACTURA">
      <formula>NOT(ISERROR(SEARCH("SIN FACTURA",C20)))</formula>
    </cfRule>
  </conditionalFormatting>
  <conditionalFormatting sqref="C22:H22 J22:V22">
    <cfRule type="containsText" dxfId="349" priority="19" operator="containsText" text="SIN FACTURA">
      <formula>NOT(ISERROR(SEARCH("SIN FACTURA",C22)))</formula>
    </cfRule>
  </conditionalFormatting>
  <conditionalFormatting sqref="C24:H24 J24:V24">
    <cfRule type="containsText" dxfId="348" priority="18" operator="containsText" text="SIN FACTURA">
      <formula>NOT(ISERROR(SEARCH("SIN FACTURA",C24)))</formula>
    </cfRule>
  </conditionalFormatting>
  <conditionalFormatting sqref="A6:B6">
    <cfRule type="containsText" dxfId="347" priority="15" operator="containsText" text="SIN FACTURA">
      <formula>NOT(ISERROR(SEARCH("SIN FACTURA",A6)))</formula>
    </cfRule>
  </conditionalFormatting>
  <conditionalFormatting sqref="A8:B8">
    <cfRule type="containsText" dxfId="346" priority="14" operator="containsText" text="SIN FACTURA">
      <formula>NOT(ISERROR(SEARCH("SIN FACTURA",A8)))</formula>
    </cfRule>
  </conditionalFormatting>
  <conditionalFormatting sqref="A10:B10">
    <cfRule type="containsText" dxfId="345" priority="13" operator="containsText" text="SIN FACTURA">
      <formula>NOT(ISERROR(SEARCH("SIN FACTURA",A10)))</formula>
    </cfRule>
  </conditionalFormatting>
  <conditionalFormatting sqref="A12:B12">
    <cfRule type="containsText" dxfId="344" priority="12" operator="containsText" text="SIN FACTURA">
      <formula>NOT(ISERROR(SEARCH("SIN FACTURA",A12)))</formula>
    </cfRule>
  </conditionalFormatting>
  <conditionalFormatting sqref="A14:B14">
    <cfRule type="containsText" dxfId="343" priority="11" operator="containsText" text="SIN FACTURA">
      <formula>NOT(ISERROR(SEARCH("SIN FACTURA",A14)))</formula>
    </cfRule>
  </conditionalFormatting>
  <conditionalFormatting sqref="A16:B16">
    <cfRule type="containsText" dxfId="342" priority="10" operator="containsText" text="SIN FACTURA">
      <formula>NOT(ISERROR(SEARCH("SIN FACTURA",A16)))</formula>
    </cfRule>
  </conditionalFormatting>
  <conditionalFormatting sqref="A18:B18">
    <cfRule type="containsText" dxfId="341" priority="9" operator="containsText" text="SIN FACTURA">
      <formula>NOT(ISERROR(SEARCH("SIN FACTURA",A18)))</formula>
    </cfRule>
  </conditionalFormatting>
  <conditionalFormatting sqref="A20:B20">
    <cfRule type="containsText" dxfId="340" priority="8" operator="containsText" text="SIN FACTURA">
      <formula>NOT(ISERROR(SEARCH("SIN FACTURA",A20)))</formula>
    </cfRule>
  </conditionalFormatting>
  <conditionalFormatting sqref="A22:B22">
    <cfRule type="containsText" dxfId="339" priority="7" operator="containsText" text="SIN FACTURA">
      <formula>NOT(ISERROR(SEARCH("SIN FACTURA",A22)))</formula>
    </cfRule>
  </conditionalFormatting>
  <pageMargins left="0.75" right="0.75" top="1" bottom="1" header="0.5" footer="0.5"/>
  <pageSetup paperSize="9" orientation="portrait" horizontalDpi="0" verticalDpi="0"/>
</worksheet>
</file>

<file path=xl/worksheets/sheet163.xml><?xml version="1.0" encoding="utf-8"?>
<worksheet xmlns="http://schemas.openxmlformats.org/spreadsheetml/2006/main" xmlns:r="http://schemas.openxmlformats.org/officeDocument/2006/relationships">
  <sheetPr codeName="Hoja74"/>
  <dimension ref="A1:Y44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44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158</v>
      </c>
      <c r="B1" s="18" t="s">
        <v>38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32"/>
      <c r="B5" s="33"/>
      <c r="C5" s="34"/>
      <c r="D5" s="32"/>
      <c r="E5" s="32"/>
      <c r="F5" s="32"/>
      <c r="G5" s="32"/>
      <c r="H5" s="32"/>
      <c r="I5" s="35"/>
      <c r="J5" s="35"/>
      <c r="K5" s="35"/>
      <c r="L5" s="36"/>
      <c r="M5" s="32"/>
      <c r="N5" s="37"/>
      <c r="O5" s="37"/>
      <c r="P5" s="38"/>
      <c r="Q5" s="32"/>
      <c r="R5" s="32"/>
      <c r="S5" s="32"/>
      <c r="T5" s="39"/>
    </row>
    <row r="6" spans="1:25" ht="15">
      <c r="A6" s="40"/>
      <c r="B6" s="41"/>
      <c r="C6" s="42"/>
      <c r="D6" s="40"/>
      <c r="E6" s="40"/>
      <c r="F6" s="40"/>
      <c r="G6" s="43">
        <f>F6*6%</f>
        <v>0</v>
      </c>
      <c r="H6" s="43"/>
      <c r="I6" s="44">
        <f>F6-G6-H6</f>
        <v>0</v>
      </c>
      <c r="J6" s="44">
        <f t="shared" ref="J6:J44" si="0">S6+T6</f>
        <v>0</v>
      </c>
      <c r="K6" s="44">
        <f t="shared" ref="K6:K44" si="1">I6-J6</f>
        <v>0</v>
      </c>
      <c r="L6" s="45"/>
      <c r="M6" s="40"/>
      <c r="N6" s="43">
        <f t="shared" ref="N6:N44" si="2">I6-J6-M6-R6</f>
        <v>0</v>
      </c>
      <c r="O6" s="43">
        <f t="shared" ref="O6:O44" si="3">R6+S6+T6</f>
        <v>0</v>
      </c>
      <c r="P6" s="46"/>
      <c r="Q6" s="40"/>
      <c r="R6" s="40"/>
      <c r="S6" s="40"/>
      <c r="T6" s="5"/>
    </row>
    <row r="7" spans="1:25" ht="15">
      <c r="A7" s="32"/>
      <c r="B7" s="33"/>
      <c r="C7" s="34"/>
      <c r="D7" s="32"/>
      <c r="E7" s="32"/>
      <c r="F7" s="32"/>
      <c r="G7" s="37"/>
      <c r="H7" s="37"/>
      <c r="I7" s="37"/>
      <c r="J7" s="35"/>
      <c r="K7" s="35"/>
      <c r="L7" s="36"/>
      <c r="M7" s="32"/>
      <c r="N7" s="37"/>
      <c r="O7" s="37"/>
      <c r="P7" s="38"/>
      <c r="Q7" s="32"/>
      <c r="R7" s="32"/>
      <c r="S7" s="32"/>
      <c r="T7" s="39"/>
    </row>
    <row r="8" spans="1:25" ht="15">
      <c r="A8" s="40"/>
      <c r="B8" s="41"/>
      <c r="C8" s="42"/>
      <c r="D8" s="40"/>
      <c r="E8" s="40"/>
      <c r="F8" s="40"/>
      <c r="G8" s="43">
        <f>F8*6%</f>
        <v>0</v>
      </c>
      <c r="H8" s="43"/>
      <c r="I8" s="44">
        <f t="shared" ref="I8:I44" si="4">F8-G8-H8</f>
        <v>0</v>
      </c>
      <c r="J8" s="44">
        <f t="shared" si="0"/>
        <v>0</v>
      </c>
      <c r="K8" s="44">
        <f t="shared" si="1"/>
        <v>0</v>
      </c>
      <c r="L8" s="45"/>
      <c r="M8" s="40"/>
      <c r="N8" s="43">
        <f t="shared" si="2"/>
        <v>0</v>
      </c>
      <c r="O8" s="43">
        <f t="shared" si="3"/>
        <v>0</v>
      </c>
      <c r="P8" s="46"/>
      <c r="Q8" s="40"/>
      <c r="R8" s="47"/>
      <c r="S8" s="47"/>
      <c r="T8" s="48"/>
    </row>
    <row r="9" spans="1:25" ht="15">
      <c r="A9" s="32"/>
      <c r="B9" s="33"/>
      <c r="C9" s="34"/>
      <c r="D9" s="32"/>
      <c r="E9" s="32"/>
      <c r="F9" s="32"/>
      <c r="G9" s="37"/>
      <c r="H9" s="37"/>
      <c r="I9" s="37"/>
      <c r="J9" s="35"/>
      <c r="K9" s="35"/>
      <c r="L9" s="36"/>
      <c r="M9" s="32"/>
      <c r="N9" s="37"/>
      <c r="O9" s="37"/>
      <c r="P9" s="38"/>
      <c r="Q9" s="32"/>
      <c r="R9" s="32"/>
      <c r="S9" s="32"/>
      <c r="T9" s="39"/>
    </row>
    <row r="10" spans="1:25" ht="15">
      <c r="A10" s="40"/>
      <c r="B10" s="41"/>
      <c r="C10" s="42"/>
      <c r="D10" s="40"/>
      <c r="E10" s="40"/>
      <c r="F10" s="40"/>
      <c r="G10" s="43">
        <f>F10*6%</f>
        <v>0</v>
      </c>
      <c r="H10" s="43"/>
      <c r="I10" s="44">
        <f t="shared" si="4"/>
        <v>0</v>
      </c>
      <c r="J10" s="44">
        <f t="shared" si="0"/>
        <v>0</v>
      </c>
      <c r="K10" s="44">
        <f t="shared" si="1"/>
        <v>0</v>
      </c>
      <c r="L10" s="45"/>
      <c r="M10" s="40"/>
      <c r="N10" s="43">
        <f t="shared" si="2"/>
        <v>0</v>
      </c>
      <c r="O10" s="43">
        <f t="shared" si="3"/>
        <v>0</v>
      </c>
      <c r="P10" s="46"/>
      <c r="Q10" s="40"/>
      <c r="R10" s="43"/>
      <c r="S10" s="43"/>
      <c r="T10" s="49"/>
    </row>
    <row r="11" spans="1:25" ht="15">
      <c r="A11" s="32"/>
      <c r="B11" s="33"/>
      <c r="C11" s="34"/>
      <c r="D11" s="32"/>
      <c r="E11" s="32"/>
      <c r="F11" s="32"/>
      <c r="G11" s="37"/>
      <c r="H11" s="37"/>
      <c r="I11" s="37"/>
      <c r="J11" s="35"/>
      <c r="K11" s="35"/>
      <c r="L11" s="36"/>
      <c r="M11" s="32"/>
      <c r="N11" s="37"/>
      <c r="O11" s="37"/>
      <c r="P11" s="38"/>
      <c r="Q11" s="32"/>
      <c r="R11" s="32"/>
      <c r="S11" s="32"/>
      <c r="T11" s="39"/>
    </row>
    <row r="12" spans="1:25" ht="15">
      <c r="A12" s="40"/>
      <c r="B12" s="41"/>
      <c r="C12" s="42"/>
      <c r="D12" s="40"/>
      <c r="E12" s="40"/>
      <c r="F12" s="40"/>
      <c r="G12" s="43">
        <f>F12*6%</f>
        <v>0</v>
      </c>
      <c r="H12" s="43"/>
      <c r="I12" s="44">
        <f t="shared" si="4"/>
        <v>0</v>
      </c>
      <c r="J12" s="44">
        <f>S12+T12</f>
        <v>0</v>
      </c>
      <c r="K12" s="44">
        <f>I12-J12</f>
        <v>0</v>
      </c>
      <c r="L12" s="45"/>
      <c r="M12" s="40"/>
      <c r="N12" s="43">
        <f t="shared" si="2"/>
        <v>0</v>
      </c>
      <c r="O12" s="43">
        <f t="shared" si="3"/>
        <v>0</v>
      </c>
      <c r="P12" s="46"/>
      <c r="Q12" s="40"/>
      <c r="R12" s="47"/>
      <c r="S12" s="47"/>
      <c r="T12" s="48"/>
    </row>
    <row r="13" spans="1:25" ht="15">
      <c r="A13" s="32"/>
      <c r="B13" s="33"/>
      <c r="C13" s="34"/>
      <c r="D13" s="32"/>
      <c r="E13" s="32"/>
      <c r="F13" s="32"/>
      <c r="G13" s="37"/>
      <c r="H13" s="37"/>
      <c r="I13" s="37"/>
      <c r="J13" s="35"/>
      <c r="K13" s="35"/>
      <c r="L13" s="36"/>
      <c r="M13" s="32"/>
      <c r="N13" s="37"/>
      <c r="O13" s="37"/>
      <c r="P13" s="38"/>
      <c r="Q13" s="32"/>
      <c r="R13" s="32"/>
      <c r="S13" s="32"/>
      <c r="T13" s="39"/>
    </row>
    <row r="14" spans="1:25" ht="15">
      <c r="A14" s="40"/>
      <c r="B14" s="41"/>
      <c r="C14" s="42"/>
      <c r="D14" s="40"/>
      <c r="E14" s="40"/>
      <c r="F14" s="40"/>
      <c r="G14" s="43">
        <f>F14*6%</f>
        <v>0</v>
      </c>
      <c r="H14" s="43"/>
      <c r="I14" s="44">
        <f t="shared" si="4"/>
        <v>0</v>
      </c>
      <c r="J14" s="44">
        <f t="shared" si="0"/>
        <v>0</v>
      </c>
      <c r="K14" s="44">
        <f t="shared" si="1"/>
        <v>0</v>
      </c>
      <c r="L14" s="45"/>
      <c r="M14" s="40"/>
      <c r="N14" s="43">
        <f t="shared" si="2"/>
        <v>0</v>
      </c>
      <c r="O14" s="43">
        <f t="shared" si="3"/>
        <v>0</v>
      </c>
      <c r="P14" s="46"/>
      <c r="Q14" s="40"/>
      <c r="R14" s="47"/>
      <c r="S14" s="47"/>
      <c r="T14" s="48"/>
    </row>
    <row r="15" spans="1:25" ht="15">
      <c r="A15" s="32"/>
      <c r="B15" s="33"/>
      <c r="C15" s="32"/>
      <c r="D15" s="33"/>
      <c r="E15" s="34"/>
      <c r="F15" s="32"/>
      <c r="G15" s="32"/>
      <c r="H15" s="32"/>
      <c r="I15" s="37"/>
      <c r="J15" s="37"/>
      <c r="K15" s="35"/>
      <c r="L15" s="35"/>
      <c r="M15" s="35"/>
      <c r="N15" s="36"/>
      <c r="O15" s="32"/>
      <c r="P15" s="37"/>
      <c r="Q15" s="37"/>
      <c r="R15" s="38"/>
      <c r="S15" s="32"/>
      <c r="T15" s="39"/>
    </row>
    <row r="16" spans="1:25" ht="15">
      <c r="A16" s="40"/>
      <c r="B16" s="41"/>
      <c r="C16" s="42"/>
      <c r="D16" s="40"/>
      <c r="E16" s="40"/>
      <c r="F16" s="40"/>
      <c r="G16" s="43">
        <f>F16*6%</f>
        <v>0</v>
      </c>
      <c r="H16" s="43"/>
      <c r="I16" s="44">
        <f t="shared" si="4"/>
        <v>0</v>
      </c>
      <c r="J16" s="44">
        <f t="shared" si="0"/>
        <v>0</v>
      </c>
      <c r="K16" s="44">
        <f t="shared" si="1"/>
        <v>0</v>
      </c>
      <c r="L16" s="45"/>
      <c r="M16" s="40"/>
      <c r="N16" s="43">
        <f t="shared" si="2"/>
        <v>0</v>
      </c>
      <c r="O16" s="43">
        <f t="shared" si="3"/>
        <v>0</v>
      </c>
      <c r="P16" s="46"/>
      <c r="Q16" s="40"/>
      <c r="R16" s="47"/>
      <c r="S16" s="47"/>
      <c r="T16" s="48"/>
    </row>
    <row r="17" spans="1:22" ht="15">
      <c r="A17" s="32"/>
      <c r="B17" s="33"/>
      <c r="C17" s="34"/>
      <c r="D17" s="32"/>
      <c r="E17" s="32"/>
      <c r="F17" s="32"/>
      <c r="G17" s="37"/>
      <c r="H17" s="37"/>
      <c r="I17" s="37"/>
      <c r="J17" s="35"/>
      <c r="K17" s="35"/>
      <c r="L17" s="36"/>
      <c r="M17" s="32"/>
      <c r="N17" s="37"/>
      <c r="O17" s="37"/>
      <c r="P17" s="38"/>
      <c r="Q17" s="32"/>
      <c r="R17" s="32"/>
      <c r="S17" s="32"/>
      <c r="T17" s="39"/>
    </row>
    <row r="18" spans="1:22" ht="15">
      <c r="A18" s="40"/>
      <c r="B18" s="41"/>
      <c r="C18" s="42"/>
      <c r="D18" s="40"/>
      <c r="E18" s="40"/>
      <c r="F18" s="40"/>
      <c r="G18" s="43">
        <f>F18*6%</f>
        <v>0</v>
      </c>
      <c r="H18" s="43"/>
      <c r="I18" s="44">
        <f t="shared" si="4"/>
        <v>0</v>
      </c>
      <c r="J18" s="44">
        <f t="shared" si="0"/>
        <v>0</v>
      </c>
      <c r="K18" s="44">
        <f t="shared" si="1"/>
        <v>0</v>
      </c>
      <c r="L18" s="45"/>
      <c r="M18" s="40"/>
      <c r="N18" s="43">
        <f t="shared" si="2"/>
        <v>0</v>
      </c>
      <c r="O18" s="43">
        <f t="shared" si="3"/>
        <v>0</v>
      </c>
      <c r="P18" s="46"/>
      <c r="Q18" s="40"/>
      <c r="R18" s="40"/>
      <c r="S18" s="40"/>
      <c r="T18" s="5"/>
    </row>
    <row r="19" spans="1:22" ht="15">
      <c r="A19" s="32"/>
      <c r="B19" s="33"/>
      <c r="C19" s="34"/>
      <c r="D19" s="32"/>
      <c r="E19" s="32"/>
      <c r="F19" s="32"/>
      <c r="G19" s="37"/>
      <c r="H19" s="37"/>
      <c r="I19" s="37"/>
      <c r="J19" s="35"/>
      <c r="K19" s="35"/>
      <c r="L19" s="36"/>
      <c r="M19" s="32"/>
      <c r="N19" s="37"/>
      <c r="O19" s="37"/>
      <c r="P19" s="38"/>
      <c r="Q19" s="32"/>
      <c r="R19" s="32"/>
      <c r="S19" s="32"/>
      <c r="T19" s="39"/>
    </row>
    <row r="20" spans="1:22" ht="15">
      <c r="A20" s="40"/>
      <c r="B20" s="41"/>
      <c r="C20" s="42"/>
      <c r="D20" s="40"/>
      <c r="E20" s="40"/>
      <c r="F20" s="40"/>
      <c r="G20" s="43">
        <f>F20*6%</f>
        <v>0</v>
      </c>
      <c r="H20" s="43"/>
      <c r="I20" s="44">
        <f t="shared" si="4"/>
        <v>0</v>
      </c>
      <c r="J20" s="44">
        <f>S20+T20</f>
        <v>0</v>
      </c>
      <c r="K20" s="44">
        <f t="shared" si="1"/>
        <v>0</v>
      </c>
      <c r="L20" s="45"/>
      <c r="M20" s="40"/>
      <c r="N20" s="43">
        <f>I20-J20-M20-R20</f>
        <v>0</v>
      </c>
      <c r="O20" s="43">
        <f>R20+S20+T20</f>
        <v>0</v>
      </c>
      <c r="P20" s="46"/>
      <c r="Q20" s="40"/>
      <c r="R20" s="47"/>
      <c r="S20" s="47"/>
      <c r="T20" s="48"/>
    </row>
    <row r="21" spans="1:22" ht="15">
      <c r="A21" s="32"/>
      <c r="B21" s="33"/>
      <c r="C21" s="34"/>
      <c r="D21" s="32"/>
      <c r="E21" s="32"/>
      <c r="F21" s="32"/>
      <c r="G21" s="37"/>
      <c r="H21" s="37"/>
      <c r="I21" s="37"/>
      <c r="J21" s="35"/>
      <c r="K21" s="35"/>
      <c r="L21" s="36"/>
      <c r="M21" s="32"/>
      <c r="N21" s="37"/>
      <c r="O21" s="37"/>
      <c r="P21" s="38"/>
      <c r="Q21" s="32"/>
      <c r="R21" s="32"/>
      <c r="S21" s="32"/>
      <c r="T21" s="39"/>
    </row>
    <row r="22" spans="1:22" ht="15">
      <c r="A22" s="40"/>
      <c r="B22" s="41"/>
      <c r="C22" s="42"/>
      <c r="D22" s="40"/>
      <c r="E22" s="40"/>
      <c r="F22" s="40"/>
      <c r="G22" s="43">
        <f>F22*6%</f>
        <v>0</v>
      </c>
      <c r="H22" s="43"/>
      <c r="I22" s="44">
        <f t="shared" si="4"/>
        <v>0</v>
      </c>
      <c r="J22" s="44">
        <f t="shared" si="0"/>
        <v>0</v>
      </c>
      <c r="K22" s="44">
        <f t="shared" si="1"/>
        <v>0</v>
      </c>
      <c r="L22" s="45"/>
      <c r="M22" s="40"/>
      <c r="N22" s="43">
        <f t="shared" si="2"/>
        <v>0</v>
      </c>
      <c r="O22" s="43">
        <f t="shared" si="3"/>
        <v>0</v>
      </c>
      <c r="P22" s="46"/>
      <c r="Q22" s="40"/>
      <c r="R22" s="47"/>
      <c r="S22" s="47"/>
      <c r="T22" s="48"/>
    </row>
    <row r="23" spans="1:22" ht="15">
      <c r="A23" s="32"/>
      <c r="B23" s="33"/>
      <c r="C23" s="34"/>
      <c r="D23" s="32"/>
      <c r="E23" s="32"/>
      <c r="F23" s="32"/>
      <c r="G23" s="37"/>
      <c r="H23" s="37"/>
      <c r="I23" s="37"/>
      <c r="J23" s="35"/>
      <c r="K23" s="35"/>
      <c r="L23" s="36"/>
      <c r="M23" s="32"/>
      <c r="N23" s="37"/>
      <c r="O23" s="37"/>
      <c r="P23" s="38"/>
      <c r="Q23" s="32"/>
      <c r="R23" s="32"/>
      <c r="S23" s="32"/>
      <c r="T23" s="39"/>
    </row>
    <row r="24" spans="1:22" ht="15">
      <c r="A24" s="40"/>
      <c r="B24" s="41"/>
      <c r="C24" s="42"/>
      <c r="D24" s="40"/>
      <c r="E24" s="40"/>
      <c r="F24" s="40"/>
      <c r="G24" s="43">
        <f>F24*6%</f>
        <v>0</v>
      </c>
      <c r="H24" s="43"/>
      <c r="I24" s="44">
        <f t="shared" si="4"/>
        <v>0</v>
      </c>
      <c r="J24" s="44">
        <f t="shared" si="0"/>
        <v>0</v>
      </c>
      <c r="K24" s="44">
        <f t="shared" si="1"/>
        <v>0</v>
      </c>
      <c r="L24" s="45"/>
      <c r="M24" s="40"/>
      <c r="N24" s="43">
        <f t="shared" si="2"/>
        <v>0</v>
      </c>
      <c r="O24" s="43">
        <f t="shared" si="3"/>
        <v>0</v>
      </c>
      <c r="P24" s="46"/>
      <c r="Q24" s="40"/>
      <c r="R24" s="40"/>
      <c r="S24" s="40"/>
      <c r="T24" s="5"/>
    </row>
    <row r="25" spans="1:22" ht="15">
      <c r="A25" s="32"/>
      <c r="B25" s="33"/>
      <c r="C25" s="32"/>
      <c r="D25" s="33"/>
      <c r="E25" s="34"/>
      <c r="F25" s="32"/>
      <c r="G25" s="32"/>
      <c r="H25" s="32"/>
      <c r="I25" s="37"/>
      <c r="J25" s="37"/>
      <c r="K25" s="35"/>
      <c r="L25" s="35"/>
      <c r="M25" s="35"/>
      <c r="N25" s="36"/>
      <c r="O25" s="32"/>
      <c r="P25" s="37"/>
      <c r="Q25" s="37"/>
      <c r="R25" s="38"/>
      <c r="S25" s="32"/>
      <c r="T25" s="39"/>
    </row>
    <row r="26" spans="1:22" ht="15">
      <c r="A26" s="40"/>
      <c r="B26" s="41"/>
      <c r="C26" s="42"/>
      <c r="D26" s="40"/>
      <c r="E26" s="40"/>
      <c r="F26" s="40"/>
      <c r="G26" s="43">
        <f>F26*6%</f>
        <v>0</v>
      </c>
      <c r="H26" s="43"/>
      <c r="I26" s="44">
        <f t="shared" si="4"/>
        <v>0</v>
      </c>
      <c r="J26" s="44">
        <f t="shared" si="0"/>
        <v>0</v>
      </c>
      <c r="K26" s="44">
        <f t="shared" si="1"/>
        <v>0</v>
      </c>
      <c r="L26" s="45"/>
      <c r="M26" s="40"/>
      <c r="N26" s="43">
        <f t="shared" si="2"/>
        <v>0</v>
      </c>
      <c r="O26" s="43">
        <f t="shared" si="3"/>
        <v>0</v>
      </c>
      <c r="P26" s="46"/>
      <c r="Q26" s="40"/>
      <c r="R26" s="40"/>
      <c r="S26" s="40"/>
      <c r="T26" s="5"/>
    </row>
    <row r="27" spans="1:22" ht="15">
      <c r="A27" s="32"/>
      <c r="B27" s="33"/>
      <c r="C27" s="32"/>
      <c r="D27" s="33"/>
      <c r="E27" s="34"/>
      <c r="F27" s="32"/>
      <c r="G27" s="32"/>
      <c r="H27" s="32"/>
      <c r="I27" s="37"/>
      <c r="J27" s="37"/>
      <c r="K27" s="35"/>
      <c r="L27" s="35"/>
      <c r="M27" s="35"/>
      <c r="N27" s="36"/>
      <c r="O27" s="32"/>
      <c r="P27" s="37"/>
      <c r="Q27" s="37"/>
      <c r="R27" s="38"/>
      <c r="S27" s="32"/>
      <c r="T27" s="39"/>
      <c r="U27" s="6"/>
      <c r="V27" s="6"/>
    </row>
    <row r="28" spans="1:22" ht="15">
      <c r="A28" s="40"/>
      <c r="B28" s="41"/>
      <c r="C28" s="42"/>
      <c r="D28" s="40"/>
      <c r="E28" s="40"/>
      <c r="F28" s="40"/>
      <c r="G28" s="43">
        <f>F28*6%</f>
        <v>0</v>
      </c>
      <c r="H28" s="43"/>
      <c r="I28" s="44">
        <f t="shared" si="4"/>
        <v>0</v>
      </c>
      <c r="J28" s="44">
        <f t="shared" si="0"/>
        <v>0</v>
      </c>
      <c r="K28" s="44">
        <f t="shared" si="1"/>
        <v>0</v>
      </c>
      <c r="L28" s="45"/>
      <c r="M28" s="40"/>
      <c r="N28" s="43">
        <f t="shared" si="2"/>
        <v>0</v>
      </c>
      <c r="O28" s="43">
        <f t="shared" si="3"/>
        <v>0</v>
      </c>
      <c r="P28" s="46"/>
      <c r="Q28" s="40"/>
      <c r="R28" s="40"/>
      <c r="S28" s="40"/>
      <c r="T28" s="5"/>
    </row>
    <row r="29" spans="1:22" ht="15">
      <c r="A29" s="32"/>
      <c r="B29" s="33"/>
      <c r="C29" s="32"/>
      <c r="D29" s="33"/>
      <c r="E29" s="34"/>
      <c r="F29" s="32"/>
      <c r="G29" s="32"/>
      <c r="H29" s="32"/>
      <c r="I29" s="37"/>
      <c r="J29" s="37"/>
      <c r="K29" s="35"/>
      <c r="L29" s="35"/>
      <c r="M29" s="35"/>
      <c r="N29" s="36"/>
      <c r="O29" s="32"/>
      <c r="P29" s="37"/>
      <c r="Q29" s="37"/>
      <c r="R29" s="38"/>
      <c r="S29" s="32"/>
      <c r="T29" s="39"/>
      <c r="U29" s="6"/>
      <c r="V29" s="6"/>
    </row>
    <row r="30" spans="1:22" ht="15">
      <c r="A30" s="40"/>
      <c r="B30" s="41"/>
      <c r="C30" s="42"/>
      <c r="D30" s="40"/>
      <c r="E30" s="40"/>
      <c r="F30" s="40"/>
      <c r="G30" s="43">
        <f>F30*6%</f>
        <v>0</v>
      </c>
      <c r="H30" s="43"/>
      <c r="I30" s="44">
        <f t="shared" si="4"/>
        <v>0</v>
      </c>
      <c r="J30" s="44">
        <f t="shared" si="0"/>
        <v>0</v>
      </c>
      <c r="K30" s="44">
        <f t="shared" si="1"/>
        <v>0</v>
      </c>
      <c r="L30" s="45"/>
      <c r="M30" s="40"/>
      <c r="N30" s="43">
        <f t="shared" si="2"/>
        <v>0</v>
      </c>
      <c r="O30" s="43">
        <f t="shared" si="3"/>
        <v>0</v>
      </c>
      <c r="P30" s="46"/>
      <c r="Q30" s="40"/>
      <c r="R30" s="40"/>
      <c r="S30" s="40"/>
      <c r="T30" s="5"/>
    </row>
    <row r="31" spans="1:22" ht="15">
      <c r="A31" s="32"/>
      <c r="B31" s="33"/>
      <c r="C31" s="32"/>
      <c r="D31" s="33"/>
      <c r="E31" s="34"/>
      <c r="F31" s="32"/>
      <c r="G31" s="32"/>
      <c r="H31" s="32"/>
      <c r="I31" s="37"/>
      <c r="J31" s="37"/>
      <c r="K31" s="35"/>
      <c r="L31" s="35"/>
      <c r="M31" s="35"/>
      <c r="N31" s="36"/>
      <c r="O31" s="32"/>
      <c r="P31" s="37"/>
      <c r="Q31" s="37"/>
      <c r="R31" s="38"/>
      <c r="S31" s="32"/>
      <c r="T31" s="39"/>
      <c r="U31" s="6"/>
      <c r="V31" s="6"/>
    </row>
    <row r="32" spans="1:22" ht="15">
      <c r="A32" s="40"/>
      <c r="B32" s="41"/>
      <c r="C32" s="42"/>
      <c r="D32" s="40"/>
      <c r="E32" s="40"/>
      <c r="F32" s="40"/>
      <c r="G32" s="43">
        <f>F32*6%</f>
        <v>0</v>
      </c>
      <c r="H32" s="43"/>
      <c r="I32" s="44">
        <f t="shared" si="4"/>
        <v>0</v>
      </c>
      <c r="J32" s="44">
        <f t="shared" si="0"/>
        <v>0</v>
      </c>
      <c r="K32" s="44">
        <f t="shared" si="1"/>
        <v>0</v>
      </c>
      <c r="L32" s="45"/>
      <c r="M32" s="40"/>
      <c r="N32" s="43">
        <f t="shared" si="2"/>
        <v>0</v>
      </c>
      <c r="O32" s="43">
        <f t="shared" si="3"/>
        <v>0</v>
      </c>
      <c r="P32" s="46"/>
      <c r="Q32" s="40"/>
      <c r="R32" s="40"/>
      <c r="S32" s="40"/>
      <c r="T32" s="5"/>
    </row>
    <row r="33" spans="1:22" ht="15">
      <c r="A33" s="32"/>
      <c r="B33" s="33"/>
      <c r="C33" s="32"/>
      <c r="D33" s="33"/>
      <c r="E33" s="34"/>
      <c r="F33" s="32"/>
      <c r="G33" s="32"/>
      <c r="H33" s="32"/>
      <c r="I33" s="37"/>
      <c r="J33" s="37"/>
      <c r="K33" s="35"/>
      <c r="L33" s="35"/>
      <c r="M33" s="35"/>
      <c r="N33" s="36"/>
      <c r="O33" s="32"/>
      <c r="P33" s="37"/>
      <c r="Q33" s="37"/>
      <c r="R33" s="38"/>
      <c r="S33" s="32"/>
      <c r="T33" s="39"/>
      <c r="U33" s="6"/>
      <c r="V33" s="6"/>
    </row>
    <row r="34" spans="1:22" ht="15">
      <c r="A34" s="40"/>
      <c r="B34" s="41"/>
      <c r="C34" s="42"/>
      <c r="D34" s="40"/>
      <c r="E34" s="40"/>
      <c r="F34" s="40"/>
      <c r="G34" s="43">
        <f>F34*6%</f>
        <v>0</v>
      </c>
      <c r="H34" s="43"/>
      <c r="I34" s="44">
        <f t="shared" si="4"/>
        <v>0</v>
      </c>
      <c r="J34" s="44">
        <f t="shared" si="0"/>
        <v>0</v>
      </c>
      <c r="K34" s="44">
        <f t="shared" si="1"/>
        <v>0</v>
      </c>
      <c r="L34" s="45"/>
      <c r="M34" s="40"/>
      <c r="N34" s="43">
        <f t="shared" si="2"/>
        <v>0</v>
      </c>
      <c r="O34" s="43">
        <f t="shared" si="3"/>
        <v>0</v>
      </c>
      <c r="P34" s="46"/>
      <c r="Q34" s="40"/>
      <c r="R34" s="40"/>
      <c r="S34" s="40"/>
      <c r="T34" s="5"/>
    </row>
    <row r="35" spans="1:22" ht="15">
      <c r="A35" s="32"/>
      <c r="B35" s="33"/>
      <c r="C35" s="32"/>
      <c r="D35" s="33"/>
      <c r="E35" s="34"/>
      <c r="F35" s="32"/>
      <c r="G35" s="32"/>
      <c r="H35" s="32"/>
      <c r="I35" s="37"/>
      <c r="J35" s="37"/>
      <c r="K35" s="35"/>
      <c r="L35" s="35"/>
      <c r="M35" s="35"/>
      <c r="N35" s="36"/>
      <c r="O35" s="32"/>
      <c r="P35" s="37"/>
      <c r="Q35" s="37"/>
      <c r="R35" s="38"/>
      <c r="S35" s="32"/>
      <c r="T35" s="39"/>
      <c r="U35" s="6"/>
      <c r="V35" s="6"/>
    </row>
    <row r="36" spans="1:22" ht="15">
      <c r="A36" s="40"/>
      <c r="B36" s="41"/>
      <c r="C36" s="42"/>
      <c r="D36" s="40"/>
      <c r="E36" s="40"/>
      <c r="F36" s="40"/>
      <c r="G36" s="43">
        <f>F36*6%</f>
        <v>0</v>
      </c>
      <c r="H36" s="43"/>
      <c r="I36" s="44">
        <f t="shared" si="4"/>
        <v>0</v>
      </c>
      <c r="J36" s="44">
        <f t="shared" si="0"/>
        <v>0</v>
      </c>
      <c r="K36" s="44">
        <f t="shared" si="1"/>
        <v>0</v>
      </c>
      <c r="L36" s="45"/>
      <c r="M36" s="40"/>
      <c r="N36" s="43">
        <f t="shared" si="2"/>
        <v>0</v>
      </c>
      <c r="O36" s="43">
        <f t="shared" si="3"/>
        <v>0</v>
      </c>
      <c r="P36" s="46"/>
      <c r="Q36" s="40"/>
      <c r="R36" s="40"/>
      <c r="S36" s="40"/>
      <c r="T36" s="5"/>
    </row>
    <row r="37" spans="1:22" ht="15">
      <c r="A37" s="32"/>
      <c r="B37" s="33"/>
      <c r="C37" s="32"/>
      <c r="D37" s="33"/>
      <c r="E37" s="34"/>
      <c r="F37" s="32"/>
      <c r="G37" s="32"/>
      <c r="H37" s="32"/>
      <c r="I37" s="37"/>
      <c r="J37" s="37"/>
      <c r="K37" s="35"/>
      <c r="L37" s="35"/>
      <c r="M37" s="35"/>
      <c r="N37" s="36"/>
      <c r="O37" s="32"/>
      <c r="P37" s="37"/>
      <c r="Q37" s="37"/>
      <c r="R37" s="38"/>
      <c r="S37" s="32"/>
      <c r="T37" s="39"/>
      <c r="U37" s="6"/>
      <c r="V37" s="6"/>
    </row>
    <row r="38" spans="1:22" ht="15">
      <c r="A38" s="40"/>
      <c r="B38" s="41"/>
      <c r="C38" s="42"/>
      <c r="D38" s="40"/>
      <c r="E38" s="40"/>
      <c r="F38" s="40"/>
      <c r="G38" s="43">
        <f>F38*6%</f>
        <v>0</v>
      </c>
      <c r="H38" s="43"/>
      <c r="I38" s="44">
        <f t="shared" si="4"/>
        <v>0</v>
      </c>
      <c r="J38" s="44">
        <f t="shared" si="0"/>
        <v>0</v>
      </c>
      <c r="K38" s="44">
        <f t="shared" si="1"/>
        <v>0</v>
      </c>
      <c r="L38" s="45"/>
      <c r="M38" s="40"/>
      <c r="N38" s="43">
        <f t="shared" si="2"/>
        <v>0</v>
      </c>
      <c r="O38" s="43">
        <f t="shared" si="3"/>
        <v>0</v>
      </c>
      <c r="P38" s="46"/>
      <c r="Q38" s="40"/>
      <c r="R38" s="40"/>
      <c r="S38" s="40"/>
      <c r="T38" s="5"/>
    </row>
    <row r="39" spans="1:22" ht="15">
      <c r="A39" s="32"/>
      <c r="B39" s="33"/>
      <c r="C39" s="32"/>
      <c r="D39" s="33"/>
      <c r="E39" s="34"/>
      <c r="F39" s="32"/>
      <c r="G39" s="32"/>
      <c r="H39" s="32"/>
      <c r="I39" s="37"/>
      <c r="J39" s="37"/>
      <c r="K39" s="35"/>
      <c r="L39" s="35"/>
      <c r="M39" s="35"/>
      <c r="N39" s="36"/>
      <c r="O39" s="32"/>
      <c r="P39" s="37"/>
      <c r="Q39" s="37"/>
      <c r="R39" s="38"/>
      <c r="S39" s="32"/>
      <c r="T39" s="39"/>
      <c r="U39" s="6"/>
      <c r="V39" s="6"/>
    </row>
    <row r="40" spans="1:22" ht="15">
      <c r="A40" s="40"/>
      <c r="B40" s="41"/>
      <c r="C40" s="42"/>
      <c r="D40" s="40"/>
      <c r="E40" s="40"/>
      <c r="F40" s="40"/>
      <c r="G40" s="43">
        <f>F40*6%</f>
        <v>0</v>
      </c>
      <c r="H40" s="43"/>
      <c r="I40" s="44">
        <f t="shared" si="4"/>
        <v>0</v>
      </c>
      <c r="J40" s="44">
        <f t="shared" si="0"/>
        <v>0</v>
      </c>
      <c r="K40" s="44">
        <f t="shared" si="1"/>
        <v>0</v>
      </c>
      <c r="L40" s="45"/>
      <c r="M40" s="40"/>
      <c r="N40" s="43">
        <f t="shared" si="2"/>
        <v>0</v>
      </c>
      <c r="O40" s="43">
        <f t="shared" si="3"/>
        <v>0</v>
      </c>
      <c r="P40" s="46"/>
      <c r="Q40" s="40"/>
      <c r="R40" s="40"/>
      <c r="S40" s="40"/>
      <c r="T40" s="5"/>
    </row>
    <row r="41" spans="1:22" ht="15">
      <c r="A41" s="32"/>
      <c r="B41" s="33"/>
      <c r="C41" s="32"/>
      <c r="D41" s="33"/>
      <c r="E41" s="34"/>
      <c r="F41" s="32"/>
      <c r="G41" s="32"/>
      <c r="H41" s="32"/>
      <c r="I41" s="37"/>
      <c r="J41" s="37"/>
      <c r="K41" s="35"/>
      <c r="L41" s="35"/>
      <c r="M41" s="35"/>
      <c r="N41" s="36"/>
      <c r="O41" s="32"/>
      <c r="P41" s="37"/>
      <c r="Q41" s="37"/>
      <c r="R41" s="38"/>
      <c r="S41" s="32"/>
      <c r="T41" s="39"/>
      <c r="U41" s="6"/>
      <c r="V41" s="6"/>
    </row>
    <row r="42" spans="1:22" ht="15">
      <c r="A42" s="40"/>
      <c r="B42" s="41"/>
      <c r="C42" s="42"/>
      <c r="D42" s="40"/>
      <c r="E42" s="40"/>
      <c r="F42" s="40"/>
      <c r="G42" s="43">
        <f>F42*6%</f>
        <v>0</v>
      </c>
      <c r="H42" s="43"/>
      <c r="I42" s="44">
        <f t="shared" si="4"/>
        <v>0</v>
      </c>
      <c r="J42" s="44">
        <f t="shared" si="0"/>
        <v>0</v>
      </c>
      <c r="K42" s="44">
        <f t="shared" si="1"/>
        <v>0</v>
      </c>
      <c r="L42" s="45"/>
      <c r="M42" s="40"/>
      <c r="N42" s="43">
        <f t="shared" si="2"/>
        <v>0</v>
      </c>
      <c r="O42" s="43">
        <f t="shared" si="3"/>
        <v>0</v>
      </c>
      <c r="P42" s="46"/>
      <c r="Q42" s="40"/>
      <c r="R42" s="40"/>
      <c r="S42" s="40"/>
      <c r="T42" s="5"/>
    </row>
    <row r="43" spans="1:22" ht="15">
      <c r="A43" s="32"/>
      <c r="B43" s="33"/>
      <c r="C43" s="32"/>
      <c r="D43" s="33"/>
      <c r="E43" s="34"/>
      <c r="F43" s="32"/>
      <c r="G43" s="32"/>
      <c r="H43" s="32"/>
      <c r="I43" s="37"/>
      <c r="J43" s="37"/>
      <c r="K43" s="35"/>
      <c r="L43" s="35"/>
      <c r="M43" s="35"/>
      <c r="N43" s="36"/>
      <c r="O43" s="32"/>
      <c r="P43" s="37"/>
      <c r="Q43" s="37"/>
      <c r="R43" s="38"/>
      <c r="S43" s="32"/>
      <c r="T43" s="39"/>
      <c r="U43" s="6"/>
      <c r="V43" s="6"/>
    </row>
    <row r="44" spans="1:22" ht="15">
      <c r="A44" s="40"/>
      <c r="B44" s="41"/>
      <c r="C44" s="42"/>
      <c r="D44" s="40"/>
      <c r="E44" s="40"/>
      <c r="F44" s="40"/>
      <c r="G44" s="43">
        <f>F44*6%</f>
        <v>0</v>
      </c>
      <c r="H44" s="43"/>
      <c r="I44" s="44">
        <f t="shared" si="4"/>
        <v>0</v>
      </c>
      <c r="J44" s="44">
        <f t="shared" si="0"/>
        <v>0</v>
      </c>
      <c r="K44" s="44">
        <f t="shared" si="1"/>
        <v>0</v>
      </c>
      <c r="L44" s="45"/>
      <c r="M44" s="40"/>
      <c r="N44" s="43">
        <f t="shared" si="2"/>
        <v>0</v>
      </c>
      <c r="O44" s="43">
        <f t="shared" si="3"/>
        <v>0</v>
      </c>
      <c r="P44" s="46"/>
      <c r="Q44" s="40"/>
      <c r="R44" s="40"/>
      <c r="S44" s="40"/>
      <c r="T44" s="5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338" priority="62" operator="containsText" text="SIN FACTURA ">
      <formula>NOT(ISERROR(SEARCH("SIN FACTURA ",A2)))</formula>
    </cfRule>
  </conditionalFormatting>
  <conditionalFormatting sqref="A4:T4">
    <cfRule type="containsText" dxfId="337" priority="36" operator="containsText" text="SIN FACTURA">
      <formula>NOT(ISERROR(SEARCH("SIN FACTURA",A4)))</formula>
    </cfRule>
  </conditionalFormatting>
  <conditionalFormatting sqref="A5:T6 J44:T44 J42:T42 J40:T40 J38:T38 J36:T36 J34:T34 J32:T32 J30:T30 J28:T28 J26:T26 J16:T24 J7:T14 I7:I44 A7:H14 A16:H24 A26:H26 A28:H28 A30:H30 A32:H32 A34:H34 A36:H36 A38:H38 A40:H40 A42:H42 A44:H44">
    <cfRule type="containsText" dxfId="336" priority="23" operator="containsText" text="SIN FACTURA">
      <formula>NOT(ISERROR(SEARCH("SIN FACTURA",A5)))</formula>
    </cfRule>
  </conditionalFormatting>
  <conditionalFormatting sqref="C15:H15 J15:V15">
    <cfRule type="containsText" dxfId="335" priority="22" operator="containsText" text="SIN FACTURA">
      <formula>NOT(ISERROR(SEARCH("SIN FACTURA",C15)))</formula>
    </cfRule>
  </conditionalFormatting>
  <conditionalFormatting sqref="C25:H25 J25:V25">
    <cfRule type="containsText" dxfId="334" priority="21" operator="containsText" text="SIN FACTURA">
      <formula>NOT(ISERROR(SEARCH("SIN FACTURA",C25)))</formula>
    </cfRule>
  </conditionalFormatting>
  <conditionalFormatting sqref="C27:H27 J27:V27">
    <cfRule type="containsText" dxfId="333" priority="20" operator="containsText" text="SIN FACTURA">
      <formula>NOT(ISERROR(SEARCH("SIN FACTURA",C27)))</formula>
    </cfRule>
  </conditionalFormatting>
  <conditionalFormatting sqref="C29:H29 J29:V29">
    <cfRule type="containsText" dxfId="332" priority="19" operator="containsText" text="SIN FACTURA">
      <formula>NOT(ISERROR(SEARCH("SIN FACTURA",C29)))</formula>
    </cfRule>
  </conditionalFormatting>
  <conditionalFormatting sqref="C31:H31 J31:V31">
    <cfRule type="containsText" dxfId="331" priority="18" operator="containsText" text="SIN FACTURA">
      <formula>NOT(ISERROR(SEARCH("SIN FACTURA",C31)))</formula>
    </cfRule>
  </conditionalFormatting>
  <conditionalFormatting sqref="C33:H33 J33:V33">
    <cfRule type="containsText" dxfId="330" priority="17" operator="containsText" text="SIN FACTURA">
      <formula>NOT(ISERROR(SEARCH("SIN FACTURA",C33)))</formula>
    </cfRule>
  </conditionalFormatting>
  <conditionalFormatting sqref="C35:H35 J35:V35">
    <cfRule type="containsText" dxfId="329" priority="16" operator="containsText" text="SIN FACTURA">
      <formula>NOT(ISERROR(SEARCH("SIN FACTURA",C35)))</formula>
    </cfRule>
  </conditionalFormatting>
  <conditionalFormatting sqref="C37:H37 J37:V37">
    <cfRule type="containsText" dxfId="328" priority="15" operator="containsText" text="SIN FACTURA">
      <formula>NOT(ISERROR(SEARCH("SIN FACTURA",C37)))</formula>
    </cfRule>
  </conditionalFormatting>
  <conditionalFormatting sqref="C39:H39 J39:V39">
    <cfRule type="containsText" dxfId="327" priority="14" operator="containsText" text="SIN FACTURA">
      <formula>NOT(ISERROR(SEARCH("SIN FACTURA",C39)))</formula>
    </cfRule>
  </conditionalFormatting>
  <conditionalFormatting sqref="C41:H41 J41:V41">
    <cfRule type="containsText" dxfId="326" priority="13" operator="containsText" text="SIN FACTURA">
      <formula>NOT(ISERROR(SEARCH("SIN FACTURA",C41)))</formula>
    </cfRule>
  </conditionalFormatting>
  <conditionalFormatting sqref="C43:H43 J43:V43">
    <cfRule type="containsText" dxfId="325" priority="12" operator="containsText" text="SIN FACTURA">
      <formula>NOT(ISERROR(SEARCH("SIN FACTURA",C43)))</formula>
    </cfRule>
  </conditionalFormatting>
  <conditionalFormatting sqref="A15:B15">
    <cfRule type="containsText" dxfId="324" priority="11" operator="containsText" text="SIN FACTURA">
      <formula>NOT(ISERROR(SEARCH("SIN FACTURA",A15)))</formula>
    </cfRule>
  </conditionalFormatting>
  <conditionalFormatting sqref="A25:B25">
    <cfRule type="containsText" dxfId="323" priority="10" operator="containsText" text="SIN FACTURA">
      <formula>NOT(ISERROR(SEARCH("SIN FACTURA",A25)))</formula>
    </cfRule>
  </conditionalFormatting>
  <conditionalFormatting sqref="A27:B27">
    <cfRule type="containsText" dxfId="322" priority="9" operator="containsText" text="SIN FACTURA">
      <formula>NOT(ISERROR(SEARCH("SIN FACTURA",A27)))</formula>
    </cfRule>
  </conditionalFormatting>
  <conditionalFormatting sqref="A29:B29">
    <cfRule type="containsText" dxfId="321" priority="8" operator="containsText" text="SIN FACTURA">
      <formula>NOT(ISERROR(SEARCH("SIN FACTURA",A29)))</formula>
    </cfRule>
  </conditionalFormatting>
  <conditionalFormatting sqref="A31:B31">
    <cfRule type="containsText" dxfId="320" priority="7" operator="containsText" text="SIN FACTURA">
      <formula>NOT(ISERROR(SEARCH("SIN FACTURA",A31)))</formula>
    </cfRule>
  </conditionalFormatting>
  <conditionalFormatting sqref="A33:B33">
    <cfRule type="containsText" dxfId="319" priority="6" operator="containsText" text="SIN FACTURA">
      <formula>NOT(ISERROR(SEARCH("SIN FACTURA",A33)))</formula>
    </cfRule>
  </conditionalFormatting>
  <conditionalFormatting sqref="A35:B35">
    <cfRule type="containsText" dxfId="318" priority="5" operator="containsText" text="SIN FACTURA">
      <formula>NOT(ISERROR(SEARCH("SIN FACTURA",A35)))</formula>
    </cfRule>
  </conditionalFormatting>
  <conditionalFormatting sqref="A37:B37">
    <cfRule type="containsText" dxfId="317" priority="4" operator="containsText" text="SIN FACTURA">
      <formula>NOT(ISERROR(SEARCH("SIN FACTURA",A37)))</formula>
    </cfRule>
  </conditionalFormatting>
  <conditionalFormatting sqref="A39:B39">
    <cfRule type="containsText" dxfId="316" priority="3" operator="containsText" text="SIN FACTURA">
      <formula>NOT(ISERROR(SEARCH("SIN FACTURA",A39)))</formula>
    </cfRule>
  </conditionalFormatting>
  <conditionalFormatting sqref="A41:B41">
    <cfRule type="containsText" dxfId="315" priority="2" operator="containsText" text="SIN FACTURA">
      <formula>NOT(ISERROR(SEARCH("SIN FACTURA",A41)))</formula>
    </cfRule>
  </conditionalFormatting>
  <conditionalFormatting sqref="A43:B43">
    <cfRule type="containsText" dxfId="314" priority="1" operator="containsText" text="SIN FACTURA">
      <formula>NOT(ISERROR(SEARCH("SIN FACTURA",A43)))</formula>
    </cfRule>
  </conditionalFormatting>
  <pageMargins left="0.75" right="0.75" top="1" bottom="1" header="0.5" footer="0.5"/>
  <pageSetup paperSize="9" orientation="portrait" r:id="rId1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Y37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5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491</v>
      </c>
      <c r="B1" s="18" t="s">
        <v>287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37" si="0">F5-G5-H5</f>
        <v>0</v>
      </c>
      <c r="J5" s="44">
        <f t="shared" ref="J5:J37" si="1">S5+T5</f>
        <v>0</v>
      </c>
      <c r="K5" s="44">
        <f t="shared" ref="K5:K37" si="2">I5-J5</f>
        <v>0</v>
      </c>
      <c r="L5" s="45"/>
      <c r="M5" s="40"/>
      <c r="N5" s="43">
        <f t="shared" ref="N5:N37" si="3">I5-J5-M5-R5</f>
        <v>0</v>
      </c>
      <c r="O5" s="43">
        <f t="shared" ref="O5:O37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2"/>
      <c r="D6" s="33"/>
      <c r="E6" s="34"/>
      <c r="F6" s="32"/>
      <c r="G6" s="37"/>
      <c r="H6" s="32"/>
      <c r="I6" s="37"/>
      <c r="J6" s="37"/>
      <c r="K6" s="35"/>
      <c r="L6" s="35"/>
      <c r="M6" s="35"/>
      <c r="N6" s="36"/>
      <c r="O6" s="32"/>
      <c r="P6" s="37"/>
      <c r="Q6" s="37"/>
      <c r="R6" s="38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>S11+T11</f>
        <v>0</v>
      </c>
      <c r="K11" s="44">
        <f t="shared" si="2"/>
        <v>0</v>
      </c>
      <c r="L11" s="45"/>
      <c r="M11" s="40"/>
      <c r="N11" s="43">
        <f>I11-J11-M11-R11</f>
        <v>0</v>
      </c>
      <c r="O11" s="43">
        <f>R11+S11+T11</f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50"/>
      <c r="B37" s="51"/>
      <c r="C37" s="52"/>
      <c r="D37" s="50"/>
      <c r="E37" s="50"/>
      <c r="F37" s="50"/>
      <c r="G37" s="43">
        <f>F37*6%</f>
        <v>0</v>
      </c>
      <c r="H37" s="53"/>
      <c r="I37" s="78">
        <f t="shared" si="0"/>
        <v>0</v>
      </c>
      <c r="J37" s="54">
        <f t="shared" si="1"/>
        <v>0</v>
      </c>
      <c r="K37" s="54">
        <f t="shared" si="2"/>
        <v>0</v>
      </c>
      <c r="L37" s="55"/>
      <c r="M37" s="50"/>
      <c r="N37" s="53">
        <f t="shared" si="3"/>
        <v>0</v>
      </c>
      <c r="O37" s="53">
        <f t="shared" si="4"/>
        <v>0</v>
      </c>
      <c r="P37" s="56"/>
      <c r="Q37" s="50"/>
      <c r="R37" s="50"/>
      <c r="S37" s="50"/>
      <c r="T37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313" priority="26" operator="containsText" text="SIN FACTURA ">
      <formula>NOT(ISERROR(SEARCH("SIN FACTURA ",A2)))</formula>
    </cfRule>
  </conditionalFormatting>
  <conditionalFormatting sqref="J37:T37 J35:T35 J33:T33 J31:T31 J29:T29 J27:T27 J25:T25 J23:T23 J21:T21 J19:T19 J17:T17 J7:T15 A7:H15 A17:H17 A19:H19 A21:H21 A23:H23 A25:H25 A27:H27 A29:H29 A31:H31 A33:H33 A35:H35 A37:H37 A4:T4 J5:T5 I5:I37 A5:H5">
    <cfRule type="containsText" dxfId="312" priority="25" operator="containsText" text="SIN FACTURA">
      <formula>NOT(ISERROR(SEARCH("SIN FACTURA",A4)))</formula>
    </cfRule>
  </conditionalFormatting>
  <conditionalFormatting sqref="C6:H6 J6:V6">
    <cfRule type="containsText" dxfId="311" priority="24" operator="containsText" text="SIN FACTURA">
      <formula>NOT(ISERROR(SEARCH("SIN FACTURA",C6)))</formula>
    </cfRule>
  </conditionalFormatting>
  <conditionalFormatting sqref="C16:H16 J16:V16">
    <cfRule type="containsText" dxfId="310" priority="23" operator="containsText" text="SIN FACTURA">
      <formula>NOT(ISERROR(SEARCH("SIN FACTURA",C16)))</formula>
    </cfRule>
  </conditionalFormatting>
  <conditionalFormatting sqref="C18:H18 J18:V18">
    <cfRule type="containsText" dxfId="309" priority="22" operator="containsText" text="SIN FACTURA">
      <formula>NOT(ISERROR(SEARCH("SIN FACTURA",C18)))</formula>
    </cfRule>
  </conditionalFormatting>
  <conditionalFormatting sqref="C20:H20 J20:V20">
    <cfRule type="containsText" dxfId="308" priority="21" operator="containsText" text="SIN FACTURA">
      <formula>NOT(ISERROR(SEARCH("SIN FACTURA",C20)))</formula>
    </cfRule>
  </conditionalFormatting>
  <conditionalFormatting sqref="C22:H22 J22:V22">
    <cfRule type="containsText" dxfId="307" priority="20" operator="containsText" text="SIN FACTURA">
      <formula>NOT(ISERROR(SEARCH("SIN FACTURA",C22)))</formula>
    </cfRule>
  </conditionalFormatting>
  <conditionalFormatting sqref="C24:H24 J24:V24">
    <cfRule type="containsText" dxfId="306" priority="19" operator="containsText" text="SIN FACTURA">
      <formula>NOT(ISERROR(SEARCH("SIN FACTURA",C24)))</formula>
    </cfRule>
  </conditionalFormatting>
  <conditionalFormatting sqref="C26:H26 J26:V26">
    <cfRule type="containsText" dxfId="305" priority="18" operator="containsText" text="SIN FACTURA">
      <formula>NOT(ISERROR(SEARCH("SIN FACTURA",C26)))</formula>
    </cfRule>
  </conditionalFormatting>
  <conditionalFormatting sqref="C28:H28 J28:V28">
    <cfRule type="containsText" dxfId="304" priority="17" operator="containsText" text="SIN FACTURA">
      <formula>NOT(ISERROR(SEARCH("SIN FACTURA",C28)))</formula>
    </cfRule>
  </conditionalFormatting>
  <conditionalFormatting sqref="C30:H30 J30:V30">
    <cfRule type="containsText" dxfId="303" priority="16" operator="containsText" text="SIN FACTURA">
      <formula>NOT(ISERROR(SEARCH("SIN FACTURA",C30)))</formula>
    </cfRule>
  </conditionalFormatting>
  <conditionalFormatting sqref="C32:H32 J32:V32">
    <cfRule type="containsText" dxfId="302" priority="15" operator="containsText" text="SIN FACTURA">
      <formula>NOT(ISERROR(SEARCH("SIN FACTURA",C32)))</formula>
    </cfRule>
  </conditionalFormatting>
  <conditionalFormatting sqref="C34:H34 J34:V34">
    <cfRule type="containsText" dxfId="301" priority="14" operator="containsText" text="SIN FACTURA">
      <formula>NOT(ISERROR(SEARCH("SIN FACTURA",C34)))</formula>
    </cfRule>
  </conditionalFormatting>
  <conditionalFormatting sqref="C36:H36 J36:V36">
    <cfRule type="containsText" dxfId="300" priority="13" operator="containsText" text="SIN FACTURA">
      <formula>NOT(ISERROR(SEARCH("SIN FACTURA",C36)))</formula>
    </cfRule>
  </conditionalFormatting>
  <conditionalFormatting sqref="A6:B6">
    <cfRule type="containsText" dxfId="299" priority="12" operator="containsText" text="SIN FACTURA">
      <formula>NOT(ISERROR(SEARCH("SIN FACTURA",A6)))</formula>
    </cfRule>
  </conditionalFormatting>
  <conditionalFormatting sqref="A16:B16">
    <cfRule type="containsText" dxfId="298" priority="11" operator="containsText" text="SIN FACTURA">
      <formula>NOT(ISERROR(SEARCH("SIN FACTURA",A16)))</formula>
    </cfRule>
  </conditionalFormatting>
  <conditionalFormatting sqref="A18:B18">
    <cfRule type="containsText" dxfId="297" priority="10" operator="containsText" text="SIN FACTURA">
      <formula>NOT(ISERROR(SEARCH("SIN FACTURA",A18)))</formula>
    </cfRule>
  </conditionalFormatting>
  <conditionalFormatting sqref="A20:B20">
    <cfRule type="containsText" dxfId="296" priority="9" operator="containsText" text="SIN FACTURA">
      <formula>NOT(ISERROR(SEARCH("SIN FACTURA",A20)))</formula>
    </cfRule>
  </conditionalFormatting>
  <conditionalFormatting sqref="A22:B22">
    <cfRule type="containsText" dxfId="295" priority="8" operator="containsText" text="SIN FACTURA">
      <formula>NOT(ISERROR(SEARCH("SIN FACTURA",A22)))</formula>
    </cfRule>
  </conditionalFormatting>
  <conditionalFormatting sqref="A24:B24">
    <cfRule type="containsText" dxfId="294" priority="7" operator="containsText" text="SIN FACTURA">
      <formula>NOT(ISERROR(SEARCH("SIN FACTURA",A24)))</formula>
    </cfRule>
  </conditionalFormatting>
  <conditionalFormatting sqref="A36:B36">
    <cfRule type="containsText" dxfId="293" priority="1" operator="containsText" text="SIN FACTURA">
      <formula>NOT(ISERROR(SEARCH("SIN FACTURA",A36)))</formula>
    </cfRule>
  </conditionalFormatting>
  <conditionalFormatting sqref="A26:B26">
    <cfRule type="containsText" dxfId="292" priority="6" operator="containsText" text="SIN FACTURA">
      <formula>NOT(ISERROR(SEARCH("SIN FACTURA",A26)))</formula>
    </cfRule>
  </conditionalFormatting>
  <conditionalFormatting sqref="A28:B28">
    <cfRule type="containsText" dxfId="291" priority="5" operator="containsText" text="SIN FACTURA">
      <formula>NOT(ISERROR(SEARCH("SIN FACTURA",A28)))</formula>
    </cfRule>
  </conditionalFormatting>
  <conditionalFormatting sqref="A30:B30">
    <cfRule type="containsText" dxfId="290" priority="4" operator="containsText" text="SIN FACTURA">
      <formula>NOT(ISERROR(SEARCH("SIN FACTURA",A30)))</formula>
    </cfRule>
  </conditionalFormatting>
  <conditionalFormatting sqref="A32:B32">
    <cfRule type="containsText" dxfId="289" priority="3" operator="containsText" text="SIN FACTURA">
      <formula>NOT(ISERROR(SEARCH("SIN FACTURA",A32)))</formula>
    </cfRule>
  </conditionalFormatting>
  <conditionalFormatting sqref="A34:B34">
    <cfRule type="containsText" dxfId="288" priority="2" operator="containsText" text="SIN FACTURA">
      <formula>NOT(ISERROR(SEARCH("SIN FACTURA",A34)))</formula>
    </cfRule>
  </conditionalFormatting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>
  <sheetPr codeName="Hoja240"/>
  <dimension ref="A1:Y43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410</v>
      </c>
      <c r="B1" s="18" t="s">
        <v>109</v>
      </c>
      <c r="C1" s="20"/>
      <c r="D1" s="5"/>
      <c r="E1" s="5">
        <v>9004</v>
      </c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44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287" priority="28" operator="containsText" text="SIN FACTURA ">
      <formula>NOT(ISERROR(SEARCH("SIN FACTURA ",A2)))</formula>
    </cfRule>
  </conditionalFormatting>
  <conditionalFormatting sqref="A40:B40 J5:T11 I5:I43 A5:H11 A4:T4">
    <cfRule type="containsText" dxfId="286" priority="2" operator="containsText" text="SIN FACTURA">
      <formula>NOT(ISERROR(SEARCH("SIN FACTURA",A4)))</formula>
    </cfRule>
  </conditionalFormatting>
  <conditionalFormatting sqref="A42:B42">
    <cfRule type="containsText" dxfId="285" priority="1" operator="containsText" text="SIN FACTURA">
      <formula>NOT(ISERROR(SEARCH("SIN FACTURA",A42)))</formula>
    </cfRule>
  </conditionalFormatting>
  <conditionalFormatting sqref="J43:T43 J41:T41 J39:T39 J37:T37 J35:T35 J33:T33 J31:T31 J29:T29 J27:T27 J25:T25 J23:T23 J13:T21 A13:H21 A23:H23 A25:H25 A27:H27 A29:H29 A31:H31 A33:H33 A35:H35 A37:H37 A39:H39 A41:H41 A43:H43">
    <cfRule type="containsText" dxfId="284" priority="25" operator="containsText" text="SIN FACTURA">
      <formula>NOT(ISERROR(SEARCH("SIN FACTURA",A13)))</formula>
    </cfRule>
  </conditionalFormatting>
  <conditionalFormatting sqref="C12:H12 J12:V12">
    <cfRule type="containsText" dxfId="283" priority="24" operator="containsText" text="SIN FACTURA">
      <formula>NOT(ISERROR(SEARCH("SIN FACTURA",C12)))</formula>
    </cfRule>
  </conditionalFormatting>
  <conditionalFormatting sqref="C22:H22 J22:V22">
    <cfRule type="containsText" dxfId="282" priority="23" operator="containsText" text="SIN FACTURA">
      <formula>NOT(ISERROR(SEARCH("SIN FACTURA",C22)))</formula>
    </cfRule>
  </conditionalFormatting>
  <conditionalFormatting sqref="C24:H24 J24:V24">
    <cfRule type="containsText" dxfId="281" priority="22" operator="containsText" text="SIN FACTURA">
      <formula>NOT(ISERROR(SEARCH("SIN FACTURA",C24)))</formula>
    </cfRule>
  </conditionalFormatting>
  <conditionalFormatting sqref="C26:H26 J26:V26">
    <cfRule type="containsText" dxfId="280" priority="21" operator="containsText" text="SIN FACTURA">
      <formula>NOT(ISERROR(SEARCH("SIN FACTURA",C26)))</formula>
    </cfRule>
  </conditionalFormatting>
  <conditionalFormatting sqref="C28:H28 J28:V28">
    <cfRule type="containsText" dxfId="279" priority="20" operator="containsText" text="SIN FACTURA">
      <formula>NOT(ISERROR(SEARCH("SIN FACTURA",C28)))</formula>
    </cfRule>
  </conditionalFormatting>
  <conditionalFormatting sqref="C30:H30 J30:V30">
    <cfRule type="containsText" dxfId="278" priority="19" operator="containsText" text="SIN FACTURA">
      <formula>NOT(ISERROR(SEARCH("SIN FACTURA",C30)))</formula>
    </cfRule>
  </conditionalFormatting>
  <conditionalFormatting sqref="C32:H32 J32:V32">
    <cfRule type="containsText" dxfId="277" priority="18" operator="containsText" text="SIN FACTURA">
      <formula>NOT(ISERROR(SEARCH("SIN FACTURA",C32)))</formula>
    </cfRule>
  </conditionalFormatting>
  <conditionalFormatting sqref="C34:H34 J34:V34">
    <cfRule type="containsText" dxfId="276" priority="17" operator="containsText" text="SIN FACTURA">
      <formula>NOT(ISERROR(SEARCH("SIN FACTURA",C34)))</formula>
    </cfRule>
  </conditionalFormatting>
  <conditionalFormatting sqref="C36:H36 J36:V36">
    <cfRule type="containsText" dxfId="275" priority="16" operator="containsText" text="SIN FACTURA">
      <formula>NOT(ISERROR(SEARCH("SIN FACTURA",C36)))</formula>
    </cfRule>
  </conditionalFormatting>
  <conditionalFormatting sqref="C38:H38 J38:V38">
    <cfRule type="containsText" dxfId="274" priority="15" operator="containsText" text="SIN FACTURA">
      <formula>NOT(ISERROR(SEARCH("SIN FACTURA",C38)))</formula>
    </cfRule>
  </conditionalFormatting>
  <conditionalFormatting sqref="C40:H40 J40:V40">
    <cfRule type="containsText" dxfId="273" priority="14" operator="containsText" text="SIN FACTURA">
      <formula>NOT(ISERROR(SEARCH("SIN FACTURA",C40)))</formula>
    </cfRule>
  </conditionalFormatting>
  <conditionalFormatting sqref="C42:H42 J42:V42">
    <cfRule type="containsText" dxfId="272" priority="13" operator="containsText" text="SIN FACTURA">
      <formula>NOT(ISERROR(SEARCH("SIN FACTURA",C42)))</formula>
    </cfRule>
  </conditionalFormatting>
  <conditionalFormatting sqref="A12:B12">
    <cfRule type="containsText" dxfId="271" priority="12" operator="containsText" text="SIN FACTURA">
      <formula>NOT(ISERROR(SEARCH("SIN FACTURA",A12)))</formula>
    </cfRule>
  </conditionalFormatting>
  <conditionalFormatting sqref="A22:B22">
    <cfRule type="containsText" dxfId="270" priority="11" operator="containsText" text="SIN FACTURA">
      <formula>NOT(ISERROR(SEARCH("SIN FACTURA",A22)))</formula>
    </cfRule>
  </conditionalFormatting>
  <conditionalFormatting sqref="A24:B24">
    <cfRule type="containsText" dxfId="269" priority="10" operator="containsText" text="SIN FACTURA">
      <formula>NOT(ISERROR(SEARCH("SIN FACTURA",A24)))</formula>
    </cfRule>
  </conditionalFormatting>
  <conditionalFormatting sqref="A26:B26">
    <cfRule type="containsText" dxfId="268" priority="9" operator="containsText" text="SIN FACTURA">
      <formula>NOT(ISERROR(SEARCH("SIN FACTURA",A26)))</formula>
    </cfRule>
  </conditionalFormatting>
  <conditionalFormatting sqref="A28:B28">
    <cfRule type="containsText" dxfId="267" priority="8" operator="containsText" text="SIN FACTURA">
      <formula>NOT(ISERROR(SEARCH("SIN FACTURA",A28)))</formula>
    </cfRule>
  </conditionalFormatting>
  <conditionalFormatting sqref="A30:B30">
    <cfRule type="containsText" dxfId="266" priority="7" operator="containsText" text="SIN FACTURA">
      <formula>NOT(ISERROR(SEARCH("SIN FACTURA",A30)))</formula>
    </cfRule>
  </conditionalFormatting>
  <conditionalFormatting sqref="A32:B32">
    <cfRule type="containsText" dxfId="265" priority="6" operator="containsText" text="SIN FACTURA">
      <formula>NOT(ISERROR(SEARCH("SIN FACTURA",A32)))</formula>
    </cfRule>
  </conditionalFormatting>
  <conditionalFormatting sqref="A34:B34">
    <cfRule type="containsText" dxfId="264" priority="5" operator="containsText" text="SIN FACTURA">
      <formula>NOT(ISERROR(SEARCH("SIN FACTURA",A34)))</formula>
    </cfRule>
  </conditionalFormatting>
  <conditionalFormatting sqref="A36:B36">
    <cfRule type="containsText" dxfId="263" priority="4" operator="containsText" text="SIN FACTURA">
      <formula>NOT(ISERROR(SEARCH("SIN FACTURA",A36)))</formula>
    </cfRule>
  </conditionalFormatting>
  <conditionalFormatting sqref="A38:B38">
    <cfRule type="containsText" dxfId="262" priority="3" operator="containsText" text="SIN FACTURA">
      <formula>NOT(ISERROR(SEARCH("SIN FACTURA",A38)))</formula>
    </cfRule>
  </conditionalFormatting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>
  <sheetPr codeName="Hoja76"/>
  <dimension ref="A1:Y44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P5" sqref="P5:T18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9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171</v>
      </c>
      <c r="B1" s="18" t="s">
        <v>36</v>
      </c>
      <c r="C1" s="20"/>
      <c r="D1" s="5"/>
      <c r="E1" s="11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>F5-G5-H5</f>
        <v>0</v>
      </c>
      <c r="J5" s="44">
        <f t="shared" ref="J5:J43" si="0">S5+T5</f>
        <v>0</v>
      </c>
      <c r="K5" s="44">
        <f t="shared" ref="K5:K43" si="1">I5-J5</f>
        <v>0</v>
      </c>
      <c r="L5" s="45"/>
      <c r="M5" s="40"/>
      <c r="N5" s="43">
        <f t="shared" ref="N5:N43" si="2">I5-J5-M5-R5</f>
        <v>0</v>
      </c>
      <c r="O5" s="43">
        <f t="shared" ref="O5:O43" si="3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ref="I7:I43" si="4">F7-G7-H7</f>
        <v>0</v>
      </c>
      <c r="J7" s="44">
        <f t="shared" si="0"/>
        <v>0</v>
      </c>
      <c r="K7" s="44">
        <f t="shared" si="1"/>
        <v>0</v>
      </c>
      <c r="L7" s="45"/>
      <c r="M7" s="40"/>
      <c r="N7" s="43">
        <f t="shared" si="2"/>
        <v>0</v>
      </c>
      <c r="O7" s="43">
        <f t="shared" si="3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4"/>
        <v>0</v>
      </c>
      <c r="J9" s="44">
        <f>S9+T9</f>
        <v>0</v>
      </c>
      <c r="K9" s="44">
        <f>I9-J9</f>
        <v>0</v>
      </c>
      <c r="L9" s="45"/>
      <c r="M9" s="40"/>
      <c r="N9" s="43">
        <f t="shared" si="2"/>
        <v>0</v>
      </c>
      <c r="O9" s="43">
        <f t="shared" si="3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4"/>
        <v>0</v>
      </c>
      <c r="J11" s="44">
        <f t="shared" si="0"/>
        <v>0</v>
      </c>
      <c r="K11" s="44">
        <f t="shared" si="1"/>
        <v>0</v>
      </c>
      <c r="L11" s="45"/>
      <c r="M11" s="40"/>
      <c r="N11" s="43">
        <f t="shared" si="2"/>
        <v>0</v>
      </c>
      <c r="O11" s="43">
        <f t="shared" si="3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4"/>
        <v>0</v>
      </c>
      <c r="J13" s="44">
        <f t="shared" si="0"/>
        <v>0</v>
      </c>
      <c r="K13" s="44">
        <f t="shared" si="1"/>
        <v>0</v>
      </c>
      <c r="L13" s="45"/>
      <c r="M13" s="40"/>
      <c r="N13" s="43">
        <f>I13-J13-M13-R13</f>
        <v>0</v>
      </c>
      <c r="O13" s="43">
        <f t="shared" si="3"/>
        <v>0</v>
      </c>
      <c r="P13" s="133"/>
      <c r="Q13" s="137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4"/>
        <v>0</v>
      </c>
      <c r="J15" s="44">
        <f t="shared" si="0"/>
        <v>0</v>
      </c>
      <c r="K15" s="44">
        <f t="shared" si="1"/>
        <v>0</v>
      </c>
      <c r="L15" s="45"/>
      <c r="M15" s="40"/>
      <c r="N15" s="43">
        <f t="shared" si="2"/>
        <v>0</v>
      </c>
      <c r="O15" s="43">
        <f t="shared" si="3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4"/>
        <v>0</v>
      </c>
      <c r="J17" s="44">
        <f>S17+T17</f>
        <v>0</v>
      </c>
      <c r="K17" s="44">
        <f t="shared" si="1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4"/>
        <v>0</v>
      </c>
      <c r="J19" s="44">
        <f t="shared" si="0"/>
        <v>0</v>
      </c>
      <c r="K19" s="44">
        <f t="shared" si="1"/>
        <v>0</v>
      </c>
      <c r="L19" s="45"/>
      <c r="M19" s="40"/>
      <c r="N19" s="43">
        <f t="shared" si="2"/>
        <v>0</v>
      </c>
      <c r="O19" s="43">
        <f t="shared" si="3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4"/>
        <v>0</v>
      </c>
      <c r="J21" s="44">
        <f t="shared" si="0"/>
        <v>0</v>
      </c>
      <c r="K21" s="44">
        <f t="shared" si="1"/>
        <v>0</v>
      </c>
      <c r="L21" s="45"/>
      <c r="M21" s="40"/>
      <c r="N21" s="43">
        <f t="shared" si="2"/>
        <v>0</v>
      </c>
      <c r="O21" s="43">
        <f t="shared" si="3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4"/>
        <v>0</v>
      </c>
      <c r="J23" s="44">
        <f t="shared" si="0"/>
        <v>0</v>
      </c>
      <c r="K23" s="44">
        <f t="shared" si="1"/>
        <v>0</v>
      </c>
      <c r="L23" s="45"/>
      <c r="M23" s="40"/>
      <c r="N23" s="43">
        <f t="shared" si="2"/>
        <v>0</v>
      </c>
      <c r="O23" s="43">
        <f t="shared" si="3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4"/>
        <v>0</v>
      </c>
      <c r="J25" s="44">
        <f t="shared" si="0"/>
        <v>0</v>
      </c>
      <c r="K25" s="44">
        <f t="shared" si="1"/>
        <v>0</v>
      </c>
      <c r="L25" s="45"/>
      <c r="M25" s="40"/>
      <c r="N25" s="43">
        <f t="shared" si="2"/>
        <v>0</v>
      </c>
      <c r="O25" s="43">
        <f t="shared" si="3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4"/>
        <v>0</v>
      </c>
      <c r="J27" s="44">
        <f t="shared" si="0"/>
        <v>0</v>
      </c>
      <c r="K27" s="44">
        <f t="shared" si="1"/>
        <v>0</v>
      </c>
      <c r="L27" s="45"/>
      <c r="M27" s="40"/>
      <c r="N27" s="43">
        <f t="shared" si="2"/>
        <v>0</v>
      </c>
      <c r="O27" s="43">
        <f t="shared" si="3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4"/>
        <v>0</v>
      </c>
      <c r="J29" s="44">
        <f t="shared" si="0"/>
        <v>0</v>
      </c>
      <c r="K29" s="44">
        <f t="shared" si="1"/>
        <v>0</v>
      </c>
      <c r="L29" s="45"/>
      <c r="M29" s="40"/>
      <c r="N29" s="43">
        <f t="shared" si="2"/>
        <v>0</v>
      </c>
      <c r="O29" s="43">
        <f t="shared" si="3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4"/>
        <v>0</v>
      </c>
      <c r="J31" s="44">
        <f t="shared" si="0"/>
        <v>0</v>
      </c>
      <c r="K31" s="44">
        <f t="shared" si="1"/>
        <v>0</v>
      </c>
      <c r="L31" s="45"/>
      <c r="M31" s="40"/>
      <c r="N31" s="43">
        <f t="shared" si="2"/>
        <v>0</v>
      </c>
      <c r="O31" s="43">
        <f t="shared" si="3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4"/>
        <v>0</v>
      </c>
      <c r="J33" s="44">
        <f t="shared" si="0"/>
        <v>0</v>
      </c>
      <c r="K33" s="44">
        <f t="shared" si="1"/>
        <v>0</v>
      </c>
      <c r="L33" s="45"/>
      <c r="M33" s="40"/>
      <c r="N33" s="43">
        <f t="shared" si="2"/>
        <v>0</v>
      </c>
      <c r="O33" s="43">
        <f t="shared" si="3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4"/>
        <v>0</v>
      </c>
      <c r="J35" s="44">
        <f t="shared" si="0"/>
        <v>0</v>
      </c>
      <c r="K35" s="44">
        <f t="shared" si="1"/>
        <v>0</v>
      </c>
      <c r="L35" s="45"/>
      <c r="M35" s="40"/>
      <c r="N35" s="43">
        <f t="shared" si="2"/>
        <v>0</v>
      </c>
      <c r="O35" s="43">
        <f t="shared" si="3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4"/>
        <v>0</v>
      </c>
      <c r="J37" s="44">
        <f t="shared" si="0"/>
        <v>0</v>
      </c>
      <c r="K37" s="44">
        <f t="shared" si="1"/>
        <v>0</v>
      </c>
      <c r="L37" s="45"/>
      <c r="M37" s="40"/>
      <c r="N37" s="43">
        <f t="shared" si="2"/>
        <v>0</v>
      </c>
      <c r="O37" s="43">
        <f t="shared" si="3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4"/>
        <v>0</v>
      </c>
      <c r="J39" s="44">
        <f t="shared" si="0"/>
        <v>0</v>
      </c>
      <c r="K39" s="44">
        <f t="shared" si="1"/>
        <v>0</v>
      </c>
      <c r="L39" s="45"/>
      <c r="M39" s="40"/>
      <c r="N39" s="43">
        <f t="shared" si="2"/>
        <v>0</v>
      </c>
      <c r="O39" s="43">
        <f t="shared" si="3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4"/>
        <v>0</v>
      </c>
      <c r="J41" s="44">
        <f t="shared" si="0"/>
        <v>0</v>
      </c>
      <c r="K41" s="44">
        <f t="shared" si="1"/>
        <v>0</v>
      </c>
      <c r="L41" s="45"/>
      <c r="M41" s="40"/>
      <c r="N41" s="43">
        <f t="shared" si="2"/>
        <v>0</v>
      </c>
      <c r="O41" s="43">
        <f t="shared" si="3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40"/>
      <c r="B43" s="41"/>
      <c r="C43" s="42"/>
      <c r="D43" s="40"/>
      <c r="E43" s="40"/>
      <c r="F43" s="40"/>
      <c r="G43" s="43">
        <f>F43*6%</f>
        <v>0</v>
      </c>
      <c r="H43" s="43"/>
      <c r="I43" s="44">
        <f t="shared" si="4"/>
        <v>0</v>
      </c>
      <c r="J43" s="44">
        <f t="shared" si="0"/>
        <v>0</v>
      </c>
      <c r="K43" s="44">
        <f t="shared" si="1"/>
        <v>0</v>
      </c>
      <c r="L43" s="45"/>
      <c r="M43" s="40"/>
      <c r="N43" s="43">
        <f t="shared" si="2"/>
        <v>0</v>
      </c>
      <c r="O43" s="43">
        <f t="shared" si="3"/>
        <v>0</v>
      </c>
      <c r="P43" s="46"/>
      <c r="Q43" s="40"/>
      <c r="R43" s="40"/>
      <c r="S43" s="40"/>
      <c r="T43" s="5"/>
    </row>
    <row r="44" spans="1:22" ht="15">
      <c r="A44" s="69"/>
      <c r="B44" s="70"/>
      <c r="C44" s="71"/>
      <c r="D44" s="69"/>
      <c r="E44" s="71"/>
      <c r="F44" s="69"/>
      <c r="G44" s="69"/>
      <c r="H44" s="69"/>
      <c r="I44" s="72">
        <f t="shared" ref="I44" si="5">F44-G44</f>
        <v>0</v>
      </c>
      <c r="J44" s="72">
        <f t="shared" ref="J44" si="6">S44+T44</f>
        <v>0</v>
      </c>
      <c r="K44" s="72">
        <f t="shared" ref="K44" si="7">I44-J44</f>
        <v>0</v>
      </c>
      <c r="L44" s="73"/>
      <c r="M44" s="69"/>
      <c r="N44" s="74">
        <f t="shared" ref="N44" si="8">I44-J44-M44-R44</f>
        <v>0</v>
      </c>
      <c r="O44" s="74">
        <f t="shared" ref="O44" si="9">R44+S44+T44</f>
        <v>0</v>
      </c>
      <c r="P44" s="75"/>
      <c r="Q44" s="69"/>
      <c r="R44" s="69"/>
      <c r="S44" s="69"/>
      <c r="T44" s="76"/>
    </row>
  </sheetData>
  <mergeCells count="5">
    <mergeCell ref="C2:F2"/>
    <mergeCell ref="G2:L2"/>
    <mergeCell ref="M2:O2"/>
    <mergeCell ref="A2:B2"/>
    <mergeCell ref="P2:T2"/>
  </mergeCells>
  <conditionalFormatting sqref="C2 G2:H2 M2 A3:T3 A2">
    <cfRule type="containsText" dxfId="1371" priority="29" operator="containsText" text="SIN FACTURA ">
      <formula>NOT(ISERROR(SEARCH("SIN FACTURA ",A2)))</formula>
    </cfRule>
  </conditionalFormatting>
  <conditionalFormatting sqref="A44:T44 J6:T11 A6:H11 I6:I43">
    <cfRule type="containsText" dxfId="1370" priority="28" operator="containsText" text="SIN FACTURA">
      <formula>NOT(ISERROR(SEARCH("SIN FACTURA",A6)))</formula>
    </cfRule>
  </conditionalFormatting>
  <conditionalFormatting sqref="A4:T5 J43:T43 J41:T41 J39:T39 J37:T37 J35:T35 J33:T33 J31:T31 J29:T29 J27:T27 J25:T25 J23:T23 J13:T21 A13:H21 A23:H23 A25:H25 A27:H27 A29:H29 A31:H31 A33:H33 A35:H35 A37:H37 A39:H39 A41:H41 A43:H43">
    <cfRule type="containsText" dxfId="1369" priority="25" operator="containsText" text="SIN FACTURA">
      <formula>NOT(ISERROR(SEARCH("SIN FACTURA",A4)))</formula>
    </cfRule>
  </conditionalFormatting>
  <conditionalFormatting sqref="C12:H12 J12:V12">
    <cfRule type="containsText" dxfId="1368" priority="24" operator="containsText" text="SIN FACTURA">
      <formula>NOT(ISERROR(SEARCH("SIN FACTURA",C12)))</formula>
    </cfRule>
  </conditionalFormatting>
  <conditionalFormatting sqref="C22:H22 J22:V22">
    <cfRule type="containsText" dxfId="1367" priority="23" operator="containsText" text="SIN FACTURA">
      <formula>NOT(ISERROR(SEARCH("SIN FACTURA",C22)))</formula>
    </cfRule>
  </conditionalFormatting>
  <conditionalFormatting sqref="C24:H24 J24:V24">
    <cfRule type="containsText" dxfId="1366" priority="22" operator="containsText" text="SIN FACTURA">
      <formula>NOT(ISERROR(SEARCH("SIN FACTURA",C24)))</formula>
    </cfRule>
  </conditionalFormatting>
  <conditionalFormatting sqref="C26:H26 J26:V26">
    <cfRule type="containsText" dxfId="1365" priority="21" operator="containsText" text="SIN FACTURA">
      <formula>NOT(ISERROR(SEARCH("SIN FACTURA",C26)))</formula>
    </cfRule>
  </conditionalFormatting>
  <conditionalFormatting sqref="C28:H28 J28:V28">
    <cfRule type="containsText" dxfId="1364" priority="20" operator="containsText" text="SIN FACTURA">
      <formula>NOT(ISERROR(SEARCH("SIN FACTURA",C28)))</formula>
    </cfRule>
  </conditionalFormatting>
  <conditionalFormatting sqref="C30:H30 J30:V30">
    <cfRule type="containsText" dxfId="1363" priority="19" operator="containsText" text="SIN FACTURA">
      <formula>NOT(ISERROR(SEARCH("SIN FACTURA",C30)))</formula>
    </cfRule>
  </conditionalFormatting>
  <conditionalFormatting sqref="C32:H32 J32:V32">
    <cfRule type="containsText" dxfId="1362" priority="18" operator="containsText" text="SIN FACTURA">
      <formula>NOT(ISERROR(SEARCH("SIN FACTURA",C32)))</formula>
    </cfRule>
  </conditionalFormatting>
  <conditionalFormatting sqref="C34:H34 J34:V34">
    <cfRule type="containsText" dxfId="1361" priority="17" operator="containsText" text="SIN FACTURA">
      <formula>NOT(ISERROR(SEARCH("SIN FACTURA",C34)))</formula>
    </cfRule>
  </conditionalFormatting>
  <conditionalFormatting sqref="C36:H36 J36:V36">
    <cfRule type="containsText" dxfId="1360" priority="16" operator="containsText" text="SIN FACTURA">
      <formula>NOT(ISERROR(SEARCH("SIN FACTURA",C36)))</formula>
    </cfRule>
  </conditionalFormatting>
  <conditionalFormatting sqref="C38:H38 J38:V38">
    <cfRule type="containsText" dxfId="1359" priority="15" operator="containsText" text="SIN FACTURA">
      <formula>NOT(ISERROR(SEARCH("SIN FACTURA",C38)))</formula>
    </cfRule>
  </conditionalFormatting>
  <conditionalFormatting sqref="C40:H40 J40:V40">
    <cfRule type="containsText" dxfId="1358" priority="14" operator="containsText" text="SIN FACTURA">
      <formula>NOT(ISERROR(SEARCH("SIN FACTURA",C40)))</formula>
    </cfRule>
  </conditionalFormatting>
  <conditionalFormatting sqref="C42:H42 J42:V42">
    <cfRule type="containsText" dxfId="1357" priority="13" operator="containsText" text="SIN FACTURA">
      <formula>NOT(ISERROR(SEARCH("SIN FACTURA",C42)))</formula>
    </cfRule>
  </conditionalFormatting>
  <conditionalFormatting sqref="A12:B12">
    <cfRule type="containsText" dxfId="1356" priority="12" operator="containsText" text="SIN FACTURA">
      <formula>NOT(ISERROR(SEARCH("SIN FACTURA",A12)))</formula>
    </cfRule>
  </conditionalFormatting>
  <conditionalFormatting sqref="A22:B22">
    <cfRule type="containsText" dxfId="1355" priority="11" operator="containsText" text="SIN FACTURA">
      <formula>NOT(ISERROR(SEARCH("SIN FACTURA",A22)))</formula>
    </cfRule>
  </conditionalFormatting>
  <conditionalFormatting sqref="A24:B24">
    <cfRule type="containsText" dxfId="1354" priority="10" operator="containsText" text="SIN FACTURA">
      <formula>NOT(ISERROR(SEARCH("SIN FACTURA",A24)))</formula>
    </cfRule>
  </conditionalFormatting>
  <conditionalFormatting sqref="A26:B26">
    <cfRule type="containsText" dxfId="1353" priority="9" operator="containsText" text="SIN FACTURA">
      <formula>NOT(ISERROR(SEARCH("SIN FACTURA",A26)))</formula>
    </cfRule>
  </conditionalFormatting>
  <conditionalFormatting sqref="A28:B28">
    <cfRule type="containsText" dxfId="1352" priority="8" operator="containsText" text="SIN FACTURA">
      <formula>NOT(ISERROR(SEARCH("SIN FACTURA",A28)))</formula>
    </cfRule>
  </conditionalFormatting>
  <conditionalFormatting sqref="A30:B30">
    <cfRule type="containsText" dxfId="1351" priority="7" operator="containsText" text="SIN FACTURA">
      <formula>NOT(ISERROR(SEARCH("SIN FACTURA",A30)))</formula>
    </cfRule>
  </conditionalFormatting>
  <conditionalFormatting sqref="A42:B42">
    <cfRule type="containsText" dxfId="1350" priority="1" operator="containsText" text="SIN FACTURA">
      <formula>NOT(ISERROR(SEARCH("SIN FACTURA",A42)))</formula>
    </cfRule>
  </conditionalFormatting>
  <conditionalFormatting sqref="A32:B32">
    <cfRule type="containsText" dxfId="1349" priority="6" operator="containsText" text="SIN FACTURA">
      <formula>NOT(ISERROR(SEARCH("SIN FACTURA",A32)))</formula>
    </cfRule>
  </conditionalFormatting>
  <conditionalFormatting sqref="A34:B34">
    <cfRule type="containsText" dxfId="1348" priority="5" operator="containsText" text="SIN FACTURA">
      <formula>NOT(ISERROR(SEARCH("SIN FACTURA",A34)))</formula>
    </cfRule>
  </conditionalFormatting>
  <conditionalFormatting sqref="A36:B36">
    <cfRule type="containsText" dxfId="1347" priority="4" operator="containsText" text="SIN FACTURA">
      <formula>NOT(ISERROR(SEARCH("SIN FACTURA",A36)))</formula>
    </cfRule>
  </conditionalFormatting>
  <conditionalFormatting sqref="A38:B38">
    <cfRule type="containsText" dxfId="1346" priority="3" operator="containsText" text="SIN FACTURA">
      <formula>NOT(ISERROR(SEARCH("SIN FACTURA",A38)))</formula>
    </cfRule>
  </conditionalFormatting>
  <conditionalFormatting sqref="A40:B40">
    <cfRule type="containsText" dxfId="1345" priority="2" operator="containsText" text="SIN FACTURA">
      <formula>NOT(ISERROR(SEARCH("SIN FACTURA",A40)))</formula>
    </cfRule>
  </conditionalFormatting>
  <pageMargins left="0.75" right="0.75" top="1" bottom="1" header="0.5" footer="0.5"/>
  <pageSetup paperSize="9" orientation="portrait"/>
</worksheet>
</file>

<file path=xl/worksheets/sheet167.xml><?xml version="1.0" encoding="utf-8"?>
<worksheet xmlns="http://schemas.openxmlformats.org/spreadsheetml/2006/main" xmlns:r="http://schemas.openxmlformats.org/officeDocument/2006/relationships">
  <sheetPr codeName="Hoja243"/>
  <dimension ref="A1:Y45"/>
  <sheetViews>
    <sheetView tabSelected="1" zoomScale="125" zoomScaleNormal="125" zoomScalePageLayoutView="125" workbookViewId="0">
      <pane ySplit="4" topLeftCell="A5" activePane="bottomLeft" state="frozen"/>
      <selection activeCell="C52" sqref="C52"/>
      <selection pane="bottomLeft" activeCell="K21" sqref="K21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12" t="s">
        <v>56</v>
      </c>
      <c r="B1" s="15" t="s">
        <v>76</v>
      </c>
      <c r="C1" s="1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6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>F5-G5-H5</f>
        <v>0</v>
      </c>
      <c r="J5" s="44">
        <f t="shared" ref="J5:J45" si="0">S5+T5</f>
        <v>0</v>
      </c>
      <c r="K5" s="44">
        <f t="shared" ref="K5:K45" si="1">I5-J5</f>
        <v>0</v>
      </c>
      <c r="L5" s="45"/>
      <c r="M5" s="40"/>
      <c r="N5" s="43">
        <f t="shared" ref="N5:N45" si="2">I5-J5-M5-R5</f>
        <v>0</v>
      </c>
      <c r="O5" s="43">
        <f t="shared" ref="O5:O45" si="3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ref="I7:I45" si="4">F7-G7-H7</f>
        <v>0</v>
      </c>
      <c r="J7" s="44">
        <f t="shared" si="0"/>
        <v>0</v>
      </c>
      <c r="K7" s="44">
        <f t="shared" si="1"/>
        <v>0</v>
      </c>
      <c r="L7" s="45"/>
      <c r="M7" s="40"/>
      <c r="N7" s="43">
        <f t="shared" si="2"/>
        <v>0</v>
      </c>
      <c r="O7" s="43">
        <f t="shared" si="3"/>
        <v>0</v>
      </c>
      <c r="P7" s="46"/>
      <c r="Q7" s="40"/>
      <c r="R7" s="47"/>
      <c r="S7" s="47"/>
      <c r="T7" s="48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4"/>
        <v>0</v>
      </c>
      <c r="J9" s="44">
        <f t="shared" si="0"/>
        <v>0</v>
      </c>
      <c r="K9" s="44">
        <f t="shared" si="1"/>
        <v>0</v>
      </c>
      <c r="L9" s="45"/>
      <c r="M9" s="40"/>
      <c r="N9" s="43">
        <f t="shared" si="2"/>
        <v>0</v>
      </c>
      <c r="O9" s="43">
        <f t="shared" si="3"/>
        <v>0</v>
      </c>
      <c r="P9" s="46"/>
      <c r="Q9" s="40"/>
      <c r="R9" s="43"/>
      <c r="S9" s="43"/>
      <c r="T9" s="49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4"/>
        <v>0</v>
      </c>
      <c r="J11" s="44">
        <f>S11+T11</f>
        <v>0</v>
      </c>
      <c r="K11" s="44">
        <f>I11-J11</f>
        <v>0</v>
      </c>
      <c r="L11" s="45"/>
      <c r="M11" s="40"/>
      <c r="N11" s="43">
        <f t="shared" si="2"/>
        <v>0</v>
      </c>
      <c r="O11" s="43">
        <f t="shared" si="3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4"/>
      <c r="D12" s="32"/>
      <c r="E12" s="32"/>
      <c r="F12" s="32"/>
      <c r="G12" s="37"/>
      <c r="H12" s="37"/>
      <c r="I12" s="37"/>
      <c r="J12" s="35"/>
      <c r="K12" s="35"/>
      <c r="L12" s="36"/>
      <c r="M12" s="32"/>
      <c r="N12" s="37"/>
      <c r="O12" s="37"/>
      <c r="P12" s="38"/>
      <c r="Q12" s="32"/>
      <c r="R12" s="32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4"/>
        <v>0</v>
      </c>
      <c r="J13" s="44">
        <f t="shared" si="0"/>
        <v>0</v>
      </c>
      <c r="K13" s="44">
        <f t="shared" si="1"/>
        <v>0</v>
      </c>
      <c r="L13" s="45"/>
      <c r="M13" s="40"/>
      <c r="N13" s="43">
        <f t="shared" si="2"/>
        <v>0</v>
      </c>
      <c r="O13" s="43">
        <f t="shared" si="3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4"/>
        <v>0</v>
      </c>
      <c r="J15" s="44">
        <f t="shared" si="0"/>
        <v>0</v>
      </c>
      <c r="K15" s="44">
        <f t="shared" si="1"/>
        <v>0</v>
      </c>
      <c r="L15" s="45"/>
      <c r="M15" s="40"/>
      <c r="N15" s="43">
        <f t="shared" si="2"/>
        <v>0</v>
      </c>
      <c r="O15" s="43">
        <f t="shared" si="3"/>
        <v>0</v>
      </c>
      <c r="P15" s="46"/>
      <c r="Q15" s="40"/>
      <c r="R15" s="47"/>
      <c r="S15" s="47"/>
      <c r="T15" s="48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4"/>
        <v>0</v>
      </c>
      <c r="J17" s="44">
        <f t="shared" si="0"/>
        <v>0</v>
      </c>
      <c r="K17" s="44">
        <f t="shared" si="1"/>
        <v>0</v>
      </c>
      <c r="L17" s="45"/>
      <c r="M17" s="40"/>
      <c r="N17" s="43">
        <f t="shared" si="2"/>
        <v>0</v>
      </c>
      <c r="O17" s="43">
        <f t="shared" si="3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4"/>
        <v>0</v>
      </c>
      <c r="J19" s="44">
        <f>S19+T19</f>
        <v>0</v>
      </c>
      <c r="K19" s="44">
        <f t="shared" si="1"/>
        <v>0</v>
      </c>
      <c r="L19" s="45"/>
      <c r="M19" s="40"/>
      <c r="N19" s="43">
        <f>I19-J19-M19-R19</f>
        <v>0</v>
      </c>
      <c r="O19" s="43">
        <f>R19+S19+T19</f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4"/>
        <v>0</v>
      </c>
      <c r="J21" s="44">
        <f t="shared" si="0"/>
        <v>0</v>
      </c>
      <c r="K21" s="44">
        <f t="shared" si="1"/>
        <v>0</v>
      </c>
      <c r="L21" s="45"/>
      <c r="M21" s="40"/>
      <c r="N21" s="43">
        <f t="shared" si="2"/>
        <v>0</v>
      </c>
      <c r="O21" s="43">
        <f t="shared" si="3"/>
        <v>0</v>
      </c>
      <c r="P21" s="46"/>
      <c r="Q21" s="40"/>
      <c r="R21" s="47"/>
      <c r="S21" s="47"/>
      <c r="T21" s="48"/>
    </row>
    <row r="22" spans="1:22" ht="15">
      <c r="A22" s="32"/>
      <c r="B22" s="33"/>
      <c r="C22" s="34"/>
      <c r="D22" s="32"/>
      <c r="E22" s="32"/>
      <c r="F22" s="32"/>
      <c r="G22" s="37"/>
      <c r="H22" s="37"/>
      <c r="I22" s="37"/>
      <c r="J22" s="35"/>
      <c r="K22" s="35"/>
      <c r="L22" s="36"/>
      <c r="M22" s="32"/>
      <c r="N22" s="37"/>
      <c r="O22" s="37"/>
      <c r="P22" s="38"/>
      <c r="Q22" s="32"/>
      <c r="R22" s="32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4"/>
        <v>0</v>
      </c>
      <c r="J23" s="44">
        <f t="shared" si="0"/>
        <v>0</v>
      </c>
      <c r="K23" s="44">
        <f t="shared" si="1"/>
        <v>0</v>
      </c>
      <c r="L23" s="45"/>
      <c r="M23" s="40"/>
      <c r="N23" s="43">
        <f t="shared" si="2"/>
        <v>0</v>
      </c>
      <c r="O23" s="43">
        <f t="shared" si="3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4"/>
        <v>0</v>
      </c>
      <c r="J25" s="44">
        <f t="shared" si="0"/>
        <v>0</v>
      </c>
      <c r="K25" s="44">
        <f t="shared" si="1"/>
        <v>0</v>
      </c>
      <c r="L25" s="45"/>
      <c r="M25" s="40"/>
      <c r="N25" s="43">
        <f t="shared" si="2"/>
        <v>0</v>
      </c>
      <c r="O25" s="43">
        <f t="shared" si="3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4"/>
        <v>0</v>
      </c>
      <c r="J27" s="44">
        <f t="shared" si="0"/>
        <v>0</v>
      </c>
      <c r="K27" s="44">
        <f t="shared" si="1"/>
        <v>0</v>
      </c>
      <c r="L27" s="45"/>
      <c r="M27" s="40"/>
      <c r="N27" s="43">
        <f t="shared" si="2"/>
        <v>0</v>
      </c>
      <c r="O27" s="43">
        <f t="shared" si="3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4"/>
        <v>0</v>
      </c>
      <c r="J29" s="44">
        <f t="shared" si="0"/>
        <v>0</v>
      </c>
      <c r="K29" s="44">
        <f t="shared" si="1"/>
        <v>0</v>
      </c>
      <c r="L29" s="45"/>
      <c r="M29" s="40"/>
      <c r="N29" s="43">
        <f t="shared" si="2"/>
        <v>0</v>
      </c>
      <c r="O29" s="43">
        <f t="shared" si="3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4"/>
        <v>0</v>
      </c>
      <c r="J31" s="44">
        <f t="shared" si="0"/>
        <v>0</v>
      </c>
      <c r="K31" s="44">
        <f t="shared" si="1"/>
        <v>0</v>
      </c>
      <c r="L31" s="45"/>
      <c r="M31" s="40"/>
      <c r="N31" s="43">
        <f t="shared" si="2"/>
        <v>0</v>
      </c>
      <c r="O31" s="43">
        <f t="shared" si="3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4"/>
        <v>0</v>
      </c>
      <c r="J33" s="44">
        <f t="shared" si="0"/>
        <v>0</v>
      </c>
      <c r="K33" s="44">
        <f t="shared" si="1"/>
        <v>0</v>
      </c>
      <c r="L33" s="45"/>
      <c r="M33" s="40"/>
      <c r="N33" s="43">
        <f t="shared" si="2"/>
        <v>0</v>
      </c>
      <c r="O33" s="43">
        <f t="shared" si="3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4"/>
        <v>0</v>
      </c>
      <c r="J35" s="44">
        <f t="shared" si="0"/>
        <v>0</v>
      </c>
      <c r="K35" s="44">
        <f t="shared" si="1"/>
        <v>0</v>
      </c>
      <c r="L35" s="45"/>
      <c r="M35" s="40"/>
      <c r="N35" s="43">
        <f t="shared" si="2"/>
        <v>0</v>
      </c>
      <c r="O35" s="43">
        <f t="shared" si="3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4"/>
        <v>0</v>
      </c>
      <c r="J37" s="44">
        <f t="shared" si="0"/>
        <v>0</v>
      </c>
      <c r="K37" s="44">
        <f t="shared" si="1"/>
        <v>0</v>
      </c>
      <c r="L37" s="45"/>
      <c r="M37" s="40"/>
      <c r="N37" s="43">
        <f t="shared" si="2"/>
        <v>0</v>
      </c>
      <c r="O37" s="43">
        <f t="shared" si="3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4"/>
        <v>0</v>
      </c>
      <c r="J39" s="44">
        <f t="shared" si="0"/>
        <v>0</v>
      </c>
      <c r="K39" s="44">
        <f t="shared" si="1"/>
        <v>0</v>
      </c>
      <c r="L39" s="45"/>
      <c r="M39" s="40"/>
      <c r="N39" s="43">
        <f t="shared" si="2"/>
        <v>0</v>
      </c>
      <c r="O39" s="43">
        <f t="shared" si="3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4"/>
        <v>0</v>
      </c>
      <c r="J41" s="44">
        <f t="shared" si="0"/>
        <v>0</v>
      </c>
      <c r="K41" s="44">
        <f t="shared" si="1"/>
        <v>0</v>
      </c>
      <c r="L41" s="45"/>
      <c r="M41" s="40"/>
      <c r="N41" s="43">
        <f t="shared" si="2"/>
        <v>0</v>
      </c>
      <c r="O41" s="43">
        <f t="shared" si="3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40"/>
      <c r="B43" s="41"/>
      <c r="C43" s="42"/>
      <c r="D43" s="40"/>
      <c r="E43" s="40"/>
      <c r="F43" s="40"/>
      <c r="G43" s="43">
        <f>F43*6%</f>
        <v>0</v>
      </c>
      <c r="H43" s="43"/>
      <c r="I43" s="44">
        <f t="shared" si="4"/>
        <v>0</v>
      </c>
      <c r="J43" s="44">
        <f t="shared" si="0"/>
        <v>0</v>
      </c>
      <c r="K43" s="44">
        <f t="shared" si="1"/>
        <v>0</v>
      </c>
      <c r="L43" s="45"/>
      <c r="M43" s="40"/>
      <c r="N43" s="43">
        <f t="shared" si="2"/>
        <v>0</v>
      </c>
      <c r="O43" s="43">
        <f t="shared" si="3"/>
        <v>0</v>
      </c>
      <c r="P43" s="46"/>
      <c r="Q43" s="40"/>
      <c r="R43" s="40"/>
      <c r="S43" s="40"/>
      <c r="T43" s="5"/>
    </row>
    <row r="44" spans="1:22" ht="15">
      <c r="A44" s="32"/>
      <c r="B44" s="33"/>
      <c r="C44" s="32"/>
      <c r="D44" s="33"/>
      <c r="E44" s="34"/>
      <c r="F44" s="32"/>
      <c r="G44" s="32"/>
      <c r="H44" s="32"/>
      <c r="I44" s="37"/>
      <c r="J44" s="37"/>
      <c r="K44" s="35"/>
      <c r="L44" s="35"/>
      <c r="M44" s="35"/>
      <c r="N44" s="36"/>
      <c r="O44" s="32"/>
      <c r="P44" s="37"/>
      <c r="Q44" s="37"/>
      <c r="R44" s="38"/>
      <c r="S44" s="32"/>
      <c r="T44" s="39"/>
      <c r="U44" s="6"/>
      <c r="V44" s="6"/>
    </row>
    <row r="45" spans="1:22" ht="15">
      <c r="A45" s="50"/>
      <c r="B45" s="51"/>
      <c r="C45" s="52"/>
      <c r="D45" s="50"/>
      <c r="E45" s="50"/>
      <c r="F45" s="50"/>
      <c r="G45" s="43">
        <f>F45*6%</f>
        <v>0</v>
      </c>
      <c r="H45" s="53"/>
      <c r="I45" s="44">
        <f t="shared" si="4"/>
        <v>0</v>
      </c>
      <c r="J45" s="54">
        <f t="shared" si="0"/>
        <v>0</v>
      </c>
      <c r="K45" s="54">
        <f t="shared" si="1"/>
        <v>0</v>
      </c>
      <c r="L45" s="55"/>
      <c r="M45" s="50"/>
      <c r="N45" s="53">
        <f t="shared" si="2"/>
        <v>0</v>
      </c>
      <c r="O45" s="53">
        <f t="shared" si="3"/>
        <v>0</v>
      </c>
      <c r="P45" s="56"/>
      <c r="Q45" s="50"/>
      <c r="R45" s="50"/>
      <c r="S45" s="50"/>
      <c r="T45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1344" priority="27" operator="containsText" text="SIN FACTURA ">
      <formula>NOT(ISERROR(SEARCH("SIN FACTURA ",A2)))</formula>
    </cfRule>
  </conditionalFormatting>
  <conditionalFormatting sqref="A44:B44">
    <cfRule type="containsText" dxfId="1343" priority="1" operator="containsText" text="SIN FACTURA">
      <formula>NOT(ISERROR(SEARCH("SIN FACTURA",A44)))</formula>
    </cfRule>
  </conditionalFormatting>
  <conditionalFormatting sqref="A4:T5 J45:T45 J43:T43 J41:T41 J39:T39 J37:T37 J35:T35 J33:T33 J31:T31 J29:T29 J27:T27 J25:T25 J15:T23 J6:T13 I6:I45 A6:H13 A15:H23 A25:H25 A27:H27 A29:H29 A31:H31 A33:H33 A35:H35 A37:H37 A39:H39 A41:H41 A43:H43 A45:H45">
    <cfRule type="containsText" dxfId="1342" priority="25" operator="containsText" text="SIN FACTURA">
      <formula>NOT(ISERROR(SEARCH("SIN FACTURA",A4)))</formula>
    </cfRule>
  </conditionalFormatting>
  <conditionalFormatting sqref="C14:H14 J14:V14">
    <cfRule type="containsText" dxfId="1341" priority="24" operator="containsText" text="SIN FACTURA">
      <formula>NOT(ISERROR(SEARCH("SIN FACTURA",C14)))</formula>
    </cfRule>
  </conditionalFormatting>
  <conditionalFormatting sqref="C24:H24 J24:V24">
    <cfRule type="containsText" dxfId="1340" priority="23" operator="containsText" text="SIN FACTURA">
      <formula>NOT(ISERROR(SEARCH("SIN FACTURA",C24)))</formula>
    </cfRule>
  </conditionalFormatting>
  <conditionalFormatting sqref="C26:H26 J26:V26">
    <cfRule type="containsText" dxfId="1339" priority="22" operator="containsText" text="SIN FACTURA">
      <formula>NOT(ISERROR(SEARCH("SIN FACTURA",C26)))</formula>
    </cfRule>
  </conditionalFormatting>
  <conditionalFormatting sqref="C28:H28 J28:V28">
    <cfRule type="containsText" dxfId="1338" priority="21" operator="containsText" text="SIN FACTURA">
      <formula>NOT(ISERROR(SEARCH("SIN FACTURA",C28)))</formula>
    </cfRule>
  </conditionalFormatting>
  <conditionalFormatting sqref="C30:H30 J30:V30">
    <cfRule type="containsText" dxfId="1337" priority="20" operator="containsText" text="SIN FACTURA">
      <formula>NOT(ISERROR(SEARCH("SIN FACTURA",C30)))</formula>
    </cfRule>
  </conditionalFormatting>
  <conditionalFormatting sqref="C32:H32 J32:V32">
    <cfRule type="containsText" dxfId="1336" priority="19" operator="containsText" text="SIN FACTURA">
      <formula>NOT(ISERROR(SEARCH("SIN FACTURA",C32)))</formula>
    </cfRule>
  </conditionalFormatting>
  <conditionalFormatting sqref="C34:H34 J34:V34">
    <cfRule type="containsText" dxfId="1335" priority="18" operator="containsText" text="SIN FACTURA">
      <formula>NOT(ISERROR(SEARCH("SIN FACTURA",C34)))</formula>
    </cfRule>
  </conditionalFormatting>
  <conditionalFormatting sqref="C36:H36 J36:V36">
    <cfRule type="containsText" dxfId="1334" priority="17" operator="containsText" text="SIN FACTURA">
      <formula>NOT(ISERROR(SEARCH("SIN FACTURA",C36)))</formula>
    </cfRule>
  </conditionalFormatting>
  <conditionalFormatting sqref="C38:H38 J38:V38">
    <cfRule type="containsText" dxfId="1333" priority="16" operator="containsText" text="SIN FACTURA">
      <formula>NOT(ISERROR(SEARCH("SIN FACTURA",C38)))</formula>
    </cfRule>
  </conditionalFormatting>
  <conditionalFormatting sqref="C40:H40 J40:V40">
    <cfRule type="containsText" dxfId="1332" priority="15" operator="containsText" text="SIN FACTURA">
      <formula>NOT(ISERROR(SEARCH("SIN FACTURA",C40)))</formula>
    </cfRule>
  </conditionalFormatting>
  <conditionalFormatting sqref="C42:H42 J42:V42">
    <cfRule type="containsText" dxfId="1331" priority="14" operator="containsText" text="SIN FACTURA">
      <formula>NOT(ISERROR(SEARCH("SIN FACTURA",C42)))</formula>
    </cfRule>
  </conditionalFormatting>
  <conditionalFormatting sqref="C44:H44 J44:V44">
    <cfRule type="containsText" dxfId="1330" priority="13" operator="containsText" text="SIN FACTURA">
      <formula>NOT(ISERROR(SEARCH("SIN FACTURA",C44)))</formula>
    </cfRule>
  </conditionalFormatting>
  <conditionalFormatting sqref="A14:B14">
    <cfRule type="containsText" dxfId="1329" priority="12" operator="containsText" text="SIN FACTURA">
      <formula>NOT(ISERROR(SEARCH("SIN FACTURA",A14)))</formula>
    </cfRule>
  </conditionalFormatting>
  <conditionalFormatting sqref="A24:B24">
    <cfRule type="containsText" dxfId="1328" priority="11" operator="containsText" text="SIN FACTURA">
      <formula>NOT(ISERROR(SEARCH("SIN FACTURA",A24)))</formula>
    </cfRule>
  </conditionalFormatting>
  <conditionalFormatting sqref="A26:B26">
    <cfRule type="containsText" dxfId="1327" priority="10" operator="containsText" text="SIN FACTURA">
      <formula>NOT(ISERROR(SEARCH("SIN FACTURA",A26)))</formula>
    </cfRule>
  </conditionalFormatting>
  <conditionalFormatting sqref="A28:B28">
    <cfRule type="containsText" dxfId="1326" priority="9" operator="containsText" text="SIN FACTURA">
      <formula>NOT(ISERROR(SEARCH("SIN FACTURA",A28)))</formula>
    </cfRule>
  </conditionalFormatting>
  <conditionalFormatting sqref="A30:B30">
    <cfRule type="containsText" dxfId="1325" priority="8" operator="containsText" text="SIN FACTURA">
      <formula>NOT(ISERROR(SEARCH("SIN FACTURA",A30)))</formula>
    </cfRule>
  </conditionalFormatting>
  <conditionalFormatting sqref="A32:B32">
    <cfRule type="containsText" dxfId="1324" priority="7" operator="containsText" text="SIN FACTURA">
      <formula>NOT(ISERROR(SEARCH("SIN FACTURA",A32)))</formula>
    </cfRule>
  </conditionalFormatting>
  <conditionalFormatting sqref="A34:B34">
    <cfRule type="containsText" dxfId="1323" priority="6" operator="containsText" text="SIN FACTURA">
      <formula>NOT(ISERROR(SEARCH("SIN FACTURA",A34)))</formula>
    </cfRule>
  </conditionalFormatting>
  <conditionalFormatting sqref="A36:B36">
    <cfRule type="containsText" dxfId="1322" priority="5" operator="containsText" text="SIN FACTURA">
      <formula>NOT(ISERROR(SEARCH("SIN FACTURA",A36)))</formula>
    </cfRule>
  </conditionalFormatting>
  <conditionalFormatting sqref="A38:B38">
    <cfRule type="containsText" dxfId="1321" priority="4" operator="containsText" text="SIN FACTURA">
      <formula>NOT(ISERROR(SEARCH("SIN FACTURA",A38)))</formula>
    </cfRule>
  </conditionalFormatting>
  <conditionalFormatting sqref="A40:B40">
    <cfRule type="containsText" dxfId="1320" priority="3" operator="containsText" text="SIN FACTURA">
      <formula>NOT(ISERROR(SEARCH("SIN FACTURA",A40)))</formula>
    </cfRule>
  </conditionalFormatting>
  <conditionalFormatting sqref="A42:B42">
    <cfRule type="containsText" dxfId="1319" priority="2" operator="containsText" text="SIN FACTURA">
      <formula>NOT(ISERROR(SEARCH("SIN FACTURA",A42)))</formula>
    </cfRule>
  </conditionalFormatting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>
  <sheetPr codeName="Hoja77"/>
  <dimension ref="A1:Y27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24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7" width="9.375" style="1" customWidth="1"/>
    <col min="8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>
        <v>76</v>
      </c>
      <c r="B1" s="18" t="s">
        <v>47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77"/>
      <c r="H2" s="299" t="s">
        <v>12</v>
      </c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2"/>
      <c r="D4" s="32"/>
      <c r="E4" s="32"/>
      <c r="F4" s="32"/>
      <c r="G4" s="32"/>
      <c r="H4" s="35"/>
      <c r="I4" s="35"/>
      <c r="J4" s="35"/>
      <c r="K4" s="36"/>
      <c r="L4" s="32"/>
      <c r="M4" s="37"/>
      <c r="N4" s="37"/>
      <c r="O4" s="38"/>
      <c r="P4" s="32"/>
      <c r="Q4" s="32"/>
      <c r="R4" s="32"/>
      <c r="S4" s="32"/>
      <c r="T4" s="68"/>
    </row>
    <row r="5" spans="1:25" ht="15">
      <c r="A5" s="40"/>
      <c r="B5" s="41"/>
      <c r="C5" s="40"/>
      <c r="D5" s="40"/>
      <c r="E5" s="40"/>
      <c r="F5" s="43"/>
      <c r="G5" s="43">
        <f>F5*6%</f>
        <v>0</v>
      </c>
      <c r="H5" s="44"/>
      <c r="I5" s="44">
        <f>F5-G5-H5</f>
        <v>0</v>
      </c>
      <c r="J5" s="44">
        <f>S5+T5</f>
        <v>0</v>
      </c>
      <c r="K5" s="43">
        <f>I5-J5</f>
        <v>0</v>
      </c>
      <c r="L5" s="40"/>
      <c r="M5" s="43">
        <v>0</v>
      </c>
      <c r="N5" s="43">
        <f t="shared" ref="N5:N27" si="0">I5-J5-M5-R5</f>
        <v>0</v>
      </c>
      <c r="O5" s="46"/>
      <c r="P5" s="40"/>
      <c r="Q5" s="40"/>
      <c r="R5" s="40"/>
      <c r="S5" s="40"/>
      <c r="T5" s="5"/>
    </row>
    <row r="6" spans="1:25" ht="15">
      <c r="A6" s="32"/>
      <c r="B6" s="33"/>
      <c r="C6" s="33"/>
      <c r="D6" s="34"/>
      <c r="E6" s="32"/>
      <c r="F6" s="32"/>
      <c r="G6" s="32"/>
      <c r="H6" s="37"/>
      <c r="I6" s="37"/>
      <c r="J6" s="35"/>
      <c r="K6" s="35"/>
      <c r="L6" s="35"/>
      <c r="M6" s="36"/>
      <c r="N6" s="32"/>
      <c r="O6" s="37"/>
      <c r="P6" s="37"/>
      <c r="Q6" s="38"/>
      <c r="R6" s="32"/>
      <c r="S6" s="32"/>
      <c r="T6" s="68"/>
    </row>
    <row r="7" spans="1:25" ht="15">
      <c r="A7" s="40"/>
      <c r="B7" s="41"/>
      <c r="C7" s="40"/>
      <c r="D7" s="40"/>
      <c r="E7" s="40"/>
      <c r="F7" s="43"/>
      <c r="G7" s="43">
        <f>F7*6%</f>
        <v>0</v>
      </c>
      <c r="H7" s="44"/>
      <c r="I7" s="44">
        <f>F7-G7-H7</f>
        <v>0</v>
      </c>
      <c r="J7" s="44">
        <f>S7+T7</f>
        <v>0</v>
      </c>
      <c r="K7" s="43">
        <f>I7-J7</f>
        <v>0</v>
      </c>
      <c r="L7" s="40"/>
      <c r="M7" s="43">
        <v>0</v>
      </c>
      <c r="N7" s="43">
        <f t="shared" si="0"/>
        <v>0</v>
      </c>
      <c r="O7" s="46"/>
      <c r="P7" s="40"/>
      <c r="Q7" s="40"/>
      <c r="R7" s="40"/>
      <c r="S7" s="40"/>
      <c r="T7" s="5"/>
    </row>
    <row r="8" spans="1:25" ht="15">
      <c r="A8" s="32"/>
      <c r="B8" s="33"/>
      <c r="C8" s="33"/>
      <c r="D8" s="34"/>
      <c r="E8" s="32"/>
      <c r="F8" s="32"/>
      <c r="G8" s="37"/>
      <c r="H8" s="37"/>
      <c r="I8" s="37"/>
      <c r="J8" s="35"/>
      <c r="K8" s="35"/>
      <c r="L8" s="35"/>
      <c r="M8" s="36"/>
      <c r="N8" s="32"/>
      <c r="O8" s="37"/>
      <c r="P8" s="37"/>
      <c r="Q8" s="38"/>
      <c r="R8" s="32"/>
      <c r="S8" s="32"/>
      <c r="T8" s="39"/>
      <c r="U8" s="6"/>
    </row>
    <row r="9" spans="1:25" ht="15">
      <c r="A9" s="40"/>
      <c r="B9" s="41"/>
      <c r="C9" s="40"/>
      <c r="D9" s="40"/>
      <c r="E9" s="40"/>
      <c r="F9" s="43"/>
      <c r="G9" s="43">
        <f>F9*6%</f>
        <v>0</v>
      </c>
      <c r="H9" s="44"/>
      <c r="I9" s="44">
        <f>F9-G9-H9</f>
        <v>0</v>
      </c>
      <c r="J9" s="44">
        <f>S9+T9</f>
        <v>0</v>
      </c>
      <c r="K9" s="43">
        <f>I9-J9</f>
        <v>0</v>
      </c>
      <c r="L9" s="40"/>
      <c r="M9" s="43">
        <v>0</v>
      </c>
      <c r="N9" s="43">
        <f t="shared" si="0"/>
        <v>0</v>
      </c>
      <c r="O9" s="46"/>
      <c r="P9" s="40"/>
      <c r="Q9" s="40"/>
      <c r="R9" s="40"/>
      <c r="S9" s="40"/>
      <c r="T9" s="5"/>
    </row>
    <row r="10" spans="1:25" ht="15">
      <c r="A10" s="32"/>
      <c r="B10" s="33"/>
      <c r="C10" s="33"/>
      <c r="D10" s="34"/>
      <c r="E10" s="32"/>
      <c r="F10" s="32"/>
      <c r="G10" s="32"/>
      <c r="H10" s="37"/>
      <c r="I10" s="37"/>
      <c r="J10" s="35"/>
      <c r="K10" s="35"/>
      <c r="L10" s="35"/>
      <c r="M10" s="36"/>
      <c r="N10" s="32"/>
      <c r="O10" s="37"/>
      <c r="P10" s="37"/>
      <c r="Q10" s="38"/>
      <c r="R10" s="32"/>
      <c r="S10" s="32"/>
      <c r="T10" s="39"/>
      <c r="U10" s="6"/>
    </row>
    <row r="11" spans="1:25" ht="15">
      <c r="A11" s="40"/>
      <c r="B11" s="41"/>
      <c r="C11" s="40"/>
      <c r="D11" s="40"/>
      <c r="E11" s="40"/>
      <c r="F11" s="43"/>
      <c r="G11" s="43">
        <f>F11*6%</f>
        <v>0</v>
      </c>
      <c r="H11" s="44"/>
      <c r="I11" s="44">
        <f>F11-G11-H11</f>
        <v>0</v>
      </c>
      <c r="J11" s="44">
        <f>S11+T11</f>
        <v>0</v>
      </c>
      <c r="K11" s="43">
        <f>I11-J11</f>
        <v>0</v>
      </c>
      <c r="L11" s="40"/>
      <c r="M11" s="43">
        <v>0</v>
      </c>
      <c r="N11" s="43">
        <f t="shared" si="0"/>
        <v>0</v>
      </c>
      <c r="O11" s="46"/>
      <c r="P11" s="40"/>
      <c r="Q11" s="40"/>
      <c r="R11" s="40"/>
      <c r="S11" s="40"/>
      <c r="T11" s="5"/>
    </row>
    <row r="12" spans="1:25" ht="15">
      <c r="A12" s="32"/>
      <c r="B12" s="33"/>
      <c r="C12" s="33"/>
      <c r="D12" s="34"/>
      <c r="E12" s="32"/>
      <c r="F12" s="32"/>
      <c r="G12" s="32"/>
      <c r="H12" s="37"/>
      <c r="I12" s="37"/>
      <c r="J12" s="35"/>
      <c r="K12" s="35"/>
      <c r="L12" s="35"/>
      <c r="M12" s="36"/>
      <c r="N12" s="32"/>
      <c r="O12" s="37"/>
      <c r="P12" s="37"/>
      <c r="Q12" s="38"/>
      <c r="R12" s="32"/>
      <c r="S12" s="32"/>
      <c r="T12" s="39"/>
      <c r="U12" s="6"/>
    </row>
    <row r="13" spans="1:25" ht="15">
      <c r="A13" s="40"/>
      <c r="B13" s="41"/>
      <c r="C13" s="40"/>
      <c r="D13" s="40"/>
      <c r="E13" s="40"/>
      <c r="F13" s="43"/>
      <c r="G13" s="43">
        <f>F13*6%</f>
        <v>0</v>
      </c>
      <c r="H13" s="44"/>
      <c r="I13" s="44">
        <f>F13-G13-H13</f>
        <v>0</v>
      </c>
      <c r="J13" s="44">
        <f>S13+T13</f>
        <v>0</v>
      </c>
      <c r="K13" s="43">
        <f>I13-J13</f>
        <v>0</v>
      </c>
      <c r="L13" s="40"/>
      <c r="M13" s="43">
        <v>0</v>
      </c>
      <c r="N13" s="43">
        <f t="shared" si="0"/>
        <v>0</v>
      </c>
      <c r="O13" s="46"/>
      <c r="P13" s="40"/>
      <c r="Q13" s="40"/>
      <c r="R13" s="40"/>
      <c r="S13" s="40"/>
      <c r="T13" s="5"/>
    </row>
    <row r="14" spans="1:25" ht="15">
      <c r="A14" s="32"/>
      <c r="B14" s="33"/>
      <c r="C14" s="33"/>
      <c r="D14" s="34"/>
      <c r="E14" s="32"/>
      <c r="F14" s="32"/>
      <c r="G14" s="32"/>
      <c r="H14" s="37"/>
      <c r="I14" s="37"/>
      <c r="J14" s="35"/>
      <c r="K14" s="35"/>
      <c r="L14" s="35"/>
      <c r="M14" s="36"/>
      <c r="N14" s="32"/>
      <c r="O14" s="37"/>
      <c r="P14" s="37"/>
      <c r="Q14" s="38"/>
      <c r="R14" s="32"/>
      <c r="S14" s="32"/>
      <c r="T14" s="39"/>
      <c r="U14" s="6"/>
    </row>
    <row r="15" spans="1:25" ht="15">
      <c r="A15" s="40"/>
      <c r="B15" s="41"/>
      <c r="C15" s="40"/>
      <c r="D15" s="40"/>
      <c r="E15" s="40"/>
      <c r="F15" s="43"/>
      <c r="G15" s="43">
        <f>F15*6%</f>
        <v>0</v>
      </c>
      <c r="H15" s="44"/>
      <c r="I15" s="44">
        <f>F15-G15-H15</f>
        <v>0</v>
      </c>
      <c r="J15" s="44">
        <f>S15+T15</f>
        <v>0</v>
      </c>
      <c r="K15" s="43">
        <f>I15-J15</f>
        <v>0</v>
      </c>
      <c r="L15" s="40"/>
      <c r="M15" s="43">
        <v>0</v>
      </c>
      <c r="N15" s="43">
        <f t="shared" si="0"/>
        <v>0</v>
      </c>
      <c r="O15" s="46"/>
      <c r="P15" s="40"/>
      <c r="Q15" s="40"/>
      <c r="R15" s="40"/>
      <c r="S15" s="40"/>
      <c r="T15" s="5"/>
    </row>
    <row r="16" spans="1:25" ht="15">
      <c r="A16" s="32"/>
      <c r="B16" s="33"/>
      <c r="C16" s="33"/>
      <c r="D16" s="34"/>
      <c r="E16" s="32"/>
      <c r="F16" s="32"/>
      <c r="G16" s="32"/>
      <c r="H16" s="37"/>
      <c r="I16" s="37"/>
      <c r="J16" s="35"/>
      <c r="K16" s="35"/>
      <c r="L16" s="35"/>
      <c r="M16" s="36"/>
      <c r="N16" s="32"/>
      <c r="O16" s="37"/>
      <c r="P16" s="37"/>
      <c r="Q16" s="38"/>
      <c r="R16" s="32"/>
      <c r="S16" s="32"/>
      <c r="T16" s="39"/>
      <c r="U16" s="6"/>
    </row>
    <row r="17" spans="1:21" ht="15">
      <c r="A17" s="40"/>
      <c r="B17" s="41"/>
      <c r="C17" s="40"/>
      <c r="D17" s="40"/>
      <c r="E17" s="40"/>
      <c r="F17" s="43"/>
      <c r="G17" s="43">
        <f>F17*6%</f>
        <v>0</v>
      </c>
      <c r="H17" s="44"/>
      <c r="I17" s="44">
        <f>F17-G17-H17</f>
        <v>0</v>
      </c>
      <c r="J17" s="44">
        <f>S17+T17</f>
        <v>0</v>
      </c>
      <c r="K17" s="43">
        <f>I17-J17</f>
        <v>0</v>
      </c>
      <c r="L17" s="40"/>
      <c r="M17" s="43">
        <v>0</v>
      </c>
      <c r="N17" s="43">
        <f t="shared" si="0"/>
        <v>0</v>
      </c>
      <c r="O17" s="46"/>
      <c r="P17" s="40"/>
      <c r="Q17" s="40"/>
      <c r="R17" s="40"/>
      <c r="S17" s="40"/>
      <c r="T17" s="5"/>
    </row>
    <row r="18" spans="1:21" ht="15">
      <c r="A18" s="32"/>
      <c r="B18" s="33"/>
      <c r="C18" s="33"/>
      <c r="D18" s="34"/>
      <c r="E18" s="32"/>
      <c r="F18" s="32"/>
      <c r="G18" s="32"/>
      <c r="H18" s="37"/>
      <c r="I18" s="37"/>
      <c r="J18" s="35"/>
      <c r="K18" s="35"/>
      <c r="L18" s="35"/>
      <c r="M18" s="36"/>
      <c r="N18" s="32"/>
      <c r="O18" s="37"/>
      <c r="P18" s="37"/>
      <c r="Q18" s="38"/>
      <c r="R18" s="32"/>
      <c r="S18" s="32"/>
      <c r="T18" s="39"/>
      <c r="U18" s="6"/>
    </row>
    <row r="19" spans="1:21" ht="15">
      <c r="A19" s="40"/>
      <c r="B19" s="41"/>
      <c r="C19" s="40"/>
      <c r="D19" s="40"/>
      <c r="E19" s="40"/>
      <c r="F19" s="43"/>
      <c r="G19" s="43">
        <f>F19*6%</f>
        <v>0</v>
      </c>
      <c r="H19" s="44"/>
      <c r="I19" s="44">
        <f>F19-G19-H19</f>
        <v>0</v>
      </c>
      <c r="J19" s="44">
        <f>S19+T19</f>
        <v>0</v>
      </c>
      <c r="K19" s="43">
        <f>I19-J19</f>
        <v>0</v>
      </c>
      <c r="L19" s="40"/>
      <c r="M19" s="43">
        <v>0</v>
      </c>
      <c r="N19" s="43">
        <f t="shared" si="0"/>
        <v>0</v>
      </c>
      <c r="O19" s="46"/>
      <c r="P19" s="40"/>
      <c r="Q19" s="40"/>
      <c r="R19" s="40"/>
      <c r="S19" s="40"/>
      <c r="T19" s="5"/>
    </row>
    <row r="20" spans="1:21" ht="15">
      <c r="A20" s="32"/>
      <c r="B20" s="33"/>
      <c r="C20" s="33"/>
      <c r="D20" s="34"/>
      <c r="E20" s="32"/>
      <c r="F20" s="32"/>
      <c r="G20" s="32"/>
      <c r="H20" s="37"/>
      <c r="I20" s="37"/>
      <c r="J20" s="35"/>
      <c r="K20" s="35"/>
      <c r="L20" s="35"/>
      <c r="M20" s="36"/>
      <c r="N20" s="32"/>
      <c r="O20" s="37"/>
      <c r="P20" s="37"/>
      <c r="Q20" s="38"/>
      <c r="R20" s="32"/>
      <c r="S20" s="32"/>
      <c r="T20" s="39"/>
      <c r="U20" s="6"/>
    </row>
    <row r="21" spans="1:21" ht="15">
      <c r="A21" s="40"/>
      <c r="B21" s="41"/>
      <c r="C21" s="40"/>
      <c r="D21" s="40"/>
      <c r="E21" s="40"/>
      <c r="F21" s="43"/>
      <c r="G21" s="43">
        <f>F21*6%</f>
        <v>0</v>
      </c>
      <c r="H21" s="44"/>
      <c r="I21" s="44">
        <f>F21-G21-H21</f>
        <v>0</v>
      </c>
      <c r="J21" s="44">
        <f>S21+T21</f>
        <v>0</v>
      </c>
      <c r="K21" s="43">
        <f>I21-J21</f>
        <v>0</v>
      </c>
      <c r="L21" s="40"/>
      <c r="M21" s="43">
        <v>0</v>
      </c>
      <c r="N21" s="43">
        <f t="shared" si="0"/>
        <v>0</v>
      </c>
      <c r="O21" s="46"/>
      <c r="P21" s="40"/>
      <c r="Q21" s="40"/>
      <c r="R21" s="40"/>
      <c r="S21" s="40"/>
      <c r="T21" s="5"/>
    </row>
    <row r="22" spans="1:21" ht="15">
      <c r="A22" s="32"/>
      <c r="B22" s="33"/>
      <c r="C22" s="33"/>
      <c r="D22" s="34"/>
      <c r="E22" s="32"/>
      <c r="F22" s="32"/>
      <c r="G22" s="32"/>
      <c r="H22" s="37"/>
      <c r="I22" s="37"/>
      <c r="J22" s="35"/>
      <c r="K22" s="35"/>
      <c r="L22" s="35"/>
      <c r="M22" s="36"/>
      <c r="N22" s="32"/>
      <c r="O22" s="37"/>
      <c r="P22" s="37"/>
      <c r="Q22" s="38"/>
      <c r="R22" s="32"/>
      <c r="S22" s="32"/>
      <c r="T22" s="39"/>
      <c r="U22" s="6"/>
    </row>
    <row r="23" spans="1:21" ht="15">
      <c r="A23" s="40"/>
      <c r="B23" s="41"/>
      <c r="C23" s="40"/>
      <c r="D23" s="40"/>
      <c r="E23" s="40"/>
      <c r="F23" s="43"/>
      <c r="G23" s="43">
        <f>F23*6%</f>
        <v>0</v>
      </c>
      <c r="H23" s="44"/>
      <c r="I23" s="44">
        <f>F23-G23-H23</f>
        <v>0</v>
      </c>
      <c r="J23" s="44">
        <f>S23+T23</f>
        <v>0</v>
      </c>
      <c r="K23" s="43">
        <f>I23-J23</f>
        <v>0</v>
      </c>
      <c r="L23" s="40"/>
      <c r="M23" s="43">
        <v>0</v>
      </c>
      <c r="N23" s="43">
        <f t="shared" si="0"/>
        <v>0</v>
      </c>
      <c r="O23" s="46"/>
      <c r="P23" s="40"/>
      <c r="Q23" s="40"/>
      <c r="R23" s="40"/>
      <c r="S23" s="40"/>
      <c r="T23" s="5"/>
    </row>
    <row r="24" spans="1:21" ht="15">
      <c r="A24" s="32"/>
      <c r="B24" s="33"/>
      <c r="C24" s="33"/>
      <c r="D24" s="34"/>
      <c r="E24" s="32"/>
      <c r="F24" s="32"/>
      <c r="G24" s="32"/>
      <c r="H24" s="37"/>
      <c r="I24" s="37"/>
      <c r="J24" s="35"/>
      <c r="K24" s="35"/>
      <c r="L24" s="35"/>
      <c r="M24" s="36"/>
      <c r="N24" s="32"/>
      <c r="O24" s="37"/>
      <c r="P24" s="37"/>
      <c r="Q24" s="38"/>
      <c r="R24" s="32"/>
      <c r="S24" s="32"/>
      <c r="T24" s="39"/>
      <c r="U24" s="6"/>
    </row>
    <row r="25" spans="1:21" ht="15">
      <c r="A25" s="40"/>
      <c r="B25" s="41"/>
      <c r="C25" s="40"/>
      <c r="D25" s="40"/>
      <c r="E25" s="40"/>
      <c r="F25" s="43"/>
      <c r="G25" s="43">
        <f>F25*6%</f>
        <v>0</v>
      </c>
      <c r="H25" s="44"/>
      <c r="I25" s="44">
        <f>F25-G25-H25</f>
        <v>0</v>
      </c>
      <c r="J25" s="44">
        <f>S25+T25</f>
        <v>0</v>
      </c>
      <c r="K25" s="43">
        <f>I25-J25</f>
        <v>0</v>
      </c>
      <c r="L25" s="40"/>
      <c r="M25" s="43">
        <v>0</v>
      </c>
      <c r="N25" s="43">
        <f t="shared" si="0"/>
        <v>0</v>
      </c>
      <c r="O25" s="46"/>
      <c r="P25" s="40"/>
      <c r="Q25" s="40"/>
      <c r="R25" s="40"/>
      <c r="S25" s="40"/>
      <c r="T25" s="5"/>
    </row>
    <row r="26" spans="1:21" ht="15">
      <c r="A26" s="32"/>
      <c r="B26" s="33"/>
      <c r="C26" s="33"/>
      <c r="D26" s="34"/>
      <c r="E26" s="32"/>
      <c r="F26" s="32"/>
      <c r="G26" s="32"/>
      <c r="H26" s="37"/>
      <c r="I26" s="37"/>
      <c r="J26" s="35"/>
      <c r="K26" s="35"/>
      <c r="L26" s="35"/>
      <c r="M26" s="36"/>
      <c r="N26" s="32"/>
      <c r="O26" s="37"/>
      <c r="P26" s="37"/>
      <c r="Q26" s="38"/>
      <c r="R26" s="32"/>
      <c r="S26" s="32"/>
      <c r="T26" s="39"/>
      <c r="U26" s="6"/>
    </row>
    <row r="27" spans="1:21" ht="15">
      <c r="A27" s="50"/>
      <c r="B27" s="51"/>
      <c r="C27" s="50"/>
      <c r="D27" s="50"/>
      <c r="E27" s="50"/>
      <c r="F27" s="53"/>
      <c r="G27" s="43">
        <f>F27*6%</f>
        <v>0</v>
      </c>
      <c r="H27" s="44"/>
      <c r="I27" s="44">
        <f>F27-G27-H27</f>
        <v>0</v>
      </c>
      <c r="J27" s="44">
        <f>S27+T27</f>
        <v>0</v>
      </c>
      <c r="K27" s="43">
        <f>I27-J27</f>
        <v>0</v>
      </c>
      <c r="L27" s="50"/>
      <c r="M27" s="53">
        <v>0</v>
      </c>
      <c r="N27" s="43">
        <f t="shared" si="0"/>
        <v>0</v>
      </c>
      <c r="O27" s="56"/>
      <c r="P27" s="50"/>
      <c r="Q27" s="50"/>
      <c r="R27" s="50"/>
      <c r="S27" s="50"/>
      <c r="T27" s="57"/>
    </row>
  </sheetData>
  <mergeCells count="5">
    <mergeCell ref="C2:F2"/>
    <mergeCell ref="H2:L2"/>
    <mergeCell ref="M2:O2"/>
    <mergeCell ref="A2:B2"/>
    <mergeCell ref="P2:T2"/>
  </mergeCells>
  <conditionalFormatting sqref="C2 H2 M2 A2 A3:T3">
    <cfRule type="containsText" dxfId="261" priority="115" operator="containsText" text="SIN FACTURA ">
      <formula>NOT(ISERROR(SEARCH("SIN FACTURA ",A2)))</formula>
    </cfRule>
  </conditionalFormatting>
  <conditionalFormatting sqref="A7:B7 A9:B9 A11:B11 A13:B13 A15:B15 A17:B19 A21:B21 A23:B23 A25:B25 A27:B27 C4:S4 A4:B5 C5:H27">
    <cfRule type="containsText" dxfId="260" priority="89" operator="containsText" text="SIN FACTURA">
      <formula>NOT(ISERROR(SEARCH("SIN FACTURA",A4)))</formula>
    </cfRule>
  </conditionalFormatting>
  <conditionalFormatting sqref="A26:B26">
    <cfRule type="containsText" dxfId="259" priority="85" operator="containsText" text="SIN FACTURA">
      <formula>NOT(ISERROR(SEARCH("SIN FACTURA",A26)))</formula>
    </cfRule>
  </conditionalFormatting>
  <conditionalFormatting sqref="L27:M27 L25:M25 L23:M23 L21:M21 L19:M19 L17:M17 L15:M15 L13:M13 L11:M11 L9:M9 L7:M7 L5:M5 O5:S5 O7:S7 O9:S9 O11:S11 O13:S13 O15:S15 O17:S17 O19:S19 O21:S21 O23:S23 O25:S25 O27:S27">
    <cfRule type="containsText" dxfId="258" priority="109" operator="containsText" text="SIN FACTURA">
      <formula>NOT(ISERROR(SEARCH("SIN FACTURA",L5)))</formula>
    </cfRule>
  </conditionalFormatting>
  <conditionalFormatting sqref="I6:U6">
    <cfRule type="containsText" dxfId="257" priority="107" operator="containsText" text="SIN FACTURA">
      <formula>NOT(ISERROR(SEARCH("SIN FACTURA",I6)))</formula>
    </cfRule>
  </conditionalFormatting>
  <conditionalFormatting sqref="I8:U8">
    <cfRule type="containsText" dxfId="256" priority="106" operator="containsText" text="SIN FACTURA">
      <formula>NOT(ISERROR(SEARCH("SIN FACTURA",I8)))</formula>
    </cfRule>
  </conditionalFormatting>
  <conditionalFormatting sqref="I10:U10">
    <cfRule type="containsText" dxfId="255" priority="105" operator="containsText" text="SIN FACTURA">
      <formula>NOT(ISERROR(SEARCH("SIN FACTURA",I10)))</formula>
    </cfRule>
  </conditionalFormatting>
  <conditionalFormatting sqref="I12:U12">
    <cfRule type="containsText" dxfId="254" priority="104" operator="containsText" text="SIN FACTURA">
      <formula>NOT(ISERROR(SEARCH("SIN FACTURA",I12)))</formula>
    </cfRule>
  </conditionalFormatting>
  <conditionalFormatting sqref="I14:U14">
    <cfRule type="containsText" dxfId="253" priority="103" operator="containsText" text="SIN FACTURA">
      <formula>NOT(ISERROR(SEARCH("SIN FACTURA",I14)))</formula>
    </cfRule>
  </conditionalFormatting>
  <conditionalFormatting sqref="I16:U16">
    <cfRule type="containsText" dxfId="252" priority="102" operator="containsText" text="SIN FACTURA">
      <formula>NOT(ISERROR(SEARCH("SIN FACTURA",I16)))</formula>
    </cfRule>
  </conditionalFormatting>
  <conditionalFormatting sqref="I18:U18">
    <cfRule type="containsText" dxfId="251" priority="101" operator="containsText" text="SIN FACTURA">
      <formula>NOT(ISERROR(SEARCH("SIN FACTURA",I18)))</formula>
    </cfRule>
  </conditionalFormatting>
  <conditionalFormatting sqref="I20:U20">
    <cfRule type="containsText" dxfId="250" priority="100" operator="containsText" text="SIN FACTURA">
      <formula>NOT(ISERROR(SEARCH("SIN FACTURA",I20)))</formula>
    </cfRule>
  </conditionalFormatting>
  <conditionalFormatting sqref="I22:U22">
    <cfRule type="containsText" dxfId="249" priority="99" operator="containsText" text="SIN FACTURA">
      <formula>NOT(ISERROR(SEARCH("SIN FACTURA",I22)))</formula>
    </cfRule>
  </conditionalFormatting>
  <conditionalFormatting sqref="I24:U24">
    <cfRule type="containsText" dxfId="248" priority="98" operator="containsText" text="SIN FACTURA">
      <formula>NOT(ISERROR(SEARCH("SIN FACTURA",I24)))</formula>
    </cfRule>
  </conditionalFormatting>
  <conditionalFormatting sqref="I26:U26">
    <cfRule type="containsText" dxfId="247" priority="97" operator="containsText" text="SIN FACTURA">
      <formula>NOT(ISERROR(SEARCH("SIN FACTURA",I26)))</formula>
    </cfRule>
  </conditionalFormatting>
  <conditionalFormatting sqref="A6:B6">
    <cfRule type="containsText" dxfId="246" priority="95" operator="containsText" text="SIN FACTURA">
      <formula>NOT(ISERROR(SEARCH("SIN FACTURA",A6)))</formula>
    </cfRule>
  </conditionalFormatting>
  <conditionalFormatting sqref="A8:B8">
    <cfRule type="containsText" dxfId="245" priority="94" operator="containsText" text="SIN FACTURA">
      <formula>NOT(ISERROR(SEARCH("SIN FACTURA",A8)))</formula>
    </cfRule>
  </conditionalFormatting>
  <conditionalFormatting sqref="A10:B10">
    <cfRule type="containsText" dxfId="244" priority="93" operator="containsText" text="SIN FACTURA">
      <formula>NOT(ISERROR(SEARCH("SIN FACTURA",A10)))</formula>
    </cfRule>
  </conditionalFormatting>
  <conditionalFormatting sqref="A12:B12">
    <cfRule type="containsText" dxfId="243" priority="92" operator="containsText" text="SIN FACTURA">
      <formula>NOT(ISERROR(SEARCH("SIN FACTURA",A12)))</formula>
    </cfRule>
  </conditionalFormatting>
  <conditionalFormatting sqref="A14:B14">
    <cfRule type="containsText" dxfId="242" priority="91" operator="containsText" text="SIN FACTURA">
      <formula>NOT(ISERROR(SEARCH("SIN FACTURA",A14)))</formula>
    </cfRule>
  </conditionalFormatting>
  <conditionalFormatting sqref="A16:B16">
    <cfRule type="containsText" dxfId="241" priority="90" operator="containsText" text="SIN FACTURA">
      <formula>NOT(ISERROR(SEARCH("SIN FACTURA",A16)))</formula>
    </cfRule>
  </conditionalFormatting>
  <conditionalFormatting sqref="A20:B20">
    <cfRule type="containsText" dxfId="240" priority="88" operator="containsText" text="SIN FACTURA">
      <formula>NOT(ISERROR(SEARCH("SIN FACTURA",A20)))</formula>
    </cfRule>
  </conditionalFormatting>
  <conditionalFormatting sqref="A22:B22">
    <cfRule type="containsText" dxfId="239" priority="87" operator="containsText" text="SIN FACTURA">
      <formula>NOT(ISERROR(SEARCH("SIN FACTURA",A22)))</formula>
    </cfRule>
  </conditionalFormatting>
  <conditionalFormatting sqref="A24:B24">
    <cfRule type="containsText" dxfId="238" priority="86" operator="containsText" text="SIN FACTURA">
      <formula>NOT(ISERROR(SEARCH("SIN FACTURA",A24)))</formula>
    </cfRule>
  </conditionalFormatting>
  <conditionalFormatting sqref="I5">
    <cfRule type="containsText" dxfId="237" priority="73" operator="containsText" text="SIN FACTURA">
      <formula>NOT(ISERROR(SEARCH("SIN FACTURA",I5)))</formula>
    </cfRule>
  </conditionalFormatting>
  <conditionalFormatting sqref="I7">
    <cfRule type="containsText" dxfId="236" priority="72" operator="containsText" text="SIN FACTURA">
      <formula>NOT(ISERROR(SEARCH("SIN FACTURA",I7)))</formula>
    </cfRule>
  </conditionalFormatting>
  <conditionalFormatting sqref="I9">
    <cfRule type="containsText" dxfId="235" priority="71" operator="containsText" text="SIN FACTURA">
      <formula>NOT(ISERROR(SEARCH("SIN FACTURA",I9)))</formula>
    </cfRule>
  </conditionalFormatting>
  <conditionalFormatting sqref="I11">
    <cfRule type="containsText" dxfId="234" priority="70" operator="containsText" text="SIN FACTURA">
      <formula>NOT(ISERROR(SEARCH("SIN FACTURA",I11)))</formula>
    </cfRule>
  </conditionalFormatting>
  <conditionalFormatting sqref="I13">
    <cfRule type="containsText" dxfId="233" priority="69" operator="containsText" text="SIN FACTURA">
      <formula>NOT(ISERROR(SEARCH("SIN FACTURA",I13)))</formula>
    </cfRule>
  </conditionalFormatting>
  <conditionalFormatting sqref="I15">
    <cfRule type="containsText" dxfId="232" priority="68" operator="containsText" text="SIN FACTURA">
      <formula>NOT(ISERROR(SEARCH("SIN FACTURA",I15)))</formula>
    </cfRule>
  </conditionalFormatting>
  <conditionalFormatting sqref="I17">
    <cfRule type="containsText" dxfId="231" priority="67" operator="containsText" text="SIN FACTURA">
      <formula>NOT(ISERROR(SEARCH("SIN FACTURA",I17)))</formula>
    </cfRule>
  </conditionalFormatting>
  <conditionalFormatting sqref="I19">
    <cfRule type="containsText" dxfId="230" priority="66" operator="containsText" text="SIN FACTURA">
      <formula>NOT(ISERROR(SEARCH("SIN FACTURA",I19)))</formula>
    </cfRule>
  </conditionalFormatting>
  <conditionalFormatting sqref="I21">
    <cfRule type="containsText" dxfId="229" priority="65" operator="containsText" text="SIN FACTURA">
      <formula>NOT(ISERROR(SEARCH("SIN FACTURA",I21)))</formula>
    </cfRule>
  </conditionalFormatting>
  <conditionalFormatting sqref="I23">
    <cfRule type="containsText" dxfId="228" priority="64" operator="containsText" text="SIN FACTURA">
      <formula>NOT(ISERROR(SEARCH("SIN FACTURA",I23)))</formula>
    </cfRule>
  </conditionalFormatting>
  <conditionalFormatting sqref="I25">
    <cfRule type="containsText" dxfId="227" priority="63" operator="containsText" text="SIN FACTURA">
      <formula>NOT(ISERROR(SEARCH("SIN FACTURA",I25)))</formula>
    </cfRule>
  </conditionalFormatting>
  <conditionalFormatting sqref="I27">
    <cfRule type="containsText" dxfId="226" priority="62" operator="containsText" text="SIN FACTURA">
      <formula>NOT(ISERROR(SEARCH("SIN FACTURA",I27)))</formula>
    </cfRule>
  </conditionalFormatting>
  <conditionalFormatting sqref="J5">
    <cfRule type="containsText" dxfId="225" priority="53" operator="containsText" text="SIN FACTURA">
      <formula>NOT(ISERROR(SEARCH("SIN FACTURA",J5)))</formula>
    </cfRule>
  </conditionalFormatting>
  <conditionalFormatting sqref="J7">
    <cfRule type="containsText" dxfId="224" priority="52" operator="containsText" text="SIN FACTURA">
      <formula>NOT(ISERROR(SEARCH("SIN FACTURA",J7)))</formula>
    </cfRule>
  </conditionalFormatting>
  <conditionalFormatting sqref="J9">
    <cfRule type="containsText" dxfId="223" priority="51" operator="containsText" text="SIN FACTURA">
      <formula>NOT(ISERROR(SEARCH("SIN FACTURA",J9)))</formula>
    </cfRule>
  </conditionalFormatting>
  <conditionalFormatting sqref="J11">
    <cfRule type="containsText" dxfId="222" priority="50" operator="containsText" text="SIN FACTURA">
      <formula>NOT(ISERROR(SEARCH("SIN FACTURA",J11)))</formula>
    </cfRule>
  </conditionalFormatting>
  <conditionalFormatting sqref="J13">
    <cfRule type="containsText" dxfId="221" priority="49" operator="containsText" text="SIN FACTURA">
      <formula>NOT(ISERROR(SEARCH("SIN FACTURA",J13)))</formula>
    </cfRule>
  </conditionalFormatting>
  <conditionalFormatting sqref="J15">
    <cfRule type="containsText" dxfId="220" priority="48" operator="containsText" text="SIN FACTURA">
      <formula>NOT(ISERROR(SEARCH("SIN FACTURA",J15)))</formula>
    </cfRule>
  </conditionalFormatting>
  <conditionalFormatting sqref="J17">
    <cfRule type="containsText" dxfId="219" priority="47" operator="containsText" text="SIN FACTURA">
      <formula>NOT(ISERROR(SEARCH("SIN FACTURA",J17)))</formula>
    </cfRule>
  </conditionalFormatting>
  <conditionalFormatting sqref="J19">
    <cfRule type="containsText" dxfId="218" priority="46" operator="containsText" text="SIN FACTURA">
      <formula>NOT(ISERROR(SEARCH("SIN FACTURA",J19)))</formula>
    </cfRule>
  </conditionalFormatting>
  <conditionalFormatting sqref="J21">
    <cfRule type="containsText" dxfId="217" priority="45" operator="containsText" text="SIN FACTURA">
      <formula>NOT(ISERROR(SEARCH("SIN FACTURA",J21)))</formula>
    </cfRule>
  </conditionalFormatting>
  <conditionalFormatting sqref="J23">
    <cfRule type="containsText" dxfId="216" priority="44" operator="containsText" text="SIN FACTURA">
      <formula>NOT(ISERROR(SEARCH("SIN FACTURA",J23)))</formula>
    </cfRule>
  </conditionalFormatting>
  <conditionalFormatting sqref="J25">
    <cfRule type="containsText" dxfId="215" priority="43" operator="containsText" text="SIN FACTURA">
      <formula>NOT(ISERROR(SEARCH("SIN FACTURA",J25)))</formula>
    </cfRule>
  </conditionalFormatting>
  <conditionalFormatting sqref="J27">
    <cfRule type="containsText" dxfId="214" priority="42" operator="containsText" text="SIN FACTURA">
      <formula>NOT(ISERROR(SEARCH("SIN FACTURA",J27)))</formula>
    </cfRule>
  </conditionalFormatting>
  <conditionalFormatting sqref="K5">
    <cfRule type="containsText" dxfId="213" priority="33" operator="containsText" text="SIN FACTURA">
      <formula>NOT(ISERROR(SEARCH("SIN FACTURA",K5)))</formula>
    </cfRule>
  </conditionalFormatting>
  <conditionalFormatting sqref="K7">
    <cfRule type="containsText" dxfId="212" priority="32" operator="containsText" text="SIN FACTURA">
      <formula>NOT(ISERROR(SEARCH("SIN FACTURA",K7)))</formula>
    </cfRule>
  </conditionalFormatting>
  <conditionalFormatting sqref="K9">
    <cfRule type="containsText" dxfId="211" priority="31" operator="containsText" text="SIN FACTURA">
      <formula>NOT(ISERROR(SEARCH("SIN FACTURA",K9)))</formula>
    </cfRule>
  </conditionalFormatting>
  <conditionalFormatting sqref="K11">
    <cfRule type="containsText" dxfId="210" priority="30" operator="containsText" text="SIN FACTURA">
      <formula>NOT(ISERROR(SEARCH("SIN FACTURA",K11)))</formula>
    </cfRule>
  </conditionalFormatting>
  <conditionalFormatting sqref="K13">
    <cfRule type="containsText" dxfId="209" priority="29" operator="containsText" text="SIN FACTURA">
      <formula>NOT(ISERROR(SEARCH("SIN FACTURA",K13)))</formula>
    </cfRule>
  </conditionalFormatting>
  <conditionalFormatting sqref="K15">
    <cfRule type="containsText" dxfId="208" priority="28" operator="containsText" text="SIN FACTURA">
      <formula>NOT(ISERROR(SEARCH("SIN FACTURA",K15)))</formula>
    </cfRule>
  </conditionalFormatting>
  <conditionalFormatting sqref="K17">
    <cfRule type="containsText" dxfId="207" priority="27" operator="containsText" text="SIN FACTURA">
      <formula>NOT(ISERROR(SEARCH("SIN FACTURA",K17)))</formula>
    </cfRule>
  </conditionalFormatting>
  <conditionalFormatting sqref="K19">
    <cfRule type="containsText" dxfId="206" priority="26" operator="containsText" text="SIN FACTURA">
      <formula>NOT(ISERROR(SEARCH("SIN FACTURA",K19)))</formula>
    </cfRule>
  </conditionalFormatting>
  <conditionalFormatting sqref="K21">
    <cfRule type="containsText" dxfId="205" priority="25" operator="containsText" text="SIN FACTURA">
      <formula>NOT(ISERROR(SEARCH("SIN FACTURA",K21)))</formula>
    </cfRule>
  </conditionalFormatting>
  <conditionalFormatting sqref="K23">
    <cfRule type="containsText" dxfId="204" priority="24" operator="containsText" text="SIN FACTURA">
      <formula>NOT(ISERROR(SEARCH("SIN FACTURA",K23)))</formula>
    </cfRule>
  </conditionalFormatting>
  <conditionalFormatting sqref="K25">
    <cfRule type="containsText" dxfId="203" priority="23" operator="containsText" text="SIN FACTURA">
      <formula>NOT(ISERROR(SEARCH("SIN FACTURA",K25)))</formula>
    </cfRule>
  </conditionalFormatting>
  <conditionalFormatting sqref="K27">
    <cfRule type="containsText" dxfId="202" priority="22" operator="containsText" text="SIN FACTURA">
      <formula>NOT(ISERROR(SEARCH("SIN FACTURA",K27)))</formula>
    </cfRule>
  </conditionalFormatting>
  <conditionalFormatting sqref="N5">
    <cfRule type="containsText" dxfId="201" priority="13" operator="containsText" text="SIN FACTURA">
      <formula>NOT(ISERROR(SEARCH("SIN FACTURA",N5)))</formula>
    </cfRule>
  </conditionalFormatting>
  <conditionalFormatting sqref="N7">
    <cfRule type="containsText" dxfId="200" priority="12" operator="containsText" text="SIN FACTURA">
      <formula>NOT(ISERROR(SEARCH("SIN FACTURA",N7)))</formula>
    </cfRule>
  </conditionalFormatting>
  <conditionalFormatting sqref="N9">
    <cfRule type="containsText" dxfId="199" priority="11" operator="containsText" text="SIN FACTURA">
      <formula>NOT(ISERROR(SEARCH("SIN FACTURA",N9)))</formula>
    </cfRule>
  </conditionalFormatting>
  <conditionalFormatting sqref="N11">
    <cfRule type="containsText" dxfId="198" priority="10" operator="containsText" text="SIN FACTURA">
      <formula>NOT(ISERROR(SEARCH("SIN FACTURA",N11)))</formula>
    </cfRule>
  </conditionalFormatting>
  <conditionalFormatting sqref="N13">
    <cfRule type="containsText" dxfId="197" priority="9" operator="containsText" text="SIN FACTURA">
      <formula>NOT(ISERROR(SEARCH("SIN FACTURA",N13)))</formula>
    </cfRule>
  </conditionalFormatting>
  <conditionalFormatting sqref="N15">
    <cfRule type="containsText" dxfId="196" priority="8" operator="containsText" text="SIN FACTURA">
      <formula>NOT(ISERROR(SEARCH("SIN FACTURA",N15)))</formula>
    </cfRule>
  </conditionalFormatting>
  <conditionalFormatting sqref="N17">
    <cfRule type="containsText" dxfId="195" priority="7" operator="containsText" text="SIN FACTURA">
      <formula>NOT(ISERROR(SEARCH("SIN FACTURA",N17)))</formula>
    </cfRule>
  </conditionalFormatting>
  <conditionalFormatting sqref="N19">
    <cfRule type="containsText" dxfId="194" priority="6" operator="containsText" text="SIN FACTURA">
      <formula>NOT(ISERROR(SEARCH("SIN FACTURA",N19)))</formula>
    </cfRule>
  </conditionalFormatting>
  <conditionalFormatting sqref="N21">
    <cfRule type="containsText" dxfId="193" priority="5" operator="containsText" text="SIN FACTURA">
      <formula>NOT(ISERROR(SEARCH("SIN FACTURA",N21)))</formula>
    </cfRule>
  </conditionalFormatting>
  <conditionalFormatting sqref="N23">
    <cfRule type="containsText" dxfId="192" priority="4" operator="containsText" text="SIN FACTURA">
      <formula>NOT(ISERROR(SEARCH("SIN FACTURA",N23)))</formula>
    </cfRule>
  </conditionalFormatting>
  <conditionalFormatting sqref="N25">
    <cfRule type="containsText" dxfId="191" priority="3" operator="containsText" text="SIN FACTURA">
      <formula>NOT(ISERROR(SEARCH("SIN FACTURA",N25)))</formula>
    </cfRule>
  </conditionalFormatting>
  <conditionalFormatting sqref="N27">
    <cfRule type="containsText" dxfId="190" priority="2" operator="containsText" text="SIN FACTURA">
      <formula>NOT(ISERROR(SEARCH("SIN FACTURA",N27)))</formula>
    </cfRule>
  </conditionalFormatting>
  <pageMargins left="0.75" right="0.75" top="1" bottom="1" header="0.5" footer="0.5"/>
  <pageSetup paperSize="9" orientation="portrait" horizontalDpi="4294967292" verticalDpi="4294967292" r:id="rId1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Y37"/>
  <sheetViews>
    <sheetView zoomScale="125" zoomScaleNormal="125" zoomScalePageLayoutView="125" workbookViewId="0">
      <pane ySplit="4" topLeftCell="A5" activePane="bottomLeft" state="frozen"/>
      <selection activeCell="C52" sqref="C52"/>
      <selection pane="bottomLeft" activeCell="A5" sqref="A5:XFD18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7" width="9.375" style="1" customWidth="1"/>
    <col min="8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/>
      <c r="B1" s="18" t="s">
        <v>279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69"/>
      <c r="H2" s="299" t="s">
        <v>12</v>
      </c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2"/>
      <c r="D4" s="32"/>
      <c r="E4" s="32"/>
      <c r="F4" s="32"/>
      <c r="G4" s="32"/>
      <c r="H4" s="35"/>
      <c r="I4" s="35"/>
      <c r="J4" s="35"/>
      <c r="K4" s="36"/>
      <c r="L4" s="32"/>
      <c r="M4" s="37"/>
      <c r="N4" s="37"/>
      <c r="O4" s="38"/>
      <c r="P4" s="32"/>
      <c r="Q4" s="32"/>
      <c r="R4" s="32"/>
      <c r="S4" s="32"/>
      <c r="T4" s="68"/>
    </row>
    <row r="5" spans="1:25" ht="15">
      <c r="A5" s="40"/>
      <c r="B5" s="41"/>
      <c r="C5" s="40"/>
      <c r="D5" s="40"/>
      <c r="E5" s="40"/>
      <c r="F5" s="43"/>
      <c r="G5" s="43">
        <f>F5*6%</f>
        <v>0</v>
      </c>
      <c r="H5" s="44"/>
      <c r="I5" s="44">
        <f>F5-G5-H5</f>
        <v>0</v>
      </c>
      <c r="J5" s="44">
        <f>S5+T5</f>
        <v>0</v>
      </c>
      <c r="K5" s="43">
        <f>I5-J5</f>
        <v>0</v>
      </c>
      <c r="L5" s="45"/>
      <c r="M5" s="43">
        <v>0</v>
      </c>
      <c r="N5" s="43">
        <f t="shared" ref="N5" si="0">I5-J5-M5-R5</f>
        <v>0</v>
      </c>
      <c r="O5" s="44">
        <f t="shared" ref="O5" si="1">R5+S5+T5</f>
        <v>0</v>
      </c>
      <c r="P5" s="40"/>
      <c r="Q5" s="47"/>
      <c r="R5" s="47"/>
      <c r="S5" s="47"/>
      <c r="T5" s="5"/>
    </row>
    <row r="6" spans="1:25" ht="15">
      <c r="A6" s="32"/>
      <c r="B6" s="33"/>
      <c r="C6" s="32"/>
      <c r="D6" s="32"/>
      <c r="E6" s="32"/>
      <c r="F6" s="37"/>
      <c r="G6" s="37"/>
      <c r="H6" s="37"/>
      <c r="I6" s="35"/>
      <c r="J6" s="35"/>
      <c r="K6" s="36"/>
      <c r="L6" s="32"/>
      <c r="M6" s="37"/>
      <c r="N6" s="37"/>
      <c r="O6" s="35"/>
      <c r="P6" s="32"/>
      <c r="Q6" s="32"/>
      <c r="R6" s="32"/>
      <c r="S6" s="32"/>
      <c r="T6" s="68"/>
    </row>
    <row r="7" spans="1:25" ht="15">
      <c r="A7" s="40"/>
      <c r="B7" s="41"/>
      <c r="C7" s="40"/>
      <c r="D7" s="40"/>
      <c r="E7" s="40"/>
      <c r="F7" s="43"/>
      <c r="G7" s="43">
        <f>F7*6%</f>
        <v>0</v>
      </c>
      <c r="H7" s="44"/>
      <c r="I7" s="44">
        <f>F7-G7-H7</f>
        <v>0</v>
      </c>
      <c r="J7" s="44">
        <f>S7+T7</f>
        <v>0</v>
      </c>
      <c r="K7" s="43">
        <f>I7-J7</f>
        <v>0</v>
      </c>
      <c r="L7" s="90"/>
      <c r="M7" s="43">
        <v>0</v>
      </c>
      <c r="N7" s="43">
        <f t="shared" ref="N7" si="2">I7-J7-M7-R7</f>
        <v>0</v>
      </c>
      <c r="O7" s="44">
        <f t="shared" ref="O7" si="3">R7+S7+T7</f>
        <v>0</v>
      </c>
      <c r="P7" s="40"/>
      <c r="Q7" s="47"/>
      <c r="R7" s="47"/>
      <c r="S7" s="47"/>
      <c r="T7" s="5"/>
    </row>
    <row r="8" spans="1:25" ht="15">
      <c r="A8" s="32"/>
      <c r="B8" s="33"/>
      <c r="C8" s="32"/>
      <c r="D8" s="32"/>
      <c r="E8" s="32"/>
      <c r="F8" s="37"/>
      <c r="G8" s="37"/>
      <c r="H8" s="37"/>
      <c r="I8" s="35"/>
      <c r="J8" s="35"/>
      <c r="K8" s="36"/>
      <c r="L8" s="32"/>
      <c r="M8" s="37"/>
      <c r="N8" s="37"/>
      <c r="O8" s="35"/>
      <c r="P8" s="32"/>
      <c r="Q8" s="32"/>
      <c r="R8" s="32"/>
      <c r="S8" s="32"/>
      <c r="T8" s="68"/>
    </row>
    <row r="9" spans="1:25" ht="15">
      <c r="A9" s="40"/>
      <c r="B9" s="41"/>
      <c r="C9" s="40"/>
      <c r="D9" s="40"/>
      <c r="E9" s="40"/>
      <c r="F9" s="43"/>
      <c r="G9" s="43">
        <f>F9*6%</f>
        <v>0</v>
      </c>
      <c r="H9" s="44"/>
      <c r="I9" s="44">
        <f>F9-G9-H9</f>
        <v>0</v>
      </c>
      <c r="J9" s="44">
        <f>S9+T9</f>
        <v>0</v>
      </c>
      <c r="K9" s="43">
        <f>I9-J9</f>
        <v>0</v>
      </c>
      <c r="L9" s="45"/>
      <c r="M9" s="43">
        <v>0</v>
      </c>
      <c r="N9" s="43">
        <f t="shared" ref="N9" si="4">I9-J9-M9-R9</f>
        <v>0</v>
      </c>
      <c r="O9" s="44">
        <f t="shared" ref="O9" si="5">R9+S9+T9</f>
        <v>0</v>
      </c>
      <c r="P9" s="40"/>
      <c r="Q9" s="40"/>
      <c r="R9" s="40"/>
      <c r="S9" s="40"/>
      <c r="T9" s="5"/>
    </row>
    <row r="10" spans="1:25" ht="15">
      <c r="A10" s="32"/>
      <c r="B10" s="33"/>
      <c r="C10" s="32"/>
      <c r="D10" s="32"/>
      <c r="E10" s="32"/>
      <c r="F10" s="37"/>
      <c r="G10" s="37"/>
      <c r="H10" s="37"/>
      <c r="I10" s="35"/>
      <c r="J10" s="35"/>
      <c r="K10" s="36"/>
      <c r="L10" s="32"/>
      <c r="M10" s="37"/>
      <c r="N10" s="37"/>
      <c r="O10" s="35"/>
      <c r="P10" s="32"/>
      <c r="Q10" s="32"/>
      <c r="R10" s="32"/>
      <c r="S10" s="32"/>
      <c r="T10" s="68"/>
    </row>
    <row r="11" spans="1:25" ht="15">
      <c r="A11" s="40"/>
      <c r="B11" s="41"/>
      <c r="C11" s="117"/>
      <c r="D11" s="40"/>
      <c r="E11" s="40"/>
      <c r="F11" s="43"/>
      <c r="G11" s="43">
        <f>F11*6%</f>
        <v>0</v>
      </c>
      <c r="H11" s="44"/>
      <c r="I11" s="44">
        <f>F11-G11-H11</f>
        <v>0</v>
      </c>
      <c r="J11" s="44">
        <f>S11+T11</f>
        <v>0</v>
      </c>
      <c r="K11" s="43">
        <f>I11-J11</f>
        <v>0</v>
      </c>
      <c r="L11" s="90"/>
      <c r="M11" s="43">
        <v>0</v>
      </c>
      <c r="N11" s="43">
        <f t="shared" ref="N11" si="6">I11-J11-M11-R11</f>
        <v>0</v>
      </c>
      <c r="O11" s="44">
        <f t="shared" ref="O11" si="7">R11+S11+T11</f>
        <v>0</v>
      </c>
      <c r="P11" s="40"/>
      <c r="Q11" s="47"/>
      <c r="R11" s="47"/>
      <c r="S11" s="47"/>
      <c r="T11" s="5"/>
    </row>
    <row r="12" spans="1:25" ht="15">
      <c r="A12" s="32"/>
      <c r="B12" s="33"/>
      <c r="C12" s="32"/>
      <c r="D12" s="32"/>
      <c r="E12" s="32"/>
      <c r="F12" s="37"/>
      <c r="G12" s="37"/>
      <c r="H12" s="37"/>
      <c r="I12" s="35"/>
      <c r="J12" s="35"/>
      <c r="K12" s="36"/>
      <c r="L12" s="32"/>
      <c r="M12" s="37"/>
      <c r="N12" s="37"/>
      <c r="O12" s="35"/>
      <c r="P12" s="32"/>
      <c r="Q12" s="32"/>
      <c r="R12" s="32"/>
      <c r="S12" s="32"/>
      <c r="T12" s="68"/>
    </row>
    <row r="13" spans="1:25" ht="15">
      <c r="A13" s="40"/>
      <c r="B13" s="41"/>
      <c r="C13" s="40"/>
      <c r="D13" s="40"/>
      <c r="E13" s="40"/>
      <c r="F13" s="43"/>
      <c r="G13" s="43">
        <f>F13*6%</f>
        <v>0</v>
      </c>
      <c r="H13" s="44"/>
      <c r="I13" s="44">
        <f>F13-G13-H13</f>
        <v>0</v>
      </c>
      <c r="J13" s="44">
        <f>S13+T13</f>
        <v>0</v>
      </c>
      <c r="K13" s="43">
        <f>I13-J13</f>
        <v>0</v>
      </c>
      <c r="L13" s="90"/>
      <c r="M13" s="43">
        <v>0</v>
      </c>
      <c r="N13" s="43">
        <f t="shared" ref="N13:N37" si="8">I13-J13-M13-R13</f>
        <v>0</v>
      </c>
      <c r="O13" s="44">
        <f t="shared" ref="O13" si="9">R13+S13+T13</f>
        <v>0</v>
      </c>
      <c r="P13" s="40"/>
      <c r="Q13" s="47"/>
      <c r="R13" s="47"/>
      <c r="S13" s="47"/>
      <c r="T13" s="5"/>
    </row>
    <row r="14" spans="1:25" ht="15">
      <c r="A14" s="32"/>
      <c r="B14" s="33"/>
      <c r="C14" s="32"/>
      <c r="D14" s="32"/>
      <c r="E14" s="32"/>
      <c r="F14" s="37"/>
      <c r="G14" s="37"/>
      <c r="H14" s="37"/>
      <c r="I14" s="35"/>
      <c r="J14" s="35"/>
      <c r="K14" s="36"/>
      <c r="L14" s="32"/>
      <c r="M14" s="37"/>
      <c r="N14" s="37"/>
      <c r="O14" s="38"/>
      <c r="P14" s="32"/>
      <c r="Q14" s="32"/>
      <c r="R14" s="32"/>
      <c r="S14" s="32"/>
      <c r="T14" s="68"/>
    </row>
    <row r="15" spans="1:25" ht="15">
      <c r="A15" s="40"/>
      <c r="B15" s="41"/>
      <c r="C15" s="40"/>
      <c r="D15" s="40"/>
      <c r="E15" s="40"/>
      <c r="F15" s="43"/>
      <c r="G15" s="43">
        <f>F15*6%</f>
        <v>0</v>
      </c>
      <c r="H15" s="44"/>
      <c r="I15" s="44">
        <f>F15-G15-H15</f>
        <v>0</v>
      </c>
      <c r="J15" s="44">
        <f>S15+T15</f>
        <v>0</v>
      </c>
      <c r="K15" s="43">
        <f>I15-J15</f>
        <v>0</v>
      </c>
      <c r="L15" s="40"/>
      <c r="M15" s="43">
        <v>0</v>
      </c>
      <c r="N15" s="43">
        <f t="shared" si="8"/>
        <v>0</v>
      </c>
      <c r="O15" s="46"/>
      <c r="P15" s="40"/>
      <c r="Q15" s="40"/>
      <c r="R15" s="40"/>
      <c r="S15" s="40"/>
      <c r="T15" s="5"/>
    </row>
    <row r="16" spans="1:25" ht="15">
      <c r="A16" s="32"/>
      <c r="B16" s="33"/>
      <c r="C16" s="33"/>
      <c r="D16" s="34"/>
      <c r="E16" s="32"/>
      <c r="F16" s="32"/>
      <c r="G16" s="32"/>
      <c r="H16" s="37"/>
      <c r="I16" s="37"/>
      <c r="J16" s="35"/>
      <c r="K16" s="35"/>
      <c r="L16" s="35"/>
      <c r="M16" s="36"/>
      <c r="N16" s="32"/>
      <c r="O16" s="37"/>
      <c r="P16" s="37"/>
      <c r="Q16" s="38"/>
      <c r="R16" s="32"/>
      <c r="S16" s="32"/>
      <c r="T16" s="68"/>
    </row>
    <row r="17" spans="1:21" ht="15">
      <c r="A17" s="40"/>
      <c r="B17" s="41"/>
      <c r="C17" s="40"/>
      <c r="D17" s="40"/>
      <c r="E17" s="40"/>
      <c r="F17" s="43"/>
      <c r="G17" s="43">
        <f>F17*6%</f>
        <v>0</v>
      </c>
      <c r="H17" s="44"/>
      <c r="I17" s="44">
        <f>F17-G17-H17</f>
        <v>0</v>
      </c>
      <c r="J17" s="44">
        <f>S17+T17</f>
        <v>0</v>
      </c>
      <c r="K17" s="43">
        <f>I17-J17</f>
        <v>0</v>
      </c>
      <c r="L17" s="40"/>
      <c r="M17" s="43">
        <v>0</v>
      </c>
      <c r="N17" s="43">
        <f t="shared" si="8"/>
        <v>0</v>
      </c>
      <c r="O17" s="46"/>
      <c r="P17" s="40"/>
      <c r="Q17" s="40"/>
      <c r="R17" s="40"/>
      <c r="S17" s="40"/>
      <c r="T17" s="5"/>
    </row>
    <row r="18" spans="1:21" ht="15">
      <c r="A18" s="32"/>
      <c r="B18" s="33"/>
      <c r="C18" s="33"/>
      <c r="D18" s="34"/>
      <c r="E18" s="32"/>
      <c r="F18" s="32"/>
      <c r="G18" s="32"/>
      <c r="H18" s="37"/>
      <c r="I18" s="37"/>
      <c r="J18" s="35"/>
      <c r="K18" s="35"/>
      <c r="L18" s="35"/>
      <c r="M18" s="36"/>
      <c r="N18" s="32"/>
      <c r="O18" s="37"/>
      <c r="P18" s="37"/>
      <c r="Q18" s="38"/>
      <c r="R18" s="32"/>
      <c r="S18" s="32"/>
      <c r="T18" s="39"/>
      <c r="U18" s="6"/>
    </row>
    <row r="19" spans="1:21" ht="15">
      <c r="A19" s="40"/>
      <c r="B19" s="41"/>
      <c r="C19" s="40"/>
      <c r="D19" s="40"/>
      <c r="E19" s="40"/>
      <c r="F19" s="43"/>
      <c r="G19" s="43">
        <f>F19*6%</f>
        <v>0</v>
      </c>
      <c r="H19" s="44"/>
      <c r="I19" s="44">
        <f>F19-G19-H19</f>
        <v>0</v>
      </c>
      <c r="J19" s="44">
        <f>S19+T19</f>
        <v>0</v>
      </c>
      <c r="K19" s="43">
        <f>I19-J19</f>
        <v>0</v>
      </c>
      <c r="L19" s="40"/>
      <c r="M19" s="43">
        <v>0</v>
      </c>
      <c r="N19" s="43">
        <f t="shared" si="8"/>
        <v>0</v>
      </c>
      <c r="O19" s="46"/>
      <c r="P19" s="40"/>
      <c r="Q19" s="40"/>
      <c r="R19" s="40"/>
      <c r="S19" s="40"/>
      <c r="T19" s="5"/>
    </row>
    <row r="20" spans="1:21" ht="15">
      <c r="A20" s="32"/>
      <c r="B20" s="33"/>
      <c r="C20" s="33"/>
      <c r="D20" s="34"/>
      <c r="E20" s="32"/>
      <c r="F20" s="32"/>
      <c r="G20" s="32"/>
      <c r="H20" s="37"/>
      <c r="I20" s="37"/>
      <c r="J20" s="35"/>
      <c r="K20" s="35"/>
      <c r="L20" s="35"/>
      <c r="M20" s="36"/>
      <c r="N20" s="32"/>
      <c r="O20" s="37"/>
      <c r="P20" s="37"/>
      <c r="Q20" s="38"/>
      <c r="R20" s="32"/>
      <c r="S20" s="32"/>
      <c r="T20" s="39"/>
      <c r="U20" s="6"/>
    </row>
    <row r="21" spans="1:21" ht="15">
      <c r="A21" s="40"/>
      <c r="B21" s="41"/>
      <c r="C21" s="40"/>
      <c r="D21" s="40"/>
      <c r="E21" s="40"/>
      <c r="F21" s="43"/>
      <c r="G21" s="43">
        <f>F21*6%</f>
        <v>0</v>
      </c>
      <c r="H21" s="44"/>
      <c r="I21" s="44">
        <f>F21-G21-H21</f>
        <v>0</v>
      </c>
      <c r="J21" s="44">
        <f>S21+T21</f>
        <v>0</v>
      </c>
      <c r="K21" s="43">
        <f>I21-J21</f>
        <v>0</v>
      </c>
      <c r="L21" s="40"/>
      <c r="M21" s="43">
        <v>0</v>
      </c>
      <c r="N21" s="43">
        <f t="shared" si="8"/>
        <v>0</v>
      </c>
      <c r="O21" s="46"/>
      <c r="P21" s="40"/>
      <c r="Q21" s="40"/>
      <c r="R21" s="40"/>
      <c r="S21" s="40"/>
      <c r="T21" s="5"/>
    </row>
    <row r="22" spans="1:21" ht="15">
      <c r="A22" s="32"/>
      <c r="B22" s="33"/>
      <c r="C22" s="33"/>
      <c r="D22" s="34"/>
      <c r="E22" s="32"/>
      <c r="F22" s="32"/>
      <c r="G22" s="32"/>
      <c r="H22" s="37"/>
      <c r="I22" s="37"/>
      <c r="J22" s="35"/>
      <c r="K22" s="35"/>
      <c r="L22" s="35"/>
      <c r="M22" s="36"/>
      <c r="N22" s="32"/>
      <c r="O22" s="37"/>
      <c r="P22" s="37"/>
      <c r="Q22" s="38"/>
      <c r="R22" s="32"/>
      <c r="S22" s="32"/>
      <c r="T22" s="39"/>
      <c r="U22" s="6"/>
    </row>
    <row r="23" spans="1:21" ht="15">
      <c r="A23" s="40"/>
      <c r="B23" s="41"/>
      <c r="C23" s="40"/>
      <c r="D23" s="40"/>
      <c r="E23" s="40"/>
      <c r="F23" s="43"/>
      <c r="G23" s="43">
        <f>F23*6%</f>
        <v>0</v>
      </c>
      <c r="H23" s="44"/>
      <c r="I23" s="44">
        <f>F23-G23-H23</f>
        <v>0</v>
      </c>
      <c r="J23" s="44">
        <f>S23+T23</f>
        <v>0</v>
      </c>
      <c r="K23" s="43">
        <f>I23-J23</f>
        <v>0</v>
      </c>
      <c r="L23" s="40"/>
      <c r="M23" s="43">
        <v>0</v>
      </c>
      <c r="N23" s="43">
        <f t="shared" si="8"/>
        <v>0</v>
      </c>
      <c r="O23" s="46"/>
      <c r="P23" s="40"/>
      <c r="Q23" s="40"/>
      <c r="R23" s="40"/>
      <c r="S23" s="40"/>
      <c r="T23" s="5"/>
    </row>
    <row r="24" spans="1:21" ht="15">
      <c r="A24" s="32"/>
      <c r="B24" s="33"/>
      <c r="C24" s="33"/>
      <c r="D24" s="34"/>
      <c r="E24" s="32"/>
      <c r="F24" s="32"/>
      <c r="G24" s="32"/>
      <c r="H24" s="37"/>
      <c r="I24" s="37"/>
      <c r="J24" s="35"/>
      <c r="K24" s="35"/>
      <c r="L24" s="35"/>
      <c r="M24" s="36"/>
      <c r="N24" s="32"/>
      <c r="O24" s="37"/>
      <c r="P24" s="37"/>
      <c r="Q24" s="38"/>
      <c r="R24" s="32"/>
      <c r="S24" s="32"/>
      <c r="T24" s="39"/>
      <c r="U24" s="6"/>
    </row>
    <row r="25" spans="1:21" ht="15">
      <c r="A25" s="40"/>
      <c r="B25" s="41"/>
      <c r="C25" s="40"/>
      <c r="D25" s="40"/>
      <c r="E25" s="40"/>
      <c r="F25" s="43"/>
      <c r="G25" s="43">
        <f>F25*6%</f>
        <v>0</v>
      </c>
      <c r="H25" s="44"/>
      <c r="I25" s="44">
        <f>F25-G25-H25</f>
        <v>0</v>
      </c>
      <c r="J25" s="44">
        <f>S25+T25</f>
        <v>0</v>
      </c>
      <c r="K25" s="43">
        <f>I25-J25</f>
        <v>0</v>
      </c>
      <c r="L25" s="40"/>
      <c r="M25" s="43">
        <v>0</v>
      </c>
      <c r="N25" s="43">
        <f t="shared" si="8"/>
        <v>0</v>
      </c>
      <c r="O25" s="46"/>
      <c r="P25" s="40"/>
      <c r="Q25" s="40"/>
      <c r="R25" s="40"/>
      <c r="S25" s="40"/>
      <c r="T25" s="5"/>
    </row>
    <row r="26" spans="1:21" ht="15">
      <c r="A26" s="32"/>
      <c r="B26" s="33"/>
      <c r="C26" s="33"/>
      <c r="D26" s="34"/>
      <c r="E26" s="32"/>
      <c r="F26" s="32"/>
      <c r="G26" s="32"/>
      <c r="H26" s="37"/>
      <c r="I26" s="37"/>
      <c r="J26" s="35"/>
      <c r="K26" s="35"/>
      <c r="L26" s="35"/>
      <c r="M26" s="36"/>
      <c r="N26" s="32"/>
      <c r="O26" s="37"/>
      <c r="P26" s="37"/>
      <c r="Q26" s="38"/>
      <c r="R26" s="32"/>
      <c r="S26" s="32"/>
      <c r="T26" s="39"/>
      <c r="U26" s="6"/>
    </row>
    <row r="27" spans="1:21" ht="15">
      <c r="A27" s="40"/>
      <c r="B27" s="41"/>
      <c r="C27" s="40"/>
      <c r="D27" s="40"/>
      <c r="E27" s="40"/>
      <c r="F27" s="43"/>
      <c r="G27" s="43">
        <f>F27*6%</f>
        <v>0</v>
      </c>
      <c r="H27" s="44"/>
      <c r="I27" s="44">
        <f>F27-G27-H27</f>
        <v>0</v>
      </c>
      <c r="J27" s="44">
        <f>S27+T27</f>
        <v>0</v>
      </c>
      <c r="K27" s="43">
        <f>I27-J27</f>
        <v>0</v>
      </c>
      <c r="L27" s="40"/>
      <c r="M27" s="43">
        <v>0</v>
      </c>
      <c r="N27" s="43">
        <f t="shared" si="8"/>
        <v>0</v>
      </c>
      <c r="O27" s="46"/>
      <c r="P27" s="40"/>
      <c r="Q27" s="40"/>
      <c r="R27" s="40"/>
      <c r="S27" s="40"/>
      <c r="T27" s="5"/>
    </row>
    <row r="28" spans="1:21" ht="15">
      <c r="A28" s="32"/>
      <c r="B28" s="33"/>
      <c r="C28" s="33"/>
      <c r="D28" s="34"/>
      <c r="E28" s="32"/>
      <c r="F28" s="32"/>
      <c r="G28" s="32"/>
      <c r="H28" s="37"/>
      <c r="I28" s="37"/>
      <c r="J28" s="35"/>
      <c r="K28" s="35"/>
      <c r="L28" s="35"/>
      <c r="M28" s="36"/>
      <c r="N28" s="32"/>
      <c r="O28" s="37"/>
      <c r="P28" s="37"/>
      <c r="Q28" s="38"/>
      <c r="R28" s="32"/>
      <c r="S28" s="32"/>
      <c r="T28" s="39"/>
      <c r="U28" s="6"/>
    </row>
    <row r="29" spans="1:21" ht="15">
      <c r="A29" s="40"/>
      <c r="B29" s="41"/>
      <c r="C29" s="40"/>
      <c r="D29" s="40"/>
      <c r="E29" s="40"/>
      <c r="F29" s="43"/>
      <c r="G29" s="43">
        <f>F29*6%</f>
        <v>0</v>
      </c>
      <c r="H29" s="44"/>
      <c r="I29" s="44">
        <f>F29-G29-H29</f>
        <v>0</v>
      </c>
      <c r="J29" s="44">
        <f>S29+T29</f>
        <v>0</v>
      </c>
      <c r="K29" s="43">
        <f>I29-J29</f>
        <v>0</v>
      </c>
      <c r="L29" s="40"/>
      <c r="M29" s="43">
        <v>0</v>
      </c>
      <c r="N29" s="43">
        <f t="shared" si="8"/>
        <v>0</v>
      </c>
      <c r="O29" s="46"/>
      <c r="P29" s="40"/>
      <c r="Q29" s="40"/>
      <c r="R29" s="40"/>
      <c r="S29" s="40"/>
      <c r="T29" s="5"/>
    </row>
    <row r="30" spans="1:21" ht="15">
      <c r="A30" s="32"/>
      <c r="B30" s="33"/>
      <c r="C30" s="33"/>
      <c r="D30" s="34"/>
      <c r="E30" s="32"/>
      <c r="F30" s="32"/>
      <c r="G30" s="32"/>
      <c r="H30" s="37"/>
      <c r="I30" s="37"/>
      <c r="J30" s="35"/>
      <c r="K30" s="35"/>
      <c r="L30" s="35"/>
      <c r="M30" s="36"/>
      <c r="N30" s="32"/>
      <c r="O30" s="37"/>
      <c r="P30" s="37"/>
      <c r="Q30" s="38"/>
      <c r="R30" s="32"/>
      <c r="S30" s="32"/>
      <c r="T30" s="39"/>
      <c r="U30" s="6"/>
    </row>
    <row r="31" spans="1:21" ht="15">
      <c r="A31" s="40"/>
      <c r="B31" s="41"/>
      <c r="C31" s="40"/>
      <c r="D31" s="40"/>
      <c r="E31" s="40"/>
      <c r="F31" s="43"/>
      <c r="G31" s="43">
        <f>F31*6%</f>
        <v>0</v>
      </c>
      <c r="H31" s="44"/>
      <c r="I31" s="44">
        <f>F31-G31-H31</f>
        <v>0</v>
      </c>
      <c r="J31" s="44">
        <f>S31+T31</f>
        <v>0</v>
      </c>
      <c r="K31" s="43">
        <f>I31-J31</f>
        <v>0</v>
      </c>
      <c r="L31" s="40"/>
      <c r="M31" s="43">
        <v>0</v>
      </c>
      <c r="N31" s="43">
        <f t="shared" si="8"/>
        <v>0</v>
      </c>
      <c r="O31" s="46"/>
      <c r="P31" s="40"/>
      <c r="Q31" s="40"/>
      <c r="R31" s="40"/>
      <c r="S31" s="40"/>
      <c r="T31" s="5"/>
    </row>
    <row r="32" spans="1:21" ht="15">
      <c r="A32" s="32"/>
      <c r="B32" s="33"/>
      <c r="C32" s="33"/>
      <c r="D32" s="34"/>
      <c r="E32" s="32"/>
      <c r="F32" s="32"/>
      <c r="G32" s="32"/>
      <c r="H32" s="37"/>
      <c r="I32" s="37"/>
      <c r="J32" s="35"/>
      <c r="K32" s="35"/>
      <c r="L32" s="35"/>
      <c r="M32" s="36"/>
      <c r="N32" s="32"/>
      <c r="O32" s="37"/>
      <c r="P32" s="37"/>
      <c r="Q32" s="38"/>
      <c r="R32" s="32"/>
      <c r="S32" s="32"/>
      <c r="T32" s="39"/>
      <c r="U32" s="6"/>
    </row>
    <row r="33" spans="1:21" ht="15">
      <c r="A33" s="40"/>
      <c r="B33" s="41"/>
      <c r="C33" s="40"/>
      <c r="D33" s="40"/>
      <c r="E33" s="40"/>
      <c r="F33" s="43"/>
      <c r="G33" s="43">
        <f>F33*6%</f>
        <v>0</v>
      </c>
      <c r="H33" s="44"/>
      <c r="I33" s="44">
        <f>F33-G33-H33</f>
        <v>0</v>
      </c>
      <c r="J33" s="44">
        <f>S33+T33</f>
        <v>0</v>
      </c>
      <c r="K33" s="43">
        <f>I33-J33</f>
        <v>0</v>
      </c>
      <c r="L33" s="40"/>
      <c r="M33" s="43">
        <v>0</v>
      </c>
      <c r="N33" s="43">
        <f t="shared" si="8"/>
        <v>0</v>
      </c>
      <c r="O33" s="46"/>
      <c r="P33" s="40"/>
      <c r="Q33" s="40"/>
      <c r="R33" s="40"/>
      <c r="S33" s="40"/>
      <c r="T33" s="5"/>
    </row>
    <row r="34" spans="1:21" ht="15">
      <c r="A34" s="32"/>
      <c r="B34" s="33"/>
      <c r="C34" s="33"/>
      <c r="D34" s="34"/>
      <c r="E34" s="32"/>
      <c r="F34" s="32"/>
      <c r="G34" s="32"/>
      <c r="H34" s="37"/>
      <c r="I34" s="37"/>
      <c r="J34" s="35"/>
      <c r="K34" s="35"/>
      <c r="L34" s="35"/>
      <c r="M34" s="36"/>
      <c r="N34" s="32"/>
      <c r="O34" s="37"/>
      <c r="P34" s="37"/>
      <c r="Q34" s="38"/>
      <c r="R34" s="32"/>
      <c r="S34" s="32"/>
      <c r="T34" s="39"/>
      <c r="U34" s="6"/>
    </row>
    <row r="35" spans="1:21" ht="15">
      <c r="A35" s="40"/>
      <c r="B35" s="41"/>
      <c r="C35" s="40"/>
      <c r="D35" s="40"/>
      <c r="E35" s="40"/>
      <c r="F35" s="43"/>
      <c r="G35" s="43">
        <f>F35*6%</f>
        <v>0</v>
      </c>
      <c r="H35" s="44"/>
      <c r="I35" s="44">
        <f>F35-G35-H35</f>
        <v>0</v>
      </c>
      <c r="J35" s="44">
        <f>S35+T35</f>
        <v>0</v>
      </c>
      <c r="K35" s="43">
        <f>I35-J35</f>
        <v>0</v>
      </c>
      <c r="L35" s="40"/>
      <c r="M35" s="43">
        <v>0</v>
      </c>
      <c r="N35" s="43">
        <f t="shared" si="8"/>
        <v>0</v>
      </c>
      <c r="O35" s="46"/>
      <c r="P35" s="40"/>
      <c r="Q35" s="40"/>
      <c r="R35" s="40"/>
      <c r="S35" s="40"/>
      <c r="T35" s="5"/>
    </row>
    <row r="36" spans="1:21" ht="15">
      <c r="A36" s="32"/>
      <c r="B36" s="33"/>
      <c r="C36" s="33"/>
      <c r="D36" s="34"/>
      <c r="E36" s="32"/>
      <c r="F36" s="32"/>
      <c r="G36" s="32"/>
      <c r="H36" s="37"/>
      <c r="I36" s="37"/>
      <c r="J36" s="35"/>
      <c r="K36" s="35"/>
      <c r="L36" s="35"/>
      <c r="M36" s="36"/>
      <c r="N36" s="32"/>
      <c r="O36" s="37"/>
      <c r="P36" s="37"/>
      <c r="Q36" s="38"/>
      <c r="R36" s="32"/>
      <c r="S36" s="32"/>
      <c r="T36" s="39"/>
      <c r="U36" s="6"/>
    </row>
    <row r="37" spans="1:21" ht="15">
      <c r="A37" s="50"/>
      <c r="B37" s="51"/>
      <c r="C37" s="50"/>
      <c r="D37" s="50"/>
      <c r="E37" s="50"/>
      <c r="F37" s="53"/>
      <c r="G37" s="43">
        <f>F37*6%</f>
        <v>0</v>
      </c>
      <c r="H37" s="44"/>
      <c r="I37" s="44">
        <f>F37-G37-H37</f>
        <v>0</v>
      </c>
      <c r="J37" s="44">
        <f>S37+T37</f>
        <v>0</v>
      </c>
      <c r="K37" s="43">
        <f>I37-J37</f>
        <v>0</v>
      </c>
      <c r="L37" s="50"/>
      <c r="M37" s="53">
        <v>0</v>
      </c>
      <c r="N37" s="43">
        <f t="shared" si="8"/>
        <v>0</v>
      </c>
      <c r="O37" s="56"/>
      <c r="P37" s="50"/>
      <c r="Q37" s="50"/>
      <c r="R37" s="50"/>
      <c r="S37" s="50"/>
      <c r="T37" s="57"/>
    </row>
  </sheetData>
  <mergeCells count="5">
    <mergeCell ref="A2:B2"/>
    <mergeCell ref="C2:F2"/>
    <mergeCell ref="H2:L2"/>
    <mergeCell ref="M2:O2"/>
    <mergeCell ref="P2:T2"/>
  </mergeCells>
  <conditionalFormatting sqref="C2 H2 M2 A2 A3:T3">
    <cfRule type="containsText" dxfId="189" priority="112" operator="containsText" text="SIN FACTURA ">
      <formula>NOT(ISERROR(SEARCH("SIN FACTURA ",A2)))</formula>
    </cfRule>
  </conditionalFormatting>
  <conditionalFormatting sqref="A17:B17 A19:B19 A21:B21 A23:B23 A25:B25 A27:B29 A31:B31 A33:B33 A35:B35 A37:B37 A4:S4 A5:B15 C5:H37">
    <cfRule type="containsText" dxfId="188" priority="93" operator="containsText" text="SIN FACTURA">
      <formula>NOT(ISERROR(SEARCH("SIN FACTURA",A4)))</formula>
    </cfRule>
  </conditionalFormatting>
  <conditionalFormatting sqref="A36:B36">
    <cfRule type="containsText" dxfId="187" priority="89" operator="containsText" text="SIN FACTURA">
      <formula>NOT(ISERROR(SEARCH("SIN FACTURA",A36)))</formula>
    </cfRule>
  </conditionalFormatting>
  <conditionalFormatting sqref="L37:M37 L35:M35 L33:M33 L31:M31 L29:M29 L27:M27 L25:M25 L23:M23 L21:M21 L19:M19 L17:M17 I8:S8 I6:S6 L5:M5 I10:S10 I12:S12 L11:M11 I14:S14 L13:M13 L15:M15 O5:S5 O7:S7 O9:S9 O11:S11 O13:S13 O15:S15 O17:S17 O19:S19 O21:S21 O23:S23 O25:S25 O27:S27 O29:S29 O31:S31 O33:S33 O35:S35 O37:S37 L7:M7 L9:M9">
    <cfRule type="containsText" dxfId="186" priority="111" operator="containsText" text="SIN FACTURA">
      <formula>NOT(ISERROR(SEARCH("SIN FACTURA",I5)))</formula>
    </cfRule>
  </conditionalFormatting>
  <conditionalFormatting sqref="I16:U16">
    <cfRule type="containsText" dxfId="185" priority="110" operator="containsText" text="SIN FACTURA">
      <formula>NOT(ISERROR(SEARCH("SIN FACTURA",I16)))</formula>
    </cfRule>
  </conditionalFormatting>
  <conditionalFormatting sqref="I18:U18">
    <cfRule type="containsText" dxfId="184" priority="109" operator="containsText" text="SIN FACTURA">
      <formula>NOT(ISERROR(SEARCH("SIN FACTURA",I18)))</formula>
    </cfRule>
  </conditionalFormatting>
  <conditionalFormatting sqref="I20:U20">
    <cfRule type="containsText" dxfId="183" priority="108" operator="containsText" text="SIN FACTURA">
      <formula>NOT(ISERROR(SEARCH("SIN FACTURA",I20)))</formula>
    </cfRule>
  </conditionalFormatting>
  <conditionalFormatting sqref="I22:U22">
    <cfRule type="containsText" dxfId="182" priority="107" operator="containsText" text="SIN FACTURA">
      <formula>NOT(ISERROR(SEARCH("SIN FACTURA",I22)))</formula>
    </cfRule>
  </conditionalFormatting>
  <conditionalFormatting sqref="I24:U24">
    <cfRule type="containsText" dxfId="181" priority="106" operator="containsText" text="SIN FACTURA">
      <formula>NOT(ISERROR(SEARCH("SIN FACTURA",I24)))</formula>
    </cfRule>
  </conditionalFormatting>
  <conditionalFormatting sqref="I26:U26">
    <cfRule type="containsText" dxfId="180" priority="105" operator="containsText" text="SIN FACTURA">
      <formula>NOT(ISERROR(SEARCH("SIN FACTURA",I26)))</formula>
    </cfRule>
  </conditionalFormatting>
  <conditionalFormatting sqref="I28:U28">
    <cfRule type="containsText" dxfId="179" priority="104" operator="containsText" text="SIN FACTURA">
      <formula>NOT(ISERROR(SEARCH("SIN FACTURA",I28)))</formula>
    </cfRule>
  </conditionalFormatting>
  <conditionalFormatting sqref="I30:U30">
    <cfRule type="containsText" dxfId="178" priority="103" operator="containsText" text="SIN FACTURA">
      <formula>NOT(ISERROR(SEARCH("SIN FACTURA",I30)))</formula>
    </cfRule>
  </conditionalFormatting>
  <conditionalFormatting sqref="I32:U32">
    <cfRule type="containsText" dxfId="177" priority="102" operator="containsText" text="SIN FACTURA">
      <formula>NOT(ISERROR(SEARCH("SIN FACTURA",I32)))</formula>
    </cfRule>
  </conditionalFormatting>
  <conditionalFormatting sqref="I34:U34">
    <cfRule type="containsText" dxfId="176" priority="101" operator="containsText" text="SIN FACTURA">
      <formula>NOT(ISERROR(SEARCH("SIN FACTURA",I34)))</formula>
    </cfRule>
  </conditionalFormatting>
  <conditionalFormatting sqref="I36:U36">
    <cfRule type="containsText" dxfId="175" priority="100" operator="containsText" text="SIN FACTURA">
      <formula>NOT(ISERROR(SEARCH("SIN FACTURA",I36)))</formula>
    </cfRule>
  </conditionalFormatting>
  <conditionalFormatting sqref="A16:B16">
    <cfRule type="containsText" dxfId="174" priority="99" operator="containsText" text="SIN FACTURA">
      <formula>NOT(ISERROR(SEARCH("SIN FACTURA",A16)))</formula>
    </cfRule>
  </conditionalFormatting>
  <conditionalFormatting sqref="A18:B18">
    <cfRule type="containsText" dxfId="173" priority="98" operator="containsText" text="SIN FACTURA">
      <formula>NOT(ISERROR(SEARCH("SIN FACTURA",A18)))</formula>
    </cfRule>
  </conditionalFormatting>
  <conditionalFormatting sqref="A20:B20">
    <cfRule type="containsText" dxfId="172" priority="97" operator="containsText" text="SIN FACTURA">
      <formula>NOT(ISERROR(SEARCH("SIN FACTURA",A20)))</formula>
    </cfRule>
  </conditionalFormatting>
  <conditionalFormatting sqref="A22:B22">
    <cfRule type="containsText" dxfId="171" priority="96" operator="containsText" text="SIN FACTURA">
      <formula>NOT(ISERROR(SEARCH("SIN FACTURA",A22)))</formula>
    </cfRule>
  </conditionalFormatting>
  <conditionalFormatting sqref="A24:B24">
    <cfRule type="containsText" dxfId="170" priority="95" operator="containsText" text="SIN FACTURA">
      <formula>NOT(ISERROR(SEARCH("SIN FACTURA",A24)))</formula>
    </cfRule>
  </conditionalFormatting>
  <conditionalFormatting sqref="A26:B26">
    <cfRule type="containsText" dxfId="169" priority="94" operator="containsText" text="SIN FACTURA">
      <formula>NOT(ISERROR(SEARCH("SIN FACTURA",A26)))</formula>
    </cfRule>
  </conditionalFormatting>
  <conditionalFormatting sqref="A30:B30">
    <cfRule type="containsText" dxfId="168" priority="92" operator="containsText" text="SIN FACTURA">
      <formula>NOT(ISERROR(SEARCH("SIN FACTURA",A30)))</formula>
    </cfRule>
  </conditionalFormatting>
  <conditionalFormatting sqref="A32:B32">
    <cfRule type="containsText" dxfId="167" priority="91" operator="containsText" text="SIN FACTURA">
      <formula>NOT(ISERROR(SEARCH("SIN FACTURA",A32)))</formula>
    </cfRule>
  </conditionalFormatting>
  <conditionalFormatting sqref="A34:B34">
    <cfRule type="containsText" dxfId="166" priority="90" operator="containsText" text="SIN FACTURA">
      <formula>NOT(ISERROR(SEARCH("SIN FACTURA",A34)))</formula>
    </cfRule>
  </conditionalFormatting>
  <conditionalFormatting sqref="I5">
    <cfRule type="containsText" dxfId="165" priority="83" operator="containsText" text="SIN FACTURA">
      <formula>NOT(ISERROR(SEARCH("SIN FACTURA",I5)))</formula>
    </cfRule>
  </conditionalFormatting>
  <conditionalFormatting sqref="I7">
    <cfRule type="containsText" dxfId="164" priority="82" operator="containsText" text="SIN FACTURA">
      <formula>NOT(ISERROR(SEARCH("SIN FACTURA",I7)))</formula>
    </cfRule>
  </conditionalFormatting>
  <conditionalFormatting sqref="I9">
    <cfRule type="containsText" dxfId="163" priority="81" operator="containsText" text="SIN FACTURA">
      <formula>NOT(ISERROR(SEARCH("SIN FACTURA",I9)))</formula>
    </cfRule>
  </conditionalFormatting>
  <conditionalFormatting sqref="I11">
    <cfRule type="containsText" dxfId="162" priority="80" operator="containsText" text="SIN FACTURA">
      <formula>NOT(ISERROR(SEARCH("SIN FACTURA",I11)))</formula>
    </cfRule>
  </conditionalFormatting>
  <conditionalFormatting sqref="I13">
    <cfRule type="containsText" dxfId="161" priority="79" operator="containsText" text="SIN FACTURA">
      <formula>NOT(ISERROR(SEARCH("SIN FACTURA",I13)))</formula>
    </cfRule>
  </conditionalFormatting>
  <conditionalFormatting sqref="I15">
    <cfRule type="containsText" dxfId="160" priority="78" operator="containsText" text="SIN FACTURA">
      <formula>NOT(ISERROR(SEARCH("SIN FACTURA",I15)))</formula>
    </cfRule>
  </conditionalFormatting>
  <conditionalFormatting sqref="I17">
    <cfRule type="containsText" dxfId="159" priority="77" operator="containsText" text="SIN FACTURA">
      <formula>NOT(ISERROR(SEARCH("SIN FACTURA",I17)))</formula>
    </cfRule>
  </conditionalFormatting>
  <conditionalFormatting sqref="I19">
    <cfRule type="containsText" dxfId="158" priority="76" operator="containsText" text="SIN FACTURA">
      <formula>NOT(ISERROR(SEARCH("SIN FACTURA",I19)))</formula>
    </cfRule>
  </conditionalFormatting>
  <conditionalFormatting sqref="I21">
    <cfRule type="containsText" dxfId="157" priority="75" operator="containsText" text="SIN FACTURA">
      <formula>NOT(ISERROR(SEARCH("SIN FACTURA",I21)))</formula>
    </cfRule>
  </conditionalFormatting>
  <conditionalFormatting sqref="I23">
    <cfRule type="containsText" dxfId="156" priority="74" operator="containsText" text="SIN FACTURA">
      <formula>NOT(ISERROR(SEARCH("SIN FACTURA",I23)))</formula>
    </cfRule>
  </conditionalFormatting>
  <conditionalFormatting sqref="I25">
    <cfRule type="containsText" dxfId="155" priority="73" operator="containsText" text="SIN FACTURA">
      <formula>NOT(ISERROR(SEARCH("SIN FACTURA",I25)))</formula>
    </cfRule>
  </conditionalFormatting>
  <conditionalFormatting sqref="I27">
    <cfRule type="containsText" dxfId="154" priority="72" operator="containsText" text="SIN FACTURA">
      <formula>NOT(ISERROR(SEARCH("SIN FACTURA",I27)))</formula>
    </cfRule>
  </conditionalFormatting>
  <conditionalFormatting sqref="I29">
    <cfRule type="containsText" dxfId="153" priority="71" operator="containsText" text="SIN FACTURA">
      <formula>NOT(ISERROR(SEARCH("SIN FACTURA",I29)))</formula>
    </cfRule>
  </conditionalFormatting>
  <conditionalFormatting sqref="I31">
    <cfRule type="containsText" dxfId="152" priority="70" operator="containsText" text="SIN FACTURA">
      <formula>NOT(ISERROR(SEARCH("SIN FACTURA",I31)))</formula>
    </cfRule>
  </conditionalFormatting>
  <conditionalFormatting sqref="I33">
    <cfRule type="containsText" dxfId="151" priority="69" operator="containsText" text="SIN FACTURA">
      <formula>NOT(ISERROR(SEARCH("SIN FACTURA",I33)))</formula>
    </cfRule>
  </conditionalFormatting>
  <conditionalFormatting sqref="I35">
    <cfRule type="containsText" dxfId="150" priority="68" operator="containsText" text="SIN FACTURA">
      <formula>NOT(ISERROR(SEARCH("SIN FACTURA",I35)))</formula>
    </cfRule>
  </conditionalFormatting>
  <conditionalFormatting sqref="I37">
    <cfRule type="containsText" dxfId="149" priority="67" operator="containsText" text="SIN FACTURA">
      <formula>NOT(ISERROR(SEARCH("SIN FACTURA",I37)))</formula>
    </cfRule>
  </conditionalFormatting>
  <conditionalFormatting sqref="J5">
    <cfRule type="containsText" dxfId="148" priority="64" operator="containsText" text="SIN FACTURA">
      <formula>NOT(ISERROR(SEARCH("SIN FACTURA",J5)))</formula>
    </cfRule>
  </conditionalFormatting>
  <conditionalFormatting sqref="J7">
    <cfRule type="containsText" dxfId="147" priority="63" operator="containsText" text="SIN FACTURA">
      <formula>NOT(ISERROR(SEARCH("SIN FACTURA",J7)))</formula>
    </cfRule>
  </conditionalFormatting>
  <conditionalFormatting sqref="J9">
    <cfRule type="containsText" dxfId="146" priority="62" operator="containsText" text="SIN FACTURA">
      <formula>NOT(ISERROR(SEARCH("SIN FACTURA",J9)))</formula>
    </cfRule>
  </conditionalFormatting>
  <conditionalFormatting sqref="J11">
    <cfRule type="containsText" dxfId="145" priority="61" operator="containsText" text="SIN FACTURA">
      <formula>NOT(ISERROR(SEARCH("SIN FACTURA",J11)))</formula>
    </cfRule>
  </conditionalFormatting>
  <conditionalFormatting sqref="J13">
    <cfRule type="containsText" dxfId="144" priority="60" operator="containsText" text="SIN FACTURA">
      <formula>NOT(ISERROR(SEARCH("SIN FACTURA",J13)))</formula>
    </cfRule>
  </conditionalFormatting>
  <conditionalFormatting sqref="J15">
    <cfRule type="containsText" dxfId="143" priority="59" operator="containsText" text="SIN FACTURA">
      <formula>NOT(ISERROR(SEARCH("SIN FACTURA",J15)))</formula>
    </cfRule>
  </conditionalFormatting>
  <conditionalFormatting sqref="J17">
    <cfRule type="containsText" dxfId="142" priority="58" operator="containsText" text="SIN FACTURA">
      <formula>NOT(ISERROR(SEARCH("SIN FACTURA",J17)))</formula>
    </cfRule>
  </conditionalFormatting>
  <conditionalFormatting sqref="J19">
    <cfRule type="containsText" dxfId="141" priority="57" operator="containsText" text="SIN FACTURA">
      <formula>NOT(ISERROR(SEARCH("SIN FACTURA",J19)))</formula>
    </cfRule>
  </conditionalFormatting>
  <conditionalFormatting sqref="J21">
    <cfRule type="containsText" dxfId="140" priority="56" operator="containsText" text="SIN FACTURA">
      <formula>NOT(ISERROR(SEARCH("SIN FACTURA",J21)))</formula>
    </cfRule>
  </conditionalFormatting>
  <conditionalFormatting sqref="J23">
    <cfRule type="containsText" dxfId="139" priority="55" operator="containsText" text="SIN FACTURA">
      <formula>NOT(ISERROR(SEARCH("SIN FACTURA",J23)))</formula>
    </cfRule>
  </conditionalFormatting>
  <conditionalFormatting sqref="J25">
    <cfRule type="containsText" dxfId="138" priority="54" operator="containsText" text="SIN FACTURA">
      <formula>NOT(ISERROR(SEARCH("SIN FACTURA",J25)))</formula>
    </cfRule>
  </conditionalFormatting>
  <conditionalFormatting sqref="J27">
    <cfRule type="containsText" dxfId="137" priority="53" operator="containsText" text="SIN FACTURA">
      <formula>NOT(ISERROR(SEARCH("SIN FACTURA",J27)))</formula>
    </cfRule>
  </conditionalFormatting>
  <conditionalFormatting sqref="J29">
    <cfRule type="containsText" dxfId="136" priority="52" operator="containsText" text="SIN FACTURA">
      <formula>NOT(ISERROR(SEARCH("SIN FACTURA",J29)))</formula>
    </cfRule>
  </conditionalFormatting>
  <conditionalFormatting sqref="J31">
    <cfRule type="containsText" dxfId="135" priority="51" operator="containsText" text="SIN FACTURA">
      <formula>NOT(ISERROR(SEARCH("SIN FACTURA",J31)))</formula>
    </cfRule>
  </conditionalFormatting>
  <conditionalFormatting sqref="J33">
    <cfRule type="containsText" dxfId="134" priority="50" operator="containsText" text="SIN FACTURA">
      <formula>NOT(ISERROR(SEARCH("SIN FACTURA",J33)))</formula>
    </cfRule>
  </conditionalFormatting>
  <conditionalFormatting sqref="J35">
    <cfRule type="containsText" dxfId="133" priority="49" operator="containsText" text="SIN FACTURA">
      <formula>NOT(ISERROR(SEARCH("SIN FACTURA",J35)))</formula>
    </cfRule>
  </conditionalFormatting>
  <conditionalFormatting sqref="J37">
    <cfRule type="containsText" dxfId="132" priority="48" operator="containsText" text="SIN FACTURA">
      <formula>NOT(ISERROR(SEARCH("SIN FACTURA",J37)))</formula>
    </cfRule>
  </conditionalFormatting>
  <conditionalFormatting sqref="K5">
    <cfRule type="containsText" dxfId="131" priority="45" operator="containsText" text="SIN FACTURA">
      <formula>NOT(ISERROR(SEARCH("SIN FACTURA",K5)))</formula>
    </cfRule>
  </conditionalFormatting>
  <conditionalFormatting sqref="K7">
    <cfRule type="containsText" dxfId="130" priority="44" operator="containsText" text="SIN FACTURA">
      <formula>NOT(ISERROR(SEARCH("SIN FACTURA",K7)))</formula>
    </cfRule>
  </conditionalFormatting>
  <conditionalFormatting sqref="K9">
    <cfRule type="containsText" dxfId="129" priority="43" operator="containsText" text="SIN FACTURA">
      <formula>NOT(ISERROR(SEARCH("SIN FACTURA",K9)))</formula>
    </cfRule>
  </conditionalFormatting>
  <conditionalFormatting sqref="K11">
    <cfRule type="containsText" dxfId="128" priority="42" operator="containsText" text="SIN FACTURA">
      <formula>NOT(ISERROR(SEARCH("SIN FACTURA",K11)))</formula>
    </cfRule>
  </conditionalFormatting>
  <conditionalFormatting sqref="K13">
    <cfRule type="containsText" dxfId="127" priority="41" operator="containsText" text="SIN FACTURA">
      <formula>NOT(ISERROR(SEARCH("SIN FACTURA",K13)))</formula>
    </cfRule>
  </conditionalFormatting>
  <conditionalFormatting sqref="K15">
    <cfRule type="containsText" dxfId="126" priority="40" operator="containsText" text="SIN FACTURA">
      <formula>NOT(ISERROR(SEARCH("SIN FACTURA",K15)))</formula>
    </cfRule>
  </conditionalFormatting>
  <conditionalFormatting sqref="K17">
    <cfRule type="containsText" dxfId="125" priority="39" operator="containsText" text="SIN FACTURA">
      <formula>NOT(ISERROR(SEARCH("SIN FACTURA",K17)))</formula>
    </cfRule>
  </conditionalFormatting>
  <conditionalFormatting sqref="K19">
    <cfRule type="containsText" dxfId="124" priority="38" operator="containsText" text="SIN FACTURA">
      <formula>NOT(ISERROR(SEARCH("SIN FACTURA",K19)))</formula>
    </cfRule>
  </conditionalFormatting>
  <conditionalFormatting sqref="K21">
    <cfRule type="containsText" dxfId="123" priority="37" operator="containsText" text="SIN FACTURA">
      <formula>NOT(ISERROR(SEARCH("SIN FACTURA",K21)))</formula>
    </cfRule>
  </conditionalFormatting>
  <conditionalFormatting sqref="K23">
    <cfRule type="containsText" dxfId="122" priority="36" operator="containsText" text="SIN FACTURA">
      <formula>NOT(ISERROR(SEARCH("SIN FACTURA",K23)))</formula>
    </cfRule>
  </conditionalFormatting>
  <conditionalFormatting sqref="K25">
    <cfRule type="containsText" dxfId="121" priority="35" operator="containsText" text="SIN FACTURA">
      <formula>NOT(ISERROR(SEARCH("SIN FACTURA",K25)))</formula>
    </cfRule>
  </conditionalFormatting>
  <conditionalFormatting sqref="K27">
    <cfRule type="containsText" dxfId="120" priority="34" operator="containsText" text="SIN FACTURA">
      <formula>NOT(ISERROR(SEARCH("SIN FACTURA",K27)))</formula>
    </cfRule>
  </conditionalFormatting>
  <conditionalFormatting sqref="K29">
    <cfRule type="containsText" dxfId="119" priority="33" operator="containsText" text="SIN FACTURA">
      <formula>NOT(ISERROR(SEARCH("SIN FACTURA",K29)))</formula>
    </cfRule>
  </conditionalFormatting>
  <conditionalFormatting sqref="K31">
    <cfRule type="containsText" dxfId="118" priority="32" operator="containsText" text="SIN FACTURA">
      <formula>NOT(ISERROR(SEARCH("SIN FACTURA",K31)))</formula>
    </cfRule>
  </conditionalFormatting>
  <conditionalFormatting sqref="K33">
    <cfRule type="containsText" dxfId="117" priority="31" operator="containsText" text="SIN FACTURA">
      <formula>NOT(ISERROR(SEARCH("SIN FACTURA",K33)))</formula>
    </cfRule>
  </conditionalFormatting>
  <conditionalFormatting sqref="K35">
    <cfRule type="containsText" dxfId="116" priority="30" operator="containsText" text="SIN FACTURA">
      <formula>NOT(ISERROR(SEARCH("SIN FACTURA",K35)))</formula>
    </cfRule>
  </conditionalFormatting>
  <conditionalFormatting sqref="K37">
    <cfRule type="containsText" dxfId="115" priority="29" operator="containsText" text="SIN FACTURA">
      <formula>NOT(ISERROR(SEARCH("SIN FACTURA",K37)))</formula>
    </cfRule>
  </conditionalFormatting>
  <conditionalFormatting sqref="N5">
    <cfRule type="containsText" dxfId="114" priority="26" operator="containsText" text="SIN FACTURA">
      <formula>NOT(ISERROR(SEARCH("SIN FACTURA",N5)))</formula>
    </cfRule>
  </conditionalFormatting>
  <conditionalFormatting sqref="N7">
    <cfRule type="containsText" dxfId="113" priority="25" operator="containsText" text="SIN FACTURA">
      <formula>NOT(ISERROR(SEARCH("SIN FACTURA",N7)))</formula>
    </cfRule>
  </conditionalFormatting>
  <conditionalFormatting sqref="N9">
    <cfRule type="containsText" dxfId="112" priority="24" operator="containsText" text="SIN FACTURA">
      <formula>NOT(ISERROR(SEARCH("SIN FACTURA",N9)))</formula>
    </cfRule>
  </conditionalFormatting>
  <conditionalFormatting sqref="N11">
    <cfRule type="containsText" dxfId="111" priority="23" operator="containsText" text="SIN FACTURA">
      <formula>NOT(ISERROR(SEARCH("SIN FACTURA",N11)))</formula>
    </cfRule>
  </conditionalFormatting>
  <conditionalFormatting sqref="N13">
    <cfRule type="containsText" dxfId="110" priority="22" operator="containsText" text="SIN FACTURA">
      <formula>NOT(ISERROR(SEARCH("SIN FACTURA",N13)))</formula>
    </cfRule>
  </conditionalFormatting>
  <conditionalFormatting sqref="N15">
    <cfRule type="containsText" dxfId="109" priority="21" operator="containsText" text="SIN FACTURA">
      <formula>NOT(ISERROR(SEARCH("SIN FACTURA",N15)))</formula>
    </cfRule>
  </conditionalFormatting>
  <conditionalFormatting sqref="N17">
    <cfRule type="containsText" dxfId="108" priority="20" operator="containsText" text="SIN FACTURA">
      <formula>NOT(ISERROR(SEARCH("SIN FACTURA",N17)))</formula>
    </cfRule>
  </conditionalFormatting>
  <conditionalFormatting sqref="N19">
    <cfRule type="containsText" dxfId="107" priority="19" operator="containsText" text="SIN FACTURA">
      <formula>NOT(ISERROR(SEARCH("SIN FACTURA",N19)))</formula>
    </cfRule>
  </conditionalFormatting>
  <conditionalFormatting sqref="N21">
    <cfRule type="containsText" dxfId="106" priority="18" operator="containsText" text="SIN FACTURA">
      <formula>NOT(ISERROR(SEARCH("SIN FACTURA",N21)))</formula>
    </cfRule>
  </conditionalFormatting>
  <conditionalFormatting sqref="N23">
    <cfRule type="containsText" dxfId="105" priority="17" operator="containsText" text="SIN FACTURA">
      <formula>NOT(ISERROR(SEARCH("SIN FACTURA",N23)))</formula>
    </cfRule>
  </conditionalFormatting>
  <conditionalFormatting sqref="N25">
    <cfRule type="containsText" dxfId="104" priority="16" operator="containsText" text="SIN FACTURA">
      <formula>NOT(ISERROR(SEARCH("SIN FACTURA",N25)))</formula>
    </cfRule>
  </conditionalFormatting>
  <conditionalFormatting sqref="N27">
    <cfRule type="containsText" dxfId="103" priority="15" operator="containsText" text="SIN FACTURA">
      <formula>NOT(ISERROR(SEARCH("SIN FACTURA",N27)))</formula>
    </cfRule>
  </conditionalFormatting>
  <conditionalFormatting sqref="N29">
    <cfRule type="containsText" dxfId="102" priority="14" operator="containsText" text="SIN FACTURA">
      <formula>NOT(ISERROR(SEARCH("SIN FACTURA",N29)))</formula>
    </cfRule>
  </conditionalFormatting>
  <conditionalFormatting sqref="N31">
    <cfRule type="containsText" dxfId="101" priority="13" operator="containsText" text="SIN FACTURA">
      <formula>NOT(ISERROR(SEARCH("SIN FACTURA",N31)))</formula>
    </cfRule>
  </conditionalFormatting>
  <conditionalFormatting sqref="N33">
    <cfRule type="containsText" dxfId="100" priority="12" operator="containsText" text="SIN FACTURA">
      <formula>NOT(ISERROR(SEARCH("SIN FACTURA",N33)))</formula>
    </cfRule>
  </conditionalFormatting>
  <conditionalFormatting sqref="N35">
    <cfRule type="containsText" dxfId="99" priority="11" operator="containsText" text="SIN FACTURA">
      <formula>NOT(ISERROR(SEARCH("SIN FACTURA",N35)))</formula>
    </cfRule>
  </conditionalFormatting>
  <conditionalFormatting sqref="N37">
    <cfRule type="containsText" dxfId="98" priority="10" operator="containsText" text="SIN FACTURA">
      <formula>NOT(ISERROR(SEARCH("SIN FACTURA",N37)))</formula>
    </cfRule>
  </conditionalFormatting>
  <pageMargins left="0.75" right="0.75" top="1" bottom="1" header="0.5" footer="0.5"/>
  <pageSetup paperSize="9" orientation="portrait" horizontalDpi="4294967292" verticalDpi="4294967292" r:id="rId1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Y43"/>
  <sheetViews>
    <sheetView zoomScale="125" zoomScaleNormal="125" zoomScalePageLayoutView="125" workbookViewId="0">
      <pane ySplit="4" topLeftCell="A5" activePane="bottomLeft" state="frozen"/>
      <selection activeCell="D26" sqref="D26"/>
      <selection pane="bottomLeft" activeCell="A5" sqref="A5:XFD6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271</v>
      </c>
      <c r="B1" s="18" t="s">
        <v>275</v>
      </c>
      <c r="C1" s="2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2"/>
      <c r="H4" s="32"/>
      <c r="I4" s="35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43" si="0">F5-G5-H5</f>
        <v>0</v>
      </c>
      <c r="J5" s="44">
        <f t="shared" ref="J5:J43" si="1">S5+T5</f>
        <v>0</v>
      </c>
      <c r="K5" s="44">
        <f t="shared" ref="K5:K43" si="2">I5-J5</f>
        <v>0</v>
      </c>
      <c r="L5" s="45"/>
      <c r="M5" s="40"/>
      <c r="N5" s="43">
        <f t="shared" ref="N5:N43" si="3">I5-J5-M5-R5</f>
        <v>0</v>
      </c>
      <c r="O5" s="43">
        <f t="shared" ref="O5:O43" si="4">R5+S5+T5</f>
        <v>0</v>
      </c>
      <c r="P5" s="46"/>
      <c r="Q5" s="40"/>
      <c r="R5" s="47"/>
      <c r="S5" s="47"/>
      <c r="T5" s="48"/>
    </row>
    <row r="6" spans="1:25" ht="15">
      <c r="A6" s="32"/>
      <c r="B6" s="33"/>
      <c r="C6" s="34"/>
      <c r="D6" s="32"/>
      <c r="E6" s="32"/>
      <c r="F6" s="32"/>
      <c r="G6" s="37"/>
      <c r="H6" s="37"/>
      <c r="I6" s="37"/>
      <c r="J6" s="35"/>
      <c r="K6" s="35"/>
      <c r="L6" s="36"/>
      <c r="M6" s="32"/>
      <c r="N6" s="37"/>
      <c r="O6" s="37"/>
      <c r="P6" s="38"/>
      <c r="Q6" s="32"/>
      <c r="R6" s="32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3"/>
      <c r="S7" s="43"/>
      <c r="T7" s="49"/>
    </row>
    <row r="8" spans="1:25" ht="15">
      <c r="A8" s="32"/>
      <c r="B8" s="33"/>
      <c r="C8" s="34"/>
      <c r="D8" s="32"/>
      <c r="E8" s="32"/>
      <c r="F8" s="32"/>
      <c r="G8" s="37"/>
      <c r="H8" s="37"/>
      <c r="I8" s="37"/>
      <c r="J8" s="35"/>
      <c r="K8" s="35"/>
      <c r="L8" s="36"/>
      <c r="M8" s="32"/>
      <c r="N8" s="37"/>
      <c r="O8" s="37"/>
      <c r="P8" s="38"/>
      <c r="Q8" s="32"/>
      <c r="R8" s="32"/>
      <c r="S8" s="32"/>
      <c r="T8" s="39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>S9+T9</f>
        <v>0</v>
      </c>
      <c r="K9" s="44">
        <f>I9-J9</f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7"/>
      <c r="S9" s="47"/>
      <c r="T9" s="48"/>
    </row>
    <row r="10" spans="1:25" ht="15">
      <c r="A10" s="32"/>
      <c r="B10" s="33"/>
      <c r="C10" s="34"/>
      <c r="D10" s="32"/>
      <c r="E10" s="32"/>
      <c r="F10" s="32"/>
      <c r="G10" s="37"/>
      <c r="H10" s="37"/>
      <c r="I10" s="37"/>
      <c r="J10" s="35"/>
      <c r="K10" s="35"/>
      <c r="L10" s="36"/>
      <c r="M10" s="32"/>
      <c r="N10" s="37"/>
      <c r="O10" s="37"/>
      <c r="P10" s="38"/>
      <c r="Q10" s="32"/>
      <c r="R10" s="32"/>
      <c r="S10" s="32"/>
      <c r="T10" s="39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7"/>
      <c r="S11" s="47"/>
      <c r="T11" s="48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7"/>
      <c r="S13" s="47"/>
      <c r="T13" s="48"/>
    </row>
    <row r="14" spans="1:25" ht="15">
      <c r="A14" s="32"/>
      <c r="B14" s="33"/>
      <c r="C14" s="34"/>
      <c r="D14" s="32"/>
      <c r="E14" s="32"/>
      <c r="F14" s="32"/>
      <c r="G14" s="37"/>
      <c r="H14" s="37"/>
      <c r="I14" s="37"/>
      <c r="J14" s="35"/>
      <c r="K14" s="35"/>
      <c r="L14" s="36"/>
      <c r="M14" s="32"/>
      <c r="N14" s="37"/>
      <c r="O14" s="37"/>
      <c r="P14" s="38"/>
      <c r="Q14" s="32"/>
      <c r="R14" s="32"/>
      <c r="S14" s="32"/>
      <c r="T14" s="39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4"/>
      <c r="D16" s="32"/>
      <c r="E16" s="32"/>
      <c r="F16" s="32"/>
      <c r="G16" s="37"/>
      <c r="H16" s="37"/>
      <c r="I16" s="37"/>
      <c r="J16" s="35"/>
      <c r="K16" s="35"/>
      <c r="L16" s="36"/>
      <c r="M16" s="32"/>
      <c r="N16" s="37"/>
      <c r="O16" s="37"/>
      <c r="P16" s="38"/>
      <c r="Q16" s="32"/>
      <c r="R16" s="32"/>
      <c r="S16" s="32"/>
      <c r="T16" s="39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>S17+T17</f>
        <v>0</v>
      </c>
      <c r="K17" s="44">
        <f t="shared" si="2"/>
        <v>0</v>
      </c>
      <c r="L17" s="45"/>
      <c r="M17" s="40"/>
      <c r="N17" s="43">
        <f>I17-J17-M17-R17</f>
        <v>0</v>
      </c>
      <c r="O17" s="43">
        <f>R17+S17+T17</f>
        <v>0</v>
      </c>
      <c r="P17" s="46"/>
      <c r="Q17" s="40"/>
      <c r="R17" s="47"/>
      <c r="S17" s="47"/>
      <c r="T17" s="48"/>
    </row>
    <row r="18" spans="1:22" ht="15">
      <c r="A18" s="32"/>
      <c r="B18" s="33"/>
      <c r="C18" s="34"/>
      <c r="D18" s="32"/>
      <c r="E18" s="32"/>
      <c r="F18" s="32"/>
      <c r="G18" s="37"/>
      <c r="H18" s="37"/>
      <c r="I18" s="37"/>
      <c r="J18" s="35"/>
      <c r="K18" s="35"/>
      <c r="L18" s="36"/>
      <c r="M18" s="32"/>
      <c r="N18" s="37"/>
      <c r="O18" s="37"/>
      <c r="P18" s="38"/>
      <c r="Q18" s="32"/>
      <c r="R18" s="32"/>
      <c r="S18" s="32"/>
      <c r="T18" s="39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7"/>
      <c r="S19" s="47"/>
      <c r="T19" s="48"/>
    </row>
    <row r="20" spans="1:22" ht="15">
      <c r="A20" s="32"/>
      <c r="B20" s="33"/>
      <c r="C20" s="34"/>
      <c r="D20" s="32"/>
      <c r="E20" s="32"/>
      <c r="F20" s="32"/>
      <c r="G20" s="37"/>
      <c r="H20" s="37"/>
      <c r="I20" s="37"/>
      <c r="J20" s="35"/>
      <c r="K20" s="35"/>
      <c r="L20" s="36"/>
      <c r="M20" s="32"/>
      <c r="N20" s="37"/>
      <c r="O20" s="37"/>
      <c r="P20" s="38"/>
      <c r="Q20" s="32"/>
      <c r="R20" s="32"/>
      <c r="S20" s="32"/>
      <c r="T20" s="39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40"/>
      <c r="B27" s="41"/>
      <c r="C27" s="42"/>
      <c r="D27" s="40"/>
      <c r="E27" s="40"/>
      <c r="F27" s="40"/>
      <c r="G27" s="43">
        <f>F27*6%</f>
        <v>0</v>
      </c>
      <c r="H27" s="43"/>
      <c r="I27" s="44">
        <f t="shared" si="0"/>
        <v>0</v>
      </c>
      <c r="J27" s="44">
        <f t="shared" si="1"/>
        <v>0</v>
      </c>
      <c r="K27" s="44">
        <f t="shared" si="2"/>
        <v>0</v>
      </c>
      <c r="L27" s="45"/>
      <c r="M27" s="40"/>
      <c r="N27" s="43">
        <f t="shared" si="3"/>
        <v>0</v>
      </c>
      <c r="O27" s="43">
        <f t="shared" si="4"/>
        <v>0</v>
      </c>
      <c r="P27" s="46"/>
      <c r="Q27" s="40"/>
      <c r="R27" s="40"/>
      <c r="S27" s="40"/>
      <c r="T27" s="5"/>
    </row>
    <row r="28" spans="1:22" ht="15">
      <c r="A28" s="32"/>
      <c r="B28" s="33"/>
      <c r="C28" s="32"/>
      <c r="D28" s="33"/>
      <c r="E28" s="34"/>
      <c r="F28" s="32"/>
      <c r="G28" s="32"/>
      <c r="H28" s="32"/>
      <c r="I28" s="37"/>
      <c r="J28" s="37"/>
      <c r="K28" s="35"/>
      <c r="L28" s="35"/>
      <c r="M28" s="35"/>
      <c r="N28" s="36"/>
      <c r="O28" s="32"/>
      <c r="P28" s="37"/>
      <c r="Q28" s="37"/>
      <c r="R28" s="38"/>
      <c r="S28" s="32"/>
      <c r="T28" s="39"/>
      <c r="U28" s="6"/>
      <c r="V28" s="6"/>
    </row>
    <row r="29" spans="1:22" ht="15">
      <c r="A29" s="40"/>
      <c r="B29" s="41"/>
      <c r="C29" s="42"/>
      <c r="D29" s="40"/>
      <c r="E29" s="40"/>
      <c r="F29" s="40"/>
      <c r="G29" s="43">
        <f>F29*6%</f>
        <v>0</v>
      </c>
      <c r="H29" s="43"/>
      <c r="I29" s="44">
        <f t="shared" si="0"/>
        <v>0</v>
      </c>
      <c r="J29" s="44">
        <f t="shared" si="1"/>
        <v>0</v>
      </c>
      <c r="K29" s="44">
        <f t="shared" si="2"/>
        <v>0</v>
      </c>
      <c r="L29" s="45"/>
      <c r="M29" s="40"/>
      <c r="N29" s="43">
        <f t="shared" si="3"/>
        <v>0</v>
      </c>
      <c r="O29" s="43">
        <f t="shared" si="4"/>
        <v>0</v>
      </c>
      <c r="P29" s="46"/>
      <c r="Q29" s="40"/>
      <c r="R29" s="40"/>
      <c r="S29" s="40"/>
      <c r="T29" s="5"/>
    </row>
    <row r="30" spans="1:22" ht="15">
      <c r="A30" s="32"/>
      <c r="B30" s="33"/>
      <c r="C30" s="32"/>
      <c r="D30" s="33"/>
      <c r="E30" s="34"/>
      <c r="F30" s="32"/>
      <c r="G30" s="32"/>
      <c r="H30" s="32"/>
      <c r="I30" s="37"/>
      <c r="J30" s="37"/>
      <c r="K30" s="35"/>
      <c r="L30" s="35"/>
      <c r="M30" s="35"/>
      <c r="N30" s="36"/>
      <c r="O30" s="32"/>
      <c r="P30" s="37"/>
      <c r="Q30" s="37"/>
      <c r="R30" s="38"/>
      <c r="S30" s="32"/>
      <c r="T30" s="39"/>
      <c r="U30" s="6"/>
      <c r="V30" s="6"/>
    </row>
    <row r="31" spans="1:22" ht="15">
      <c r="A31" s="40"/>
      <c r="B31" s="41"/>
      <c r="C31" s="42"/>
      <c r="D31" s="40"/>
      <c r="E31" s="40"/>
      <c r="F31" s="40"/>
      <c r="G31" s="43">
        <f>F31*6%</f>
        <v>0</v>
      </c>
      <c r="H31" s="43"/>
      <c r="I31" s="44">
        <f t="shared" si="0"/>
        <v>0</v>
      </c>
      <c r="J31" s="44">
        <f t="shared" si="1"/>
        <v>0</v>
      </c>
      <c r="K31" s="44">
        <f t="shared" si="2"/>
        <v>0</v>
      </c>
      <c r="L31" s="45"/>
      <c r="M31" s="40"/>
      <c r="N31" s="43">
        <f t="shared" si="3"/>
        <v>0</v>
      </c>
      <c r="O31" s="43">
        <f t="shared" si="4"/>
        <v>0</v>
      </c>
      <c r="P31" s="46"/>
      <c r="Q31" s="40"/>
      <c r="R31" s="40"/>
      <c r="S31" s="40"/>
      <c r="T31" s="5"/>
    </row>
    <row r="32" spans="1:22" ht="15">
      <c r="A32" s="32"/>
      <c r="B32" s="33"/>
      <c r="C32" s="32"/>
      <c r="D32" s="33"/>
      <c r="E32" s="34"/>
      <c r="F32" s="32"/>
      <c r="G32" s="32"/>
      <c r="H32" s="32"/>
      <c r="I32" s="37"/>
      <c r="J32" s="37"/>
      <c r="K32" s="35"/>
      <c r="L32" s="35"/>
      <c r="M32" s="35"/>
      <c r="N32" s="36"/>
      <c r="O32" s="32"/>
      <c r="P32" s="37"/>
      <c r="Q32" s="37"/>
      <c r="R32" s="38"/>
      <c r="S32" s="32"/>
      <c r="T32" s="39"/>
      <c r="U32" s="6"/>
      <c r="V32" s="6"/>
    </row>
    <row r="33" spans="1:22" ht="15">
      <c r="A33" s="40"/>
      <c r="B33" s="41"/>
      <c r="C33" s="42"/>
      <c r="D33" s="40"/>
      <c r="E33" s="40"/>
      <c r="F33" s="40"/>
      <c r="G33" s="43">
        <f>F33*6%</f>
        <v>0</v>
      </c>
      <c r="H33" s="43"/>
      <c r="I33" s="44">
        <f t="shared" si="0"/>
        <v>0</v>
      </c>
      <c r="J33" s="44">
        <f t="shared" si="1"/>
        <v>0</v>
      </c>
      <c r="K33" s="44">
        <f t="shared" si="2"/>
        <v>0</v>
      </c>
      <c r="L33" s="45"/>
      <c r="M33" s="40"/>
      <c r="N33" s="43">
        <f t="shared" si="3"/>
        <v>0</v>
      </c>
      <c r="O33" s="43">
        <f t="shared" si="4"/>
        <v>0</v>
      </c>
      <c r="P33" s="46"/>
      <c r="Q33" s="40"/>
      <c r="R33" s="40"/>
      <c r="S33" s="40"/>
      <c r="T33" s="5"/>
    </row>
    <row r="34" spans="1:22" ht="15">
      <c r="A34" s="32"/>
      <c r="B34" s="33"/>
      <c r="C34" s="32"/>
      <c r="D34" s="33"/>
      <c r="E34" s="34"/>
      <c r="F34" s="32"/>
      <c r="G34" s="32"/>
      <c r="H34" s="32"/>
      <c r="I34" s="37"/>
      <c r="J34" s="37"/>
      <c r="K34" s="35"/>
      <c r="L34" s="35"/>
      <c r="M34" s="35"/>
      <c r="N34" s="36"/>
      <c r="O34" s="32"/>
      <c r="P34" s="37"/>
      <c r="Q34" s="37"/>
      <c r="R34" s="38"/>
      <c r="S34" s="32"/>
      <c r="T34" s="39"/>
      <c r="U34" s="6"/>
      <c r="V34" s="6"/>
    </row>
    <row r="35" spans="1:22" ht="15">
      <c r="A35" s="40"/>
      <c r="B35" s="41"/>
      <c r="C35" s="42"/>
      <c r="D35" s="40"/>
      <c r="E35" s="40"/>
      <c r="F35" s="40"/>
      <c r="G35" s="43">
        <f>F35*6%</f>
        <v>0</v>
      </c>
      <c r="H35" s="43"/>
      <c r="I35" s="44">
        <f t="shared" si="0"/>
        <v>0</v>
      </c>
      <c r="J35" s="44">
        <f t="shared" si="1"/>
        <v>0</v>
      </c>
      <c r="K35" s="44">
        <f t="shared" si="2"/>
        <v>0</v>
      </c>
      <c r="L35" s="45"/>
      <c r="M35" s="40"/>
      <c r="N35" s="43">
        <f t="shared" si="3"/>
        <v>0</v>
      </c>
      <c r="O35" s="43">
        <f t="shared" si="4"/>
        <v>0</v>
      </c>
      <c r="P35" s="46"/>
      <c r="Q35" s="40"/>
      <c r="R35" s="40"/>
      <c r="S35" s="40"/>
      <c r="T35" s="5"/>
    </row>
    <row r="36" spans="1:22" ht="15">
      <c r="A36" s="32"/>
      <c r="B36" s="33"/>
      <c r="C36" s="32"/>
      <c r="D36" s="33"/>
      <c r="E36" s="34"/>
      <c r="F36" s="32"/>
      <c r="G36" s="32"/>
      <c r="H36" s="32"/>
      <c r="I36" s="37"/>
      <c r="J36" s="37"/>
      <c r="K36" s="35"/>
      <c r="L36" s="35"/>
      <c r="M36" s="35"/>
      <c r="N36" s="36"/>
      <c r="O36" s="32"/>
      <c r="P36" s="37"/>
      <c r="Q36" s="37"/>
      <c r="R36" s="38"/>
      <c r="S36" s="32"/>
      <c r="T36" s="39"/>
      <c r="U36" s="6"/>
      <c r="V36" s="6"/>
    </row>
    <row r="37" spans="1:22" ht="15">
      <c r="A37" s="40"/>
      <c r="B37" s="41"/>
      <c r="C37" s="42"/>
      <c r="D37" s="40"/>
      <c r="E37" s="40"/>
      <c r="F37" s="40"/>
      <c r="G37" s="43">
        <f>F37*6%</f>
        <v>0</v>
      </c>
      <c r="H37" s="43"/>
      <c r="I37" s="44">
        <f t="shared" si="0"/>
        <v>0</v>
      </c>
      <c r="J37" s="44">
        <f t="shared" si="1"/>
        <v>0</v>
      </c>
      <c r="K37" s="44">
        <f t="shared" si="2"/>
        <v>0</v>
      </c>
      <c r="L37" s="45"/>
      <c r="M37" s="40"/>
      <c r="N37" s="43">
        <f t="shared" si="3"/>
        <v>0</v>
      </c>
      <c r="O37" s="43">
        <f t="shared" si="4"/>
        <v>0</v>
      </c>
      <c r="P37" s="46"/>
      <c r="Q37" s="40"/>
      <c r="R37" s="40"/>
      <c r="S37" s="40"/>
      <c r="T37" s="5"/>
    </row>
    <row r="38" spans="1:22" ht="15">
      <c r="A38" s="32"/>
      <c r="B38" s="33"/>
      <c r="C38" s="32"/>
      <c r="D38" s="33"/>
      <c r="E38" s="34"/>
      <c r="F38" s="32"/>
      <c r="G38" s="32"/>
      <c r="H38" s="32"/>
      <c r="I38" s="37"/>
      <c r="J38" s="37"/>
      <c r="K38" s="35"/>
      <c r="L38" s="35"/>
      <c r="M38" s="35"/>
      <c r="N38" s="36"/>
      <c r="O38" s="32"/>
      <c r="P38" s="37"/>
      <c r="Q38" s="37"/>
      <c r="R38" s="38"/>
      <c r="S38" s="32"/>
      <c r="T38" s="39"/>
      <c r="U38" s="6"/>
      <c r="V38" s="6"/>
    </row>
    <row r="39" spans="1:22" ht="15">
      <c r="A39" s="40"/>
      <c r="B39" s="41"/>
      <c r="C39" s="42"/>
      <c r="D39" s="40"/>
      <c r="E39" s="40"/>
      <c r="F39" s="40"/>
      <c r="G39" s="43">
        <f>F39*6%</f>
        <v>0</v>
      </c>
      <c r="H39" s="43"/>
      <c r="I39" s="44">
        <f t="shared" si="0"/>
        <v>0</v>
      </c>
      <c r="J39" s="44">
        <f t="shared" si="1"/>
        <v>0</v>
      </c>
      <c r="K39" s="44">
        <f t="shared" si="2"/>
        <v>0</v>
      </c>
      <c r="L39" s="45"/>
      <c r="M39" s="40"/>
      <c r="N39" s="43">
        <f t="shared" si="3"/>
        <v>0</v>
      </c>
      <c r="O39" s="43">
        <f t="shared" si="4"/>
        <v>0</v>
      </c>
      <c r="P39" s="46"/>
      <c r="Q39" s="40"/>
      <c r="R39" s="40"/>
      <c r="S39" s="40"/>
      <c r="T39" s="5"/>
    </row>
    <row r="40" spans="1:22" ht="15">
      <c r="A40" s="32"/>
      <c r="B40" s="33"/>
      <c r="C40" s="32"/>
      <c r="D40" s="33"/>
      <c r="E40" s="34"/>
      <c r="F40" s="32"/>
      <c r="G40" s="32"/>
      <c r="H40" s="32"/>
      <c r="I40" s="37"/>
      <c r="J40" s="37"/>
      <c r="K40" s="35"/>
      <c r="L40" s="35"/>
      <c r="M40" s="35"/>
      <c r="N40" s="36"/>
      <c r="O40" s="32"/>
      <c r="P40" s="37"/>
      <c r="Q40" s="37"/>
      <c r="R40" s="38"/>
      <c r="S40" s="32"/>
      <c r="T40" s="39"/>
      <c r="U40" s="6"/>
      <c r="V40" s="6"/>
    </row>
    <row r="41" spans="1:22" ht="15">
      <c r="A41" s="40"/>
      <c r="B41" s="41"/>
      <c r="C41" s="42"/>
      <c r="D41" s="40"/>
      <c r="E41" s="40"/>
      <c r="F41" s="40"/>
      <c r="G41" s="43">
        <f>F41*6%</f>
        <v>0</v>
      </c>
      <c r="H41" s="43"/>
      <c r="I41" s="44">
        <f t="shared" si="0"/>
        <v>0</v>
      </c>
      <c r="J41" s="44">
        <f t="shared" si="1"/>
        <v>0</v>
      </c>
      <c r="K41" s="44">
        <f t="shared" si="2"/>
        <v>0</v>
      </c>
      <c r="L41" s="45"/>
      <c r="M41" s="40"/>
      <c r="N41" s="43">
        <f t="shared" si="3"/>
        <v>0</v>
      </c>
      <c r="O41" s="43">
        <f t="shared" si="4"/>
        <v>0</v>
      </c>
      <c r="P41" s="46"/>
      <c r="Q41" s="40"/>
      <c r="R41" s="40"/>
      <c r="S41" s="40"/>
      <c r="T41" s="5"/>
    </row>
    <row r="42" spans="1:22" ht="15">
      <c r="A42" s="32"/>
      <c r="B42" s="33"/>
      <c r="C42" s="32"/>
      <c r="D42" s="33"/>
      <c r="E42" s="34"/>
      <c r="F42" s="32"/>
      <c r="G42" s="32"/>
      <c r="H42" s="32"/>
      <c r="I42" s="37"/>
      <c r="J42" s="37"/>
      <c r="K42" s="35"/>
      <c r="L42" s="35"/>
      <c r="M42" s="35"/>
      <c r="N42" s="36"/>
      <c r="O42" s="32"/>
      <c r="P42" s="37"/>
      <c r="Q42" s="37"/>
      <c r="R42" s="38"/>
      <c r="S42" s="32"/>
      <c r="T42" s="39"/>
      <c r="U42" s="6"/>
      <c r="V42" s="6"/>
    </row>
    <row r="43" spans="1:22" ht="15">
      <c r="A43" s="50"/>
      <c r="B43" s="51"/>
      <c r="C43" s="52"/>
      <c r="D43" s="50"/>
      <c r="E43" s="50"/>
      <c r="F43" s="50"/>
      <c r="G43" s="43">
        <f>F43*6%</f>
        <v>0</v>
      </c>
      <c r="H43" s="53"/>
      <c r="I43" s="78">
        <f t="shared" si="0"/>
        <v>0</v>
      </c>
      <c r="J43" s="54">
        <f t="shared" si="1"/>
        <v>0</v>
      </c>
      <c r="K43" s="54">
        <f t="shared" si="2"/>
        <v>0</v>
      </c>
      <c r="L43" s="55"/>
      <c r="M43" s="50"/>
      <c r="N43" s="53">
        <f t="shared" si="3"/>
        <v>0</v>
      </c>
      <c r="O43" s="53">
        <f t="shared" si="4"/>
        <v>0</v>
      </c>
      <c r="P43" s="56"/>
      <c r="Q43" s="50"/>
      <c r="R43" s="50"/>
      <c r="S43" s="50"/>
      <c r="T43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97" priority="26" operator="containsText" text="SIN FACTURA ">
      <formula>NOT(ISERROR(SEARCH("SIN FACTURA ",A2)))</formula>
    </cfRule>
  </conditionalFormatting>
  <conditionalFormatting sqref="J43:T43 J41:T41 J39:T39 J37:T37 J35:T35 J33:T33 J31:T31 J29:T29 J27:T27 J25:T25 J23:T23 J13:T21 A13:H21 A23:H23 A25:H25 A27:H27 A29:H29 A31:H31 A33:H33 A35:H35 A37:H37 A39:H39 A41:H41 A43:H43 A4:T4 J5:T11 I5:I43 A5:H11">
    <cfRule type="containsText" dxfId="96" priority="25" operator="containsText" text="SIN FACTURA">
      <formula>NOT(ISERROR(SEARCH("SIN FACTURA",A4)))</formula>
    </cfRule>
  </conditionalFormatting>
  <conditionalFormatting sqref="C12:H12 J12:V12">
    <cfRule type="containsText" dxfId="95" priority="24" operator="containsText" text="SIN FACTURA">
      <formula>NOT(ISERROR(SEARCH("SIN FACTURA",C12)))</formula>
    </cfRule>
  </conditionalFormatting>
  <conditionalFormatting sqref="C22:H22 J22:V22">
    <cfRule type="containsText" dxfId="94" priority="23" operator="containsText" text="SIN FACTURA">
      <formula>NOT(ISERROR(SEARCH("SIN FACTURA",C22)))</formula>
    </cfRule>
  </conditionalFormatting>
  <conditionalFormatting sqref="C24:H24 J24:V24">
    <cfRule type="containsText" dxfId="93" priority="22" operator="containsText" text="SIN FACTURA">
      <formula>NOT(ISERROR(SEARCH("SIN FACTURA",C24)))</formula>
    </cfRule>
  </conditionalFormatting>
  <conditionalFormatting sqref="C26:H26 J26:V26">
    <cfRule type="containsText" dxfId="92" priority="21" operator="containsText" text="SIN FACTURA">
      <formula>NOT(ISERROR(SEARCH("SIN FACTURA",C26)))</formula>
    </cfRule>
  </conditionalFormatting>
  <conditionalFormatting sqref="C28:H28 J28:V28">
    <cfRule type="containsText" dxfId="91" priority="20" operator="containsText" text="SIN FACTURA">
      <formula>NOT(ISERROR(SEARCH("SIN FACTURA",C28)))</formula>
    </cfRule>
  </conditionalFormatting>
  <conditionalFormatting sqref="C30:H30 J30:V30">
    <cfRule type="containsText" dxfId="90" priority="19" operator="containsText" text="SIN FACTURA">
      <formula>NOT(ISERROR(SEARCH("SIN FACTURA",C30)))</formula>
    </cfRule>
  </conditionalFormatting>
  <conditionalFormatting sqref="C32:H32 J32:V32">
    <cfRule type="containsText" dxfId="89" priority="18" operator="containsText" text="SIN FACTURA">
      <formula>NOT(ISERROR(SEARCH("SIN FACTURA",C32)))</formula>
    </cfRule>
  </conditionalFormatting>
  <conditionalFormatting sqref="C34:H34 J34:V34">
    <cfRule type="containsText" dxfId="88" priority="17" operator="containsText" text="SIN FACTURA">
      <formula>NOT(ISERROR(SEARCH("SIN FACTURA",C34)))</formula>
    </cfRule>
  </conditionalFormatting>
  <conditionalFormatting sqref="C36:H36 J36:V36">
    <cfRule type="containsText" dxfId="87" priority="16" operator="containsText" text="SIN FACTURA">
      <formula>NOT(ISERROR(SEARCH("SIN FACTURA",C36)))</formula>
    </cfRule>
  </conditionalFormatting>
  <conditionalFormatting sqref="C38:H38 J38:V38">
    <cfRule type="containsText" dxfId="86" priority="15" operator="containsText" text="SIN FACTURA">
      <formula>NOT(ISERROR(SEARCH("SIN FACTURA",C38)))</formula>
    </cfRule>
  </conditionalFormatting>
  <conditionalFormatting sqref="C40:H40 J40:V40">
    <cfRule type="containsText" dxfId="85" priority="14" operator="containsText" text="SIN FACTURA">
      <formula>NOT(ISERROR(SEARCH("SIN FACTURA",C40)))</formula>
    </cfRule>
  </conditionalFormatting>
  <conditionalFormatting sqref="C42:H42 J42:V42">
    <cfRule type="containsText" dxfId="84" priority="13" operator="containsText" text="SIN FACTURA">
      <formula>NOT(ISERROR(SEARCH("SIN FACTURA",C42)))</formula>
    </cfRule>
  </conditionalFormatting>
  <conditionalFormatting sqref="A12:B12">
    <cfRule type="containsText" dxfId="83" priority="12" operator="containsText" text="SIN FACTURA">
      <formula>NOT(ISERROR(SEARCH("SIN FACTURA",A12)))</formula>
    </cfRule>
  </conditionalFormatting>
  <conditionalFormatting sqref="A22:B22">
    <cfRule type="containsText" dxfId="82" priority="11" operator="containsText" text="SIN FACTURA">
      <formula>NOT(ISERROR(SEARCH("SIN FACTURA",A22)))</formula>
    </cfRule>
  </conditionalFormatting>
  <conditionalFormatting sqref="A24:B24">
    <cfRule type="containsText" dxfId="81" priority="10" operator="containsText" text="SIN FACTURA">
      <formula>NOT(ISERROR(SEARCH("SIN FACTURA",A24)))</formula>
    </cfRule>
  </conditionalFormatting>
  <conditionalFormatting sqref="A26:B26">
    <cfRule type="containsText" dxfId="80" priority="9" operator="containsText" text="SIN FACTURA">
      <formula>NOT(ISERROR(SEARCH("SIN FACTURA",A26)))</formula>
    </cfRule>
  </conditionalFormatting>
  <conditionalFormatting sqref="A28:B28">
    <cfRule type="containsText" dxfId="79" priority="8" operator="containsText" text="SIN FACTURA">
      <formula>NOT(ISERROR(SEARCH("SIN FACTURA",A28)))</formula>
    </cfRule>
  </conditionalFormatting>
  <conditionalFormatting sqref="A30:B30">
    <cfRule type="containsText" dxfId="78" priority="7" operator="containsText" text="SIN FACTURA">
      <formula>NOT(ISERROR(SEARCH("SIN FACTURA",A30)))</formula>
    </cfRule>
  </conditionalFormatting>
  <conditionalFormatting sqref="A42:B42">
    <cfRule type="containsText" dxfId="77" priority="1" operator="containsText" text="SIN FACTURA">
      <formula>NOT(ISERROR(SEARCH("SIN FACTURA",A42)))</formula>
    </cfRule>
  </conditionalFormatting>
  <conditionalFormatting sqref="A32:B32">
    <cfRule type="containsText" dxfId="76" priority="6" operator="containsText" text="SIN FACTURA">
      <formula>NOT(ISERROR(SEARCH("SIN FACTURA",A32)))</formula>
    </cfRule>
  </conditionalFormatting>
  <conditionalFormatting sqref="A34:B34">
    <cfRule type="containsText" dxfId="75" priority="5" operator="containsText" text="SIN FACTURA">
      <formula>NOT(ISERROR(SEARCH("SIN FACTURA",A34)))</formula>
    </cfRule>
  </conditionalFormatting>
  <conditionalFormatting sqref="A36:B36">
    <cfRule type="containsText" dxfId="74" priority="4" operator="containsText" text="SIN FACTURA">
      <formula>NOT(ISERROR(SEARCH("SIN FACTURA",A36)))</formula>
    </cfRule>
  </conditionalFormatting>
  <conditionalFormatting sqref="A38:B38">
    <cfRule type="containsText" dxfId="73" priority="3" operator="containsText" text="SIN FACTURA">
      <formula>NOT(ISERROR(SEARCH("SIN FACTURA",A38)))</formula>
    </cfRule>
  </conditionalFormatting>
  <conditionalFormatting sqref="A40:B40">
    <cfRule type="containsText" dxfId="72" priority="2" operator="containsText" text="SIN FACTURA">
      <formula>NOT(ISERROR(SEARCH("SIN FACTURA",A40)))</formula>
    </cfRule>
  </conditionalFormatting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>
  <sheetPr codeName="Hoja190"/>
  <dimension ref="A1:Y27"/>
  <sheetViews>
    <sheetView zoomScale="125" zoomScaleNormal="125" zoomScalePageLayoutView="125" workbookViewId="0">
      <pane ySplit="3" topLeftCell="A4" activePane="bottomLeft" state="frozen"/>
      <selection activeCell="I19" sqref="I19"/>
      <selection pane="bottomLeft" activeCell="E1" sqref="E1"/>
    </sheetView>
  </sheetViews>
  <sheetFormatPr baseColWidth="10" defaultColWidth="10.875" defaultRowHeight="15.75"/>
  <cols>
    <col min="1" max="1" width="16" style="1" bestFit="1" customWidth="1"/>
    <col min="2" max="2" width="10.875" style="2"/>
    <col min="4" max="4" width="9.625" style="9" customWidth="1"/>
    <col min="5" max="5" width="10" style="1" customWidth="1"/>
    <col min="6" max="6" width="9.375" style="1" customWidth="1"/>
    <col min="7" max="8" width="9.125" style="1" customWidth="1"/>
    <col min="9" max="9" width="9" style="1" customWidth="1"/>
    <col min="10" max="10" width="10.875" style="1"/>
    <col min="11" max="11" width="9.375" style="1" customWidth="1"/>
    <col min="12" max="12" width="9.875" style="1" customWidth="1"/>
    <col min="13" max="13" width="10.125" style="1" customWidth="1"/>
    <col min="14" max="16" width="10.875" style="1"/>
    <col min="17" max="17" width="15.125" style="3" bestFit="1" customWidth="1"/>
    <col min="18" max="18" width="10.875" style="1"/>
    <col min="19" max="19" width="10.125" style="1" customWidth="1"/>
    <col min="20" max="20" width="9.5" style="1" customWidth="1"/>
    <col min="21" max="21" width="8.5" style="1" customWidth="1"/>
    <col min="22" max="16384" width="10.875" style="1"/>
  </cols>
  <sheetData>
    <row r="1" spans="1:25" ht="42" customHeight="1" thickBot="1">
      <c r="A1" s="4" t="s">
        <v>159</v>
      </c>
      <c r="B1" s="18"/>
      <c r="C1" s="20">
        <v>458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9"/>
      <c r="Q1" s="5"/>
      <c r="R1" s="5"/>
      <c r="S1" s="5"/>
      <c r="T1" s="5"/>
    </row>
    <row r="2" spans="1:25" ht="27.95" customHeight="1" thickBot="1">
      <c r="A2" s="297" t="s">
        <v>3</v>
      </c>
      <c r="B2" s="298"/>
      <c r="C2" s="299" t="s">
        <v>4</v>
      </c>
      <c r="D2" s="300"/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</row>
    <row r="3" spans="1:25" ht="57" customHeight="1">
      <c r="A3" s="25" t="s">
        <v>1</v>
      </c>
      <c r="B3" s="26" t="s">
        <v>2</v>
      </c>
      <c r="C3" s="27" t="s">
        <v>5</v>
      </c>
      <c r="D3" s="27" t="s">
        <v>6</v>
      </c>
      <c r="E3" s="27" t="s">
        <v>7</v>
      </c>
      <c r="F3" s="27" t="s">
        <v>8</v>
      </c>
      <c r="G3" s="28" t="s">
        <v>13</v>
      </c>
      <c r="H3" s="28" t="s">
        <v>114</v>
      </c>
      <c r="I3" s="28" t="s">
        <v>9</v>
      </c>
      <c r="J3" s="28" t="s">
        <v>10</v>
      </c>
      <c r="K3" s="28" t="s">
        <v>11</v>
      </c>
      <c r="L3" s="29" t="s">
        <v>14</v>
      </c>
      <c r="M3" s="27" t="s">
        <v>16</v>
      </c>
      <c r="N3" s="27" t="s">
        <v>17</v>
      </c>
      <c r="O3" s="27" t="s">
        <v>18</v>
      </c>
      <c r="P3" s="30" t="s">
        <v>24</v>
      </c>
      <c r="Q3" s="28" t="s">
        <v>20</v>
      </c>
      <c r="R3" s="28" t="s">
        <v>21</v>
      </c>
      <c r="S3" s="28" t="s">
        <v>22</v>
      </c>
      <c r="T3" s="31" t="s">
        <v>23</v>
      </c>
      <c r="X3" s="8"/>
      <c r="Y3" s="8"/>
    </row>
    <row r="4" spans="1:25" ht="15">
      <c r="A4" s="32"/>
      <c r="B4" s="33"/>
      <c r="C4" s="34"/>
      <c r="D4" s="32"/>
      <c r="E4" s="32"/>
      <c r="F4" s="32"/>
      <c r="G4" s="37"/>
      <c r="H4" s="37"/>
      <c r="I4" s="37"/>
      <c r="J4" s="35"/>
      <c r="K4" s="35"/>
      <c r="L4" s="36"/>
      <c r="M4" s="32"/>
      <c r="N4" s="37"/>
      <c r="O4" s="37"/>
      <c r="P4" s="38"/>
      <c r="Q4" s="32"/>
      <c r="R4" s="32"/>
      <c r="S4" s="32"/>
      <c r="T4" s="39"/>
    </row>
    <row r="5" spans="1:25" ht="15">
      <c r="A5" s="40"/>
      <c r="B5" s="41"/>
      <c r="C5" s="42"/>
      <c r="D5" s="40"/>
      <c r="E5" s="40"/>
      <c r="F5" s="40"/>
      <c r="G5" s="43">
        <f>F5*6%</f>
        <v>0</v>
      </c>
      <c r="H5" s="43"/>
      <c r="I5" s="44">
        <f t="shared" ref="I5:I27" si="0">F5-G5-H5</f>
        <v>0</v>
      </c>
      <c r="J5" s="44">
        <f t="shared" ref="J5:J27" si="1">S5+T5</f>
        <v>0</v>
      </c>
      <c r="K5" s="44">
        <f t="shared" ref="K5:K27" si="2">I5-J5</f>
        <v>0</v>
      </c>
      <c r="L5" s="45"/>
      <c r="M5" s="40"/>
      <c r="N5" s="43">
        <f t="shared" ref="N5:N27" si="3">I5-J5-M5-R5</f>
        <v>0</v>
      </c>
      <c r="O5" s="43">
        <f t="shared" ref="O5:O27" si="4">R5+S5+T5</f>
        <v>0</v>
      </c>
      <c r="P5" s="46"/>
      <c r="Q5" s="40"/>
      <c r="R5" s="40"/>
      <c r="S5" s="40"/>
      <c r="T5" s="5"/>
    </row>
    <row r="6" spans="1:25" ht="15">
      <c r="A6" s="32"/>
      <c r="B6" s="33"/>
      <c r="C6" s="32"/>
      <c r="D6" s="33"/>
      <c r="E6" s="34"/>
      <c r="F6" s="32"/>
      <c r="G6" s="32"/>
      <c r="H6" s="32"/>
      <c r="I6" s="37"/>
      <c r="J6" s="37"/>
      <c r="K6" s="35"/>
      <c r="L6" s="35"/>
      <c r="M6" s="35"/>
      <c r="N6" s="36"/>
      <c r="O6" s="32"/>
      <c r="P6" s="37"/>
      <c r="Q6" s="37"/>
      <c r="R6" s="38"/>
      <c r="S6" s="32"/>
      <c r="T6" s="39"/>
    </row>
    <row r="7" spans="1:25" ht="15">
      <c r="A7" s="40"/>
      <c r="B7" s="41"/>
      <c r="C7" s="42"/>
      <c r="D7" s="40"/>
      <c r="E7" s="40"/>
      <c r="F7" s="40"/>
      <c r="G7" s="43">
        <f>F7*6%</f>
        <v>0</v>
      </c>
      <c r="H7" s="43"/>
      <c r="I7" s="44">
        <f t="shared" si="0"/>
        <v>0</v>
      </c>
      <c r="J7" s="44">
        <f t="shared" si="1"/>
        <v>0</v>
      </c>
      <c r="K7" s="44">
        <f t="shared" si="2"/>
        <v>0</v>
      </c>
      <c r="L7" s="45"/>
      <c r="M7" s="40"/>
      <c r="N7" s="43">
        <f t="shared" si="3"/>
        <v>0</v>
      </c>
      <c r="O7" s="43">
        <f t="shared" si="4"/>
        <v>0</v>
      </c>
      <c r="P7" s="46"/>
      <c r="Q7" s="40"/>
      <c r="R7" s="40"/>
      <c r="S7" s="40"/>
      <c r="T7" s="5"/>
    </row>
    <row r="8" spans="1:25" ht="15">
      <c r="A8" s="32"/>
      <c r="B8" s="33"/>
      <c r="C8" s="32"/>
      <c r="D8" s="33"/>
      <c r="E8" s="34"/>
      <c r="F8" s="32"/>
      <c r="G8" s="32"/>
      <c r="H8" s="32"/>
      <c r="I8" s="37"/>
      <c r="J8" s="37"/>
      <c r="K8" s="35"/>
      <c r="L8" s="35"/>
      <c r="M8" s="35"/>
      <c r="N8" s="36"/>
      <c r="O8" s="32"/>
      <c r="P8" s="37"/>
      <c r="Q8" s="37"/>
      <c r="R8" s="38"/>
      <c r="S8" s="32"/>
      <c r="T8" s="39"/>
      <c r="U8" s="6"/>
      <c r="V8" s="6"/>
    </row>
    <row r="9" spans="1:25" ht="15">
      <c r="A9" s="40"/>
      <c r="B9" s="41"/>
      <c r="C9" s="42"/>
      <c r="D9" s="40"/>
      <c r="E9" s="40"/>
      <c r="F9" s="40"/>
      <c r="G9" s="43">
        <f>F9*6%</f>
        <v>0</v>
      </c>
      <c r="H9" s="43"/>
      <c r="I9" s="44">
        <f t="shared" si="0"/>
        <v>0</v>
      </c>
      <c r="J9" s="44">
        <f t="shared" si="1"/>
        <v>0</v>
      </c>
      <c r="K9" s="44">
        <f t="shared" si="2"/>
        <v>0</v>
      </c>
      <c r="L9" s="45"/>
      <c r="M9" s="40"/>
      <c r="N9" s="43">
        <f t="shared" si="3"/>
        <v>0</v>
      </c>
      <c r="O9" s="43">
        <f t="shared" si="4"/>
        <v>0</v>
      </c>
      <c r="P9" s="46"/>
      <c r="Q9" s="40"/>
      <c r="R9" s="40"/>
      <c r="S9" s="40"/>
      <c r="T9" s="5"/>
    </row>
    <row r="10" spans="1:25" ht="15">
      <c r="A10" s="32"/>
      <c r="B10" s="33"/>
      <c r="C10" s="32"/>
      <c r="D10" s="33"/>
      <c r="E10" s="34"/>
      <c r="F10" s="32"/>
      <c r="G10" s="32"/>
      <c r="H10" s="32"/>
      <c r="I10" s="37"/>
      <c r="J10" s="37"/>
      <c r="K10" s="35"/>
      <c r="L10" s="35"/>
      <c r="M10" s="35"/>
      <c r="N10" s="36"/>
      <c r="O10" s="32"/>
      <c r="P10" s="37"/>
      <c r="Q10" s="37"/>
      <c r="R10" s="38"/>
      <c r="S10" s="32"/>
      <c r="T10" s="39"/>
      <c r="U10" s="6"/>
      <c r="V10" s="6"/>
    </row>
    <row r="11" spans="1:25" ht="15">
      <c r="A11" s="40"/>
      <c r="B11" s="41"/>
      <c r="C11" s="42"/>
      <c r="D11" s="40"/>
      <c r="E11" s="40"/>
      <c r="F11" s="40"/>
      <c r="G11" s="43">
        <f>F11*6%</f>
        <v>0</v>
      </c>
      <c r="H11" s="43"/>
      <c r="I11" s="44">
        <f t="shared" si="0"/>
        <v>0</v>
      </c>
      <c r="J11" s="44">
        <f t="shared" si="1"/>
        <v>0</v>
      </c>
      <c r="K11" s="44">
        <f t="shared" si="2"/>
        <v>0</v>
      </c>
      <c r="L11" s="45"/>
      <c r="M11" s="40"/>
      <c r="N11" s="43">
        <f t="shared" si="3"/>
        <v>0</v>
      </c>
      <c r="O11" s="43">
        <f t="shared" si="4"/>
        <v>0</v>
      </c>
      <c r="P11" s="46"/>
      <c r="Q11" s="40"/>
      <c r="R11" s="40"/>
      <c r="S11" s="40"/>
      <c r="T11" s="5"/>
    </row>
    <row r="12" spans="1:25" ht="15">
      <c r="A12" s="32"/>
      <c r="B12" s="33"/>
      <c r="C12" s="32"/>
      <c r="D12" s="33"/>
      <c r="E12" s="34"/>
      <c r="F12" s="32"/>
      <c r="G12" s="32"/>
      <c r="H12" s="32"/>
      <c r="I12" s="37"/>
      <c r="J12" s="37"/>
      <c r="K12" s="35"/>
      <c r="L12" s="35"/>
      <c r="M12" s="35"/>
      <c r="N12" s="36"/>
      <c r="O12" s="32"/>
      <c r="P12" s="37"/>
      <c r="Q12" s="37"/>
      <c r="R12" s="38"/>
      <c r="S12" s="32"/>
      <c r="T12" s="39"/>
      <c r="U12" s="6"/>
      <c r="V12" s="6"/>
    </row>
    <row r="13" spans="1:25" ht="15">
      <c r="A13" s="40"/>
      <c r="B13" s="41"/>
      <c r="C13" s="42"/>
      <c r="D13" s="40"/>
      <c r="E13" s="40"/>
      <c r="F13" s="40"/>
      <c r="G13" s="43">
        <f>F13*6%</f>
        <v>0</v>
      </c>
      <c r="H13" s="43"/>
      <c r="I13" s="44">
        <f t="shared" si="0"/>
        <v>0</v>
      </c>
      <c r="J13" s="44">
        <f t="shared" si="1"/>
        <v>0</v>
      </c>
      <c r="K13" s="44">
        <f t="shared" si="2"/>
        <v>0</v>
      </c>
      <c r="L13" s="45"/>
      <c r="M13" s="40"/>
      <c r="N13" s="43">
        <f t="shared" si="3"/>
        <v>0</v>
      </c>
      <c r="O13" s="43">
        <f t="shared" si="4"/>
        <v>0</v>
      </c>
      <c r="P13" s="46"/>
      <c r="Q13" s="40"/>
      <c r="R13" s="40"/>
      <c r="S13" s="40"/>
      <c r="T13" s="5"/>
    </row>
    <row r="14" spans="1:25" ht="15">
      <c r="A14" s="32"/>
      <c r="B14" s="33"/>
      <c r="C14" s="32"/>
      <c r="D14" s="33"/>
      <c r="E14" s="34"/>
      <c r="F14" s="32"/>
      <c r="G14" s="32"/>
      <c r="H14" s="32"/>
      <c r="I14" s="37"/>
      <c r="J14" s="37"/>
      <c r="K14" s="35"/>
      <c r="L14" s="35"/>
      <c r="M14" s="35"/>
      <c r="N14" s="36"/>
      <c r="O14" s="32"/>
      <c r="P14" s="37"/>
      <c r="Q14" s="37"/>
      <c r="R14" s="38"/>
      <c r="S14" s="32"/>
      <c r="T14" s="39"/>
      <c r="U14" s="6"/>
      <c r="V14" s="6"/>
    </row>
    <row r="15" spans="1:25" ht="15">
      <c r="A15" s="40"/>
      <c r="B15" s="41"/>
      <c r="C15" s="42"/>
      <c r="D15" s="40"/>
      <c r="E15" s="40"/>
      <c r="F15" s="40"/>
      <c r="G15" s="43">
        <f>F15*6%</f>
        <v>0</v>
      </c>
      <c r="H15" s="43"/>
      <c r="I15" s="44">
        <f t="shared" si="0"/>
        <v>0</v>
      </c>
      <c r="J15" s="44">
        <f t="shared" si="1"/>
        <v>0</v>
      </c>
      <c r="K15" s="44">
        <f t="shared" si="2"/>
        <v>0</v>
      </c>
      <c r="L15" s="45"/>
      <c r="M15" s="40"/>
      <c r="N15" s="43">
        <f t="shared" si="3"/>
        <v>0</v>
      </c>
      <c r="O15" s="43">
        <f t="shared" si="4"/>
        <v>0</v>
      </c>
      <c r="P15" s="46"/>
      <c r="Q15" s="40"/>
      <c r="R15" s="40"/>
      <c r="S15" s="40"/>
      <c r="T15" s="5"/>
    </row>
    <row r="16" spans="1:25" ht="15">
      <c r="A16" s="32"/>
      <c r="B16" s="33"/>
      <c r="C16" s="32"/>
      <c r="D16" s="33"/>
      <c r="E16" s="34"/>
      <c r="F16" s="32"/>
      <c r="G16" s="32"/>
      <c r="H16" s="32"/>
      <c r="I16" s="37"/>
      <c r="J16" s="37"/>
      <c r="K16" s="35"/>
      <c r="L16" s="35"/>
      <c r="M16" s="35"/>
      <c r="N16" s="36"/>
      <c r="O16" s="32"/>
      <c r="P16" s="37"/>
      <c r="Q16" s="37"/>
      <c r="R16" s="38"/>
      <c r="S16" s="32"/>
      <c r="T16" s="39"/>
      <c r="U16" s="6"/>
      <c r="V16" s="6"/>
    </row>
    <row r="17" spans="1:22" ht="15">
      <c r="A17" s="40"/>
      <c r="B17" s="41"/>
      <c r="C17" s="42"/>
      <c r="D17" s="40"/>
      <c r="E17" s="40"/>
      <c r="F17" s="40"/>
      <c r="G17" s="43">
        <f>F17*6%</f>
        <v>0</v>
      </c>
      <c r="H17" s="43"/>
      <c r="I17" s="44">
        <f t="shared" si="0"/>
        <v>0</v>
      </c>
      <c r="J17" s="44">
        <f t="shared" si="1"/>
        <v>0</v>
      </c>
      <c r="K17" s="44">
        <f t="shared" si="2"/>
        <v>0</v>
      </c>
      <c r="L17" s="45"/>
      <c r="M17" s="40"/>
      <c r="N17" s="43">
        <f t="shared" si="3"/>
        <v>0</v>
      </c>
      <c r="O17" s="43">
        <f t="shared" si="4"/>
        <v>0</v>
      </c>
      <c r="P17" s="46"/>
      <c r="Q17" s="40"/>
      <c r="R17" s="40"/>
      <c r="S17" s="40"/>
      <c r="T17" s="5"/>
    </row>
    <row r="18" spans="1:22" ht="15">
      <c r="A18" s="32"/>
      <c r="B18" s="33"/>
      <c r="C18" s="32"/>
      <c r="D18" s="33"/>
      <c r="E18" s="34"/>
      <c r="F18" s="32"/>
      <c r="G18" s="32"/>
      <c r="H18" s="32"/>
      <c r="I18" s="37"/>
      <c r="J18" s="37"/>
      <c r="K18" s="35"/>
      <c r="L18" s="35"/>
      <c r="M18" s="35"/>
      <c r="N18" s="36"/>
      <c r="O18" s="32"/>
      <c r="P18" s="37"/>
      <c r="Q18" s="37"/>
      <c r="R18" s="38"/>
      <c r="S18" s="32"/>
      <c r="T18" s="39"/>
      <c r="U18" s="6"/>
      <c r="V18" s="6"/>
    </row>
    <row r="19" spans="1:22" ht="15">
      <c r="A19" s="40"/>
      <c r="B19" s="41"/>
      <c r="C19" s="42"/>
      <c r="D19" s="40"/>
      <c r="E19" s="40"/>
      <c r="F19" s="40"/>
      <c r="G19" s="43">
        <f>F19*6%</f>
        <v>0</v>
      </c>
      <c r="H19" s="43"/>
      <c r="I19" s="44">
        <f t="shared" si="0"/>
        <v>0</v>
      </c>
      <c r="J19" s="44">
        <f t="shared" si="1"/>
        <v>0</v>
      </c>
      <c r="K19" s="44">
        <f t="shared" si="2"/>
        <v>0</v>
      </c>
      <c r="L19" s="45"/>
      <c r="M19" s="40"/>
      <c r="N19" s="43">
        <f t="shared" si="3"/>
        <v>0</v>
      </c>
      <c r="O19" s="43">
        <f t="shared" si="4"/>
        <v>0</v>
      </c>
      <c r="P19" s="46"/>
      <c r="Q19" s="40"/>
      <c r="R19" s="40"/>
      <c r="S19" s="40"/>
      <c r="T19" s="5"/>
    </row>
    <row r="20" spans="1:22" ht="15">
      <c r="A20" s="32"/>
      <c r="B20" s="33"/>
      <c r="C20" s="32"/>
      <c r="D20" s="33"/>
      <c r="E20" s="34"/>
      <c r="F20" s="32"/>
      <c r="G20" s="32"/>
      <c r="H20" s="32"/>
      <c r="I20" s="37"/>
      <c r="J20" s="37"/>
      <c r="K20" s="35"/>
      <c r="L20" s="35"/>
      <c r="M20" s="35"/>
      <c r="N20" s="36"/>
      <c r="O20" s="32"/>
      <c r="P20" s="37"/>
      <c r="Q20" s="37"/>
      <c r="R20" s="38"/>
      <c r="S20" s="32"/>
      <c r="T20" s="39"/>
      <c r="U20" s="6"/>
      <c r="V20" s="6"/>
    </row>
    <row r="21" spans="1:22" ht="15">
      <c r="A21" s="40"/>
      <c r="B21" s="41"/>
      <c r="C21" s="42"/>
      <c r="D21" s="40"/>
      <c r="E21" s="40"/>
      <c r="F21" s="40"/>
      <c r="G21" s="43">
        <f>F21*6%</f>
        <v>0</v>
      </c>
      <c r="H21" s="43"/>
      <c r="I21" s="44">
        <f t="shared" si="0"/>
        <v>0</v>
      </c>
      <c r="J21" s="44">
        <f t="shared" si="1"/>
        <v>0</v>
      </c>
      <c r="K21" s="44">
        <f t="shared" si="2"/>
        <v>0</v>
      </c>
      <c r="L21" s="45"/>
      <c r="M21" s="40"/>
      <c r="N21" s="43">
        <f t="shared" si="3"/>
        <v>0</v>
      </c>
      <c r="O21" s="43">
        <f t="shared" si="4"/>
        <v>0</v>
      </c>
      <c r="P21" s="46"/>
      <c r="Q21" s="40"/>
      <c r="R21" s="40"/>
      <c r="S21" s="40"/>
      <c r="T21" s="5"/>
    </row>
    <row r="22" spans="1:22" ht="15">
      <c r="A22" s="32"/>
      <c r="B22" s="33"/>
      <c r="C22" s="32"/>
      <c r="D22" s="33"/>
      <c r="E22" s="34"/>
      <c r="F22" s="32"/>
      <c r="G22" s="32"/>
      <c r="H22" s="32"/>
      <c r="I22" s="37"/>
      <c r="J22" s="37"/>
      <c r="K22" s="35"/>
      <c r="L22" s="35"/>
      <c r="M22" s="35"/>
      <c r="N22" s="36"/>
      <c r="O22" s="32"/>
      <c r="P22" s="37"/>
      <c r="Q22" s="37"/>
      <c r="R22" s="38"/>
      <c r="S22" s="32"/>
      <c r="T22" s="39"/>
      <c r="U22" s="6"/>
      <c r="V22" s="6"/>
    </row>
    <row r="23" spans="1:22" ht="15">
      <c r="A23" s="40"/>
      <c r="B23" s="41"/>
      <c r="C23" s="42"/>
      <c r="D23" s="40"/>
      <c r="E23" s="40"/>
      <c r="F23" s="40"/>
      <c r="G23" s="43">
        <f>F23*6%</f>
        <v>0</v>
      </c>
      <c r="H23" s="43"/>
      <c r="I23" s="44">
        <f t="shared" si="0"/>
        <v>0</v>
      </c>
      <c r="J23" s="44">
        <f t="shared" si="1"/>
        <v>0</v>
      </c>
      <c r="K23" s="44">
        <f t="shared" si="2"/>
        <v>0</v>
      </c>
      <c r="L23" s="45"/>
      <c r="M23" s="40"/>
      <c r="N23" s="43">
        <f t="shared" si="3"/>
        <v>0</v>
      </c>
      <c r="O23" s="43">
        <f t="shared" si="4"/>
        <v>0</v>
      </c>
      <c r="P23" s="46"/>
      <c r="Q23" s="40"/>
      <c r="R23" s="40"/>
      <c r="S23" s="40"/>
      <c r="T23" s="5"/>
    </row>
    <row r="24" spans="1:22" ht="15">
      <c r="A24" s="32"/>
      <c r="B24" s="33"/>
      <c r="C24" s="32"/>
      <c r="D24" s="33"/>
      <c r="E24" s="34"/>
      <c r="F24" s="32"/>
      <c r="G24" s="32"/>
      <c r="H24" s="32"/>
      <c r="I24" s="37"/>
      <c r="J24" s="37"/>
      <c r="K24" s="35"/>
      <c r="L24" s="35"/>
      <c r="M24" s="35"/>
      <c r="N24" s="36"/>
      <c r="O24" s="32"/>
      <c r="P24" s="37"/>
      <c r="Q24" s="37"/>
      <c r="R24" s="38"/>
      <c r="S24" s="32"/>
      <c r="T24" s="39"/>
      <c r="U24" s="6"/>
      <c r="V24" s="6"/>
    </row>
    <row r="25" spans="1:22" ht="15">
      <c r="A25" s="40"/>
      <c r="B25" s="41"/>
      <c r="C25" s="42"/>
      <c r="D25" s="40"/>
      <c r="E25" s="40"/>
      <c r="F25" s="40"/>
      <c r="G25" s="43">
        <f>F25*6%</f>
        <v>0</v>
      </c>
      <c r="H25" s="43"/>
      <c r="I25" s="44">
        <f t="shared" si="0"/>
        <v>0</v>
      </c>
      <c r="J25" s="44">
        <f t="shared" si="1"/>
        <v>0</v>
      </c>
      <c r="K25" s="44">
        <f t="shared" si="2"/>
        <v>0</v>
      </c>
      <c r="L25" s="45"/>
      <c r="M25" s="40"/>
      <c r="N25" s="43">
        <f t="shared" si="3"/>
        <v>0</v>
      </c>
      <c r="O25" s="43">
        <f t="shared" si="4"/>
        <v>0</v>
      </c>
      <c r="P25" s="46"/>
      <c r="Q25" s="40"/>
      <c r="R25" s="40"/>
      <c r="S25" s="40"/>
      <c r="T25" s="5"/>
    </row>
    <row r="26" spans="1:22" ht="15">
      <c r="A26" s="32"/>
      <c r="B26" s="33"/>
      <c r="C26" s="32"/>
      <c r="D26" s="33"/>
      <c r="E26" s="34"/>
      <c r="F26" s="32"/>
      <c r="G26" s="32"/>
      <c r="H26" s="32"/>
      <c r="I26" s="37"/>
      <c r="J26" s="37"/>
      <c r="K26" s="35"/>
      <c r="L26" s="35"/>
      <c r="M26" s="35"/>
      <c r="N26" s="36"/>
      <c r="O26" s="32"/>
      <c r="P26" s="37"/>
      <c r="Q26" s="37"/>
      <c r="R26" s="38"/>
      <c r="S26" s="32"/>
      <c r="T26" s="39"/>
      <c r="U26" s="6"/>
      <c r="V26" s="6"/>
    </row>
    <row r="27" spans="1:22" ht="15">
      <c r="A27" s="50"/>
      <c r="B27" s="51"/>
      <c r="C27" s="52"/>
      <c r="D27" s="50"/>
      <c r="E27" s="50"/>
      <c r="F27" s="50"/>
      <c r="G27" s="303">
        <f>F27*6%</f>
        <v>0</v>
      </c>
      <c r="H27" s="53"/>
      <c r="I27" s="78">
        <f t="shared" si="0"/>
        <v>0</v>
      </c>
      <c r="J27" s="54">
        <f t="shared" si="1"/>
        <v>0</v>
      </c>
      <c r="K27" s="54">
        <f t="shared" si="2"/>
        <v>0</v>
      </c>
      <c r="L27" s="55"/>
      <c r="M27" s="50"/>
      <c r="N27" s="53">
        <f t="shared" si="3"/>
        <v>0</v>
      </c>
      <c r="O27" s="53">
        <f t="shared" si="4"/>
        <v>0</v>
      </c>
      <c r="P27" s="56"/>
      <c r="Q27" s="50"/>
      <c r="R27" s="50"/>
      <c r="S27" s="50"/>
      <c r="T27" s="57"/>
    </row>
  </sheetData>
  <mergeCells count="5">
    <mergeCell ref="A2:B2"/>
    <mergeCell ref="C2:F2"/>
    <mergeCell ref="G2:L2"/>
    <mergeCell ref="M2:O2"/>
    <mergeCell ref="P2:T2"/>
  </mergeCells>
  <conditionalFormatting sqref="C2 G2:H2 M2 A3:T3 A2">
    <cfRule type="containsText" dxfId="71" priority="26" operator="containsText" text="SIN FACTURA ">
      <formula>NOT(ISERROR(SEARCH("SIN FACTURA ",A2)))</formula>
    </cfRule>
  </conditionalFormatting>
  <conditionalFormatting sqref="J27:T27 J25:T25 J23:T23 J21:T21 J19:T19 J17:T17 J15:T15 J13:T13 J11:T11 J9:T9 J7:T7 A7:H7 A9:H9 A11:H11 A13:H13 A15:H15 A17:H17 A19:H19 A21:H21 A23:H23 A25:H25 A27:H27 J4:T5 I4:I27 A4:H5">
    <cfRule type="containsText" dxfId="70" priority="25" operator="containsText" text="SIN FACTURA">
      <formula>NOT(ISERROR(SEARCH("SIN FACTURA",A4)))</formula>
    </cfRule>
  </conditionalFormatting>
  <conditionalFormatting sqref="C6:H6 J6:V6">
    <cfRule type="containsText" dxfId="69" priority="23" operator="containsText" text="SIN FACTURA">
      <formula>NOT(ISERROR(SEARCH("SIN FACTURA",C6)))</formula>
    </cfRule>
  </conditionalFormatting>
  <conditionalFormatting sqref="C8:H8 J8:V8">
    <cfRule type="containsText" dxfId="68" priority="22" operator="containsText" text="SIN FACTURA">
      <formula>NOT(ISERROR(SEARCH("SIN FACTURA",C8)))</formula>
    </cfRule>
  </conditionalFormatting>
  <conditionalFormatting sqref="C10:H10 J10:V10">
    <cfRule type="containsText" dxfId="67" priority="21" operator="containsText" text="SIN FACTURA">
      <formula>NOT(ISERROR(SEARCH("SIN FACTURA",C10)))</formula>
    </cfRule>
  </conditionalFormatting>
  <conditionalFormatting sqref="C12:H12 J12:V12">
    <cfRule type="containsText" dxfId="66" priority="20" operator="containsText" text="SIN FACTURA">
      <formula>NOT(ISERROR(SEARCH("SIN FACTURA",C12)))</formula>
    </cfRule>
  </conditionalFormatting>
  <conditionalFormatting sqref="C14:H14 J14:V14">
    <cfRule type="containsText" dxfId="65" priority="19" operator="containsText" text="SIN FACTURA">
      <formula>NOT(ISERROR(SEARCH("SIN FACTURA",C14)))</formula>
    </cfRule>
  </conditionalFormatting>
  <conditionalFormatting sqref="C16:H16 J16:V16">
    <cfRule type="containsText" dxfId="64" priority="18" operator="containsText" text="SIN FACTURA">
      <formula>NOT(ISERROR(SEARCH("SIN FACTURA",C16)))</formula>
    </cfRule>
  </conditionalFormatting>
  <conditionalFormatting sqref="C18:H18 J18:V18">
    <cfRule type="containsText" dxfId="63" priority="17" operator="containsText" text="SIN FACTURA">
      <formula>NOT(ISERROR(SEARCH("SIN FACTURA",C18)))</formula>
    </cfRule>
  </conditionalFormatting>
  <conditionalFormatting sqref="C20:H20 J20:V20">
    <cfRule type="containsText" dxfId="62" priority="16" operator="containsText" text="SIN FACTURA">
      <formula>NOT(ISERROR(SEARCH("SIN FACTURA",C20)))</formula>
    </cfRule>
  </conditionalFormatting>
  <conditionalFormatting sqref="C22:H22 J22:V22">
    <cfRule type="containsText" dxfId="61" priority="15" operator="containsText" text="SIN FACTURA">
      <formula>NOT(ISERROR(SEARCH("SIN FACTURA",C22)))</formula>
    </cfRule>
  </conditionalFormatting>
  <conditionalFormatting sqref="C24:H24 J24:V24">
    <cfRule type="containsText" dxfId="60" priority="14" operator="containsText" text="SIN FACTURA">
      <formula>NOT(ISERROR(SEARCH("SIN FACTURA",C24)))</formula>
    </cfRule>
  </conditionalFormatting>
  <conditionalFormatting sqref="C26:H26 J26:V26">
    <cfRule type="containsText" dxfId="59" priority="13" operator="containsText" text="SIN FACTURA">
      <formula>NOT(ISERROR(SEARCH("SIN FACTURA",C26)))</formula>
    </cfRule>
  </conditionalFormatting>
  <conditionalFormatting sqref="A6:B6">
    <cfRule type="containsText" dxfId="58" priority="11" operator="containsText" text="SIN FACTURA">
      <formula>NOT(ISERROR(SEARCH("SIN FACTURA",A6)))</formula>
    </cfRule>
  </conditionalFormatting>
  <conditionalFormatting sqref="A8:B8">
    <cfRule type="containsText" dxfId="57" priority="10" operator="containsText" text="SIN FACTURA">
      <formula>NOT(ISERROR(SEARCH("SIN FACTURA",A8)))</formula>
    </cfRule>
  </conditionalFormatting>
  <conditionalFormatting sqref="A10:B10">
    <cfRule type="containsText" dxfId="56" priority="9" operator="containsText" text="SIN FACTURA">
      <formula>NOT(ISERROR(SEARCH("SIN FACTURA",A10)))</formula>
    </cfRule>
  </conditionalFormatting>
  <conditionalFormatting sqref="A12:B12">
    <cfRule type="containsText" dxfId="55" priority="8" operator="containsText" text="SIN FACTURA">
      <formula>NOT(ISERROR(SEARCH("SIN FACTURA",A12)))</formula>
    </cfRule>
  </conditionalFormatting>
  <conditionalFormatting sqref="A14:B14">
    <cfRule type="containsText" dxfId="54" priority="7" operator="containsText" text="SIN FACTURA">
      <formula>NOT(ISERROR(SEARCH("SIN FACTURA",A14)))</formula>
    </cfRule>
  </conditionalFormatting>
  <conditionalFormatting sqref="A26:B26">
    <cfRule type="containsText" dxfId="53" priority="1" operator="containsText" text="SIN FACTURA">
      <formula>NOT(ISERROR(SEARCH("SIN FACTURA",A26)))</formula>
    </cfRule>
  </conditionalFormatting>
  <conditionalFormatting sqref="A16:B16">
    <cfRule type="containsText" dxfId="52" priority="6" operator="containsText" text="SIN FACTURA">
      <formula>NOT(ISERROR(SEARCH("SIN FACTURA",A16)))</formula>
    </cfRule>
  </conditionalFormatting>
  <conditionalFormatting sqref="A18:B18">
    <cfRule type="containsText" dxfId="51" priority="5" operator="containsText" text="SIN FACTURA">
      <formula>NOT(ISERROR(SEARCH("SIN FACTURA",A18)))</formula>
    </cfRule>
  </conditionalFormatting>
  <conditionalFormatting sqref="A20:B20">
    <cfRule type="containsText" dxfId="50" priority="4" operator="containsText" text="SIN FACTURA">
      <formula>NOT(ISERROR(SEARCH("SIN FACTURA",A20)))</formula>
    </cfRule>
  </conditionalFormatting>
  <conditionalFormatting sqref="A22:B22">
    <cfRule type="containsText" dxfId="49" priority="3" operator="containsText" text="SIN FACTURA">
      <formula>NOT(ISERROR(SEARCH("SIN FACTURA",A22)))</formula>
    </cfRule>
  </conditionalFormatting>
  <conditionalFormatting sqref="A24:B24">
    <cfRule type="containsText" dxfId="48" priority="2" operator="containsText" text="SIN FACTURA">
      <formula>NOT(ISERROR(SEARCH("SIN FACTURA",A24)))</formula>
    </cfRule>
  </conditionalFormatting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>
  <sheetPr codeName="Hoja78">
    <tabColor theme="8"/>
  </sheetPr>
  <dimension ref="A1:Z44"/>
  <sheetViews>
    <sheetView zoomScale="125" zoomScaleNormal="125" zoomScalePageLayoutView="125" workbookViewId="0">
      <pane ySplit="4" topLeftCell="A5" activePane="bottomLeft" state="frozen"/>
      <selection pane="bottomLeft" activeCell="E16" sqref="E16"/>
    </sheetView>
  </sheetViews>
  <sheetFormatPr baseColWidth="10" defaultColWidth="10.875" defaultRowHeight="15.75"/>
  <cols>
    <col min="1" max="1" width="23.625" style="1" bestFit="1" customWidth="1"/>
    <col min="2" max="2" width="18" style="2" customWidth="1"/>
    <col min="3" max="3" width="10.875" style="1"/>
    <col min="5" max="5" width="9.625" style="9" customWidth="1"/>
    <col min="6" max="6" width="10" style="1" customWidth="1"/>
    <col min="7" max="8" width="9.375" style="1" customWidth="1"/>
    <col min="9" max="9" width="9.125" style="1" customWidth="1"/>
    <col min="10" max="10" width="9" style="1" customWidth="1"/>
    <col min="11" max="11" width="10.875" style="1"/>
    <col min="12" max="12" width="9.375" style="1" customWidth="1"/>
    <col min="13" max="13" width="9.875" style="1" customWidth="1"/>
    <col min="14" max="14" width="10.125" style="1" customWidth="1"/>
    <col min="15" max="17" width="10.875" style="1"/>
    <col min="20" max="20" width="15.125" style="3" bestFit="1" customWidth="1"/>
    <col min="21" max="21" width="10.125" style="1" customWidth="1"/>
    <col min="22" max="22" width="9.5" style="13" customWidth="1"/>
    <col min="23" max="23" width="8.5" style="1" customWidth="1"/>
    <col min="24" max="16384" width="10.875" style="1"/>
  </cols>
  <sheetData>
    <row r="1" spans="1:26" ht="42" customHeight="1" thickBot="1">
      <c r="A1" s="4"/>
      <c r="B1" s="18" t="s">
        <v>64</v>
      </c>
      <c r="C1" s="19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20"/>
      <c r="R1" s="5"/>
      <c r="S1" s="5"/>
      <c r="T1" s="5"/>
    </row>
    <row r="2" spans="1:26" ht="27.95" customHeight="1" thickBot="1">
      <c r="A2" s="297" t="s">
        <v>3</v>
      </c>
      <c r="B2" s="302"/>
      <c r="C2" s="298"/>
      <c r="D2" s="299" t="s">
        <v>4</v>
      </c>
      <c r="E2" s="300"/>
      <c r="F2" s="301"/>
      <c r="G2" s="299" t="s">
        <v>12</v>
      </c>
      <c r="H2" s="300"/>
      <c r="I2" s="300"/>
      <c r="J2" s="300"/>
      <c r="K2" s="300"/>
      <c r="L2" s="301"/>
      <c r="M2" s="299" t="s">
        <v>15</v>
      </c>
      <c r="N2" s="300"/>
      <c r="O2" s="300"/>
      <c r="P2" s="300" t="s">
        <v>19</v>
      </c>
      <c r="Q2" s="300"/>
      <c r="R2" s="300"/>
      <c r="S2" s="300"/>
      <c r="T2" s="301"/>
      <c r="U2" s="131"/>
    </row>
    <row r="3" spans="1:26" ht="57" customHeight="1">
      <c r="A3" s="104" t="s">
        <v>0</v>
      </c>
      <c r="B3" s="25" t="s">
        <v>1</v>
      </c>
      <c r="C3" s="26" t="s">
        <v>2</v>
      </c>
      <c r="D3" s="27" t="s">
        <v>5</v>
      </c>
      <c r="E3" s="27" t="s">
        <v>6</v>
      </c>
      <c r="F3" s="27" t="s">
        <v>7</v>
      </c>
      <c r="G3" s="27" t="s">
        <v>8</v>
      </c>
      <c r="H3" s="28" t="s">
        <v>13</v>
      </c>
      <c r="I3" s="28" t="s">
        <v>171</v>
      </c>
      <c r="J3" s="28" t="s">
        <v>9</v>
      </c>
      <c r="K3" s="28" t="s">
        <v>10</v>
      </c>
      <c r="L3" s="28" t="s">
        <v>11</v>
      </c>
      <c r="M3" s="29" t="s">
        <v>14</v>
      </c>
      <c r="N3" s="27" t="s">
        <v>16</v>
      </c>
      <c r="O3" s="27" t="s">
        <v>17</v>
      </c>
      <c r="P3" s="27" t="s">
        <v>18</v>
      </c>
      <c r="Q3" s="30" t="s">
        <v>24</v>
      </c>
      <c r="R3" s="28" t="s">
        <v>20</v>
      </c>
      <c r="S3" s="28" t="s">
        <v>21</v>
      </c>
      <c r="T3" s="28" t="s">
        <v>22</v>
      </c>
      <c r="U3" s="130" t="s">
        <v>23</v>
      </c>
      <c r="Y3" s="8"/>
      <c r="Z3" s="8"/>
    </row>
    <row r="4" spans="1:26" ht="15" hidden="1">
      <c r="A4" s="32"/>
      <c r="B4" s="33"/>
      <c r="C4" s="34"/>
      <c r="D4" s="32"/>
      <c r="E4" s="32"/>
      <c r="F4" s="143" t="s">
        <v>176</v>
      </c>
      <c r="G4" s="143"/>
      <c r="H4" s="143"/>
      <c r="I4" s="144"/>
      <c r="J4" s="144"/>
      <c r="K4" s="129"/>
      <c r="L4" s="36"/>
      <c r="M4" s="32"/>
      <c r="N4" s="37"/>
      <c r="O4" s="37"/>
      <c r="P4" s="38"/>
      <c r="Q4" s="32"/>
      <c r="R4" s="32"/>
      <c r="S4" s="32"/>
      <c r="T4" s="32"/>
      <c r="U4" s="68"/>
    </row>
    <row r="5" spans="1:26" ht="15">
      <c r="A5" s="32"/>
      <c r="B5" s="33"/>
      <c r="C5" s="34"/>
      <c r="D5" s="32"/>
      <c r="E5" s="32"/>
      <c r="F5" s="32"/>
      <c r="G5" s="32"/>
      <c r="H5" s="32"/>
      <c r="I5" s="35"/>
      <c r="J5" s="35"/>
      <c r="K5" s="35"/>
      <c r="L5" s="36"/>
      <c r="M5" s="32"/>
      <c r="N5" s="37"/>
      <c r="O5" s="37"/>
      <c r="P5" s="38"/>
      <c r="Q5" s="32"/>
      <c r="R5" s="32"/>
      <c r="S5" s="32"/>
      <c r="T5" s="39"/>
      <c r="V5" s="1"/>
    </row>
    <row r="6" spans="1:26" ht="15">
      <c r="A6" s="40"/>
      <c r="B6" s="41"/>
      <c r="C6" s="42"/>
      <c r="D6" s="40"/>
      <c r="E6" s="40"/>
      <c r="F6" s="40"/>
      <c r="G6" s="43">
        <f>F6*6%</f>
        <v>0</v>
      </c>
      <c r="H6" s="43"/>
      <c r="I6" s="44">
        <f>F6-G6-H6</f>
        <v>0</v>
      </c>
      <c r="J6" s="44">
        <f t="shared" ref="J6:J44" si="0">S6+T6</f>
        <v>0</v>
      </c>
      <c r="K6" s="44">
        <f t="shared" ref="K6:K44" si="1">I6-J6</f>
        <v>0</v>
      </c>
      <c r="L6" s="45"/>
      <c r="M6" s="40"/>
      <c r="N6" s="43">
        <f t="shared" ref="N6:N44" si="2">I6-J6-M6-R6</f>
        <v>0</v>
      </c>
      <c r="O6" s="43">
        <f t="shared" ref="O6:O44" si="3">R6+S6+T6</f>
        <v>0</v>
      </c>
      <c r="P6" s="46"/>
      <c r="Q6" s="40"/>
      <c r="R6" s="40"/>
      <c r="S6" s="40"/>
      <c r="T6" s="5"/>
      <c r="V6" s="1"/>
    </row>
    <row r="7" spans="1:26" ht="15">
      <c r="A7" s="32"/>
      <c r="B7" s="33"/>
      <c r="C7" s="34"/>
      <c r="D7" s="32"/>
      <c r="E7" s="32"/>
      <c r="F7" s="32"/>
      <c r="G7" s="37"/>
      <c r="H7" s="37"/>
      <c r="I7" s="37"/>
      <c r="J7" s="35"/>
      <c r="K7" s="35"/>
      <c r="L7" s="36"/>
      <c r="M7" s="32"/>
      <c r="N7" s="37"/>
      <c r="O7" s="37"/>
      <c r="P7" s="38"/>
      <c r="Q7" s="32"/>
      <c r="R7" s="32"/>
      <c r="S7" s="32"/>
      <c r="T7" s="39"/>
      <c r="V7" s="1"/>
    </row>
    <row r="8" spans="1:26" ht="15">
      <c r="A8" s="40"/>
      <c r="B8" s="41"/>
      <c r="C8" s="42"/>
      <c r="D8" s="40"/>
      <c r="E8" s="40"/>
      <c r="F8" s="40"/>
      <c r="G8" s="43">
        <f>F8*6%</f>
        <v>0</v>
      </c>
      <c r="H8" s="43"/>
      <c r="I8" s="44">
        <f t="shared" ref="I8:I44" si="4">F8-G8-H8</f>
        <v>0</v>
      </c>
      <c r="J8" s="44">
        <f t="shared" si="0"/>
        <v>0</v>
      </c>
      <c r="K8" s="44">
        <f t="shared" si="1"/>
        <v>0</v>
      </c>
      <c r="L8" s="45"/>
      <c r="M8" s="40"/>
      <c r="N8" s="43">
        <f t="shared" si="2"/>
        <v>0</v>
      </c>
      <c r="O8" s="43">
        <f t="shared" si="3"/>
        <v>0</v>
      </c>
      <c r="P8" s="46"/>
      <c r="Q8" s="40"/>
      <c r="R8" s="47"/>
      <c r="S8" s="47"/>
      <c r="T8" s="48"/>
      <c r="V8" s="1"/>
    </row>
    <row r="9" spans="1:26" ht="15">
      <c r="A9" s="32"/>
      <c r="B9" s="33"/>
      <c r="C9" s="34"/>
      <c r="D9" s="32"/>
      <c r="E9" s="32"/>
      <c r="F9" s="32"/>
      <c r="G9" s="37"/>
      <c r="H9" s="37"/>
      <c r="I9" s="37"/>
      <c r="J9" s="35"/>
      <c r="K9" s="35"/>
      <c r="L9" s="36"/>
      <c r="M9" s="32"/>
      <c r="N9" s="37"/>
      <c r="O9" s="37"/>
      <c r="P9" s="38"/>
      <c r="Q9" s="32"/>
      <c r="R9" s="32"/>
      <c r="S9" s="32"/>
      <c r="T9" s="39"/>
      <c r="V9" s="1"/>
    </row>
    <row r="10" spans="1:26" ht="15">
      <c r="A10" s="40"/>
      <c r="B10" s="41"/>
      <c r="C10" s="42"/>
      <c r="D10" s="40"/>
      <c r="E10" s="40"/>
      <c r="F10" s="40"/>
      <c r="G10" s="43">
        <f>F10*6%</f>
        <v>0</v>
      </c>
      <c r="H10" s="43"/>
      <c r="I10" s="44">
        <f t="shared" si="4"/>
        <v>0</v>
      </c>
      <c r="J10" s="44">
        <f t="shared" si="0"/>
        <v>0</v>
      </c>
      <c r="K10" s="44">
        <f t="shared" si="1"/>
        <v>0</v>
      </c>
      <c r="L10" s="45"/>
      <c r="M10" s="40"/>
      <c r="N10" s="43">
        <f t="shared" si="2"/>
        <v>0</v>
      </c>
      <c r="O10" s="43">
        <f t="shared" si="3"/>
        <v>0</v>
      </c>
      <c r="P10" s="46"/>
      <c r="Q10" s="40"/>
      <c r="R10" s="43"/>
      <c r="S10" s="43"/>
      <c r="T10" s="49"/>
      <c r="V10" s="1"/>
    </row>
    <row r="11" spans="1:26" ht="15">
      <c r="A11" s="32"/>
      <c r="B11" s="33"/>
      <c r="C11" s="34"/>
      <c r="D11" s="32"/>
      <c r="E11" s="32"/>
      <c r="F11" s="32"/>
      <c r="G11" s="37"/>
      <c r="H11" s="37"/>
      <c r="I11" s="37"/>
      <c r="J11" s="35"/>
      <c r="K11" s="35"/>
      <c r="L11" s="36"/>
      <c r="M11" s="32"/>
      <c r="N11" s="37"/>
      <c r="O11" s="37"/>
      <c r="P11" s="38"/>
      <c r="Q11" s="32"/>
      <c r="R11" s="32"/>
      <c r="S11" s="32"/>
      <c r="T11" s="39"/>
      <c r="V11" s="1"/>
    </row>
    <row r="12" spans="1:26" ht="15">
      <c r="A12" s="40"/>
      <c r="B12" s="41"/>
      <c r="C12" s="42"/>
      <c r="D12" s="40"/>
      <c r="E12" s="40"/>
      <c r="F12" s="40"/>
      <c r="G12" s="43">
        <f>F12*6%</f>
        <v>0</v>
      </c>
      <c r="H12" s="43"/>
      <c r="I12" s="44">
        <f t="shared" si="4"/>
        <v>0</v>
      </c>
      <c r="J12" s="44">
        <f>S12+T12</f>
        <v>0</v>
      </c>
      <c r="K12" s="44">
        <f>I12-J12</f>
        <v>0</v>
      </c>
      <c r="L12" s="45"/>
      <c r="M12" s="40"/>
      <c r="N12" s="43">
        <f t="shared" si="2"/>
        <v>0</v>
      </c>
      <c r="O12" s="43">
        <f t="shared" si="3"/>
        <v>0</v>
      </c>
      <c r="P12" s="46"/>
      <c r="Q12" s="40"/>
      <c r="R12" s="47"/>
      <c r="S12" s="47"/>
      <c r="T12" s="48"/>
      <c r="V12" s="1"/>
    </row>
    <row r="13" spans="1:26" ht="15">
      <c r="A13" s="32"/>
      <c r="B13" s="33"/>
      <c r="C13" s="34"/>
      <c r="D13" s="32"/>
      <c r="E13" s="32"/>
      <c r="F13" s="32"/>
      <c r="G13" s="37"/>
      <c r="H13" s="37"/>
      <c r="I13" s="37"/>
      <c r="J13" s="35"/>
      <c r="K13" s="35"/>
      <c r="L13" s="36"/>
      <c r="M13" s="32"/>
      <c r="N13" s="37"/>
      <c r="O13" s="37"/>
      <c r="P13" s="38"/>
      <c r="Q13" s="32"/>
      <c r="R13" s="32"/>
      <c r="S13" s="32"/>
      <c r="T13" s="39"/>
      <c r="V13" s="1"/>
    </row>
    <row r="14" spans="1:26" ht="15">
      <c r="A14" s="40"/>
      <c r="B14" s="41"/>
      <c r="C14" s="42"/>
      <c r="D14" s="40"/>
      <c r="E14" s="40"/>
      <c r="F14" s="40"/>
      <c r="G14" s="43">
        <f>F14*6%</f>
        <v>0</v>
      </c>
      <c r="H14" s="43"/>
      <c r="I14" s="44">
        <f t="shared" si="4"/>
        <v>0</v>
      </c>
      <c r="J14" s="44">
        <f t="shared" si="0"/>
        <v>0</v>
      </c>
      <c r="K14" s="44">
        <f t="shared" si="1"/>
        <v>0</v>
      </c>
      <c r="L14" s="45"/>
      <c r="M14" s="40"/>
      <c r="N14" s="43">
        <f t="shared" si="2"/>
        <v>0</v>
      </c>
      <c r="O14" s="43">
        <f t="shared" si="3"/>
        <v>0</v>
      </c>
      <c r="P14" s="46"/>
      <c r="Q14" s="40"/>
      <c r="R14" s="47"/>
      <c r="S14" s="47"/>
      <c r="T14" s="48"/>
      <c r="V14" s="1"/>
    </row>
    <row r="15" spans="1:26" ht="15">
      <c r="A15" s="32"/>
      <c r="B15" s="33"/>
      <c r="C15" s="32"/>
      <c r="D15" s="33"/>
      <c r="E15" s="34"/>
      <c r="F15" s="32"/>
      <c r="G15" s="32"/>
      <c r="H15" s="32"/>
      <c r="I15" s="37"/>
      <c r="J15" s="37"/>
      <c r="K15" s="35"/>
      <c r="L15" s="35"/>
      <c r="M15" s="35"/>
      <c r="N15" s="36"/>
      <c r="O15" s="32"/>
      <c r="P15" s="37"/>
      <c r="Q15" s="37"/>
      <c r="R15" s="38"/>
      <c r="S15" s="32"/>
      <c r="T15" s="39"/>
      <c r="V15" s="1"/>
    </row>
    <row r="16" spans="1:26" ht="15">
      <c r="A16" s="40"/>
      <c r="B16" s="41"/>
      <c r="C16" s="42"/>
      <c r="D16" s="40"/>
      <c r="E16" s="40"/>
      <c r="F16" s="40"/>
      <c r="G16" s="43">
        <f>F16*6%</f>
        <v>0</v>
      </c>
      <c r="H16" s="43"/>
      <c r="I16" s="44">
        <f t="shared" si="4"/>
        <v>0</v>
      </c>
      <c r="J16" s="44">
        <f t="shared" si="0"/>
        <v>0</v>
      </c>
      <c r="K16" s="44">
        <f t="shared" si="1"/>
        <v>0</v>
      </c>
      <c r="L16" s="45"/>
      <c r="M16" s="40"/>
      <c r="N16" s="43">
        <f t="shared" si="2"/>
        <v>0</v>
      </c>
      <c r="O16" s="43">
        <f t="shared" si="3"/>
        <v>0</v>
      </c>
      <c r="P16" s="46"/>
      <c r="Q16" s="40"/>
      <c r="R16" s="47"/>
      <c r="S16" s="47"/>
      <c r="T16" s="48"/>
      <c r="V16" s="1"/>
    </row>
    <row r="17" spans="1:22" ht="15">
      <c r="A17" s="32"/>
      <c r="B17" s="33"/>
      <c r="C17" s="34"/>
      <c r="D17" s="32"/>
      <c r="E17" s="32"/>
      <c r="F17" s="32"/>
      <c r="G17" s="37"/>
      <c r="H17" s="37"/>
      <c r="I17" s="37"/>
      <c r="J17" s="35"/>
      <c r="K17" s="35"/>
      <c r="L17" s="36"/>
      <c r="M17" s="32"/>
      <c r="N17" s="37"/>
      <c r="O17" s="37"/>
      <c r="P17" s="38"/>
      <c r="Q17" s="32"/>
      <c r="R17" s="32"/>
      <c r="S17" s="32"/>
      <c r="T17" s="39"/>
      <c r="V17" s="1"/>
    </row>
    <row r="18" spans="1:22" ht="15">
      <c r="A18" s="40"/>
      <c r="B18" s="41"/>
      <c r="C18" s="42"/>
      <c r="D18" s="40"/>
      <c r="E18" s="40"/>
      <c r="F18" s="40"/>
      <c r="G18" s="43">
        <f>F18*6%</f>
        <v>0</v>
      </c>
      <c r="H18" s="43"/>
      <c r="I18" s="44">
        <f t="shared" si="4"/>
        <v>0</v>
      </c>
      <c r="J18" s="44">
        <f t="shared" si="0"/>
        <v>0</v>
      </c>
      <c r="K18" s="44">
        <f t="shared" si="1"/>
        <v>0</v>
      </c>
      <c r="L18" s="45"/>
      <c r="M18" s="40"/>
      <c r="N18" s="43">
        <f t="shared" si="2"/>
        <v>0</v>
      </c>
      <c r="O18" s="43">
        <f t="shared" si="3"/>
        <v>0</v>
      </c>
      <c r="P18" s="46"/>
      <c r="Q18" s="40"/>
      <c r="R18" s="40"/>
      <c r="S18" s="40"/>
      <c r="T18" s="5"/>
      <c r="V18" s="1"/>
    </row>
    <row r="19" spans="1:22" ht="15">
      <c r="A19" s="32"/>
      <c r="B19" s="33"/>
      <c r="C19" s="34"/>
      <c r="D19" s="32"/>
      <c r="E19" s="32"/>
      <c r="F19" s="32"/>
      <c r="G19" s="37"/>
      <c r="H19" s="37"/>
      <c r="I19" s="37"/>
      <c r="J19" s="35"/>
      <c r="K19" s="35"/>
      <c r="L19" s="36"/>
      <c r="M19" s="32"/>
      <c r="N19" s="37"/>
      <c r="O19" s="37"/>
      <c r="P19" s="38"/>
      <c r="Q19" s="32"/>
      <c r="R19" s="32"/>
      <c r="S19" s="32"/>
      <c r="T19" s="39"/>
      <c r="V19" s="1"/>
    </row>
    <row r="20" spans="1:22" ht="15">
      <c r="A20" s="40"/>
      <c r="B20" s="41"/>
      <c r="C20" s="42"/>
      <c r="D20" s="40"/>
      <c r="E20" s="40"/>
      <c r="F20" s="40"/>
      <c r="G20" s="43">
        <f>F20*6%</f>
        <v>0</v>
      </c>
      <c r="H20" s="43"/>
      <c r="I20" s="44">
        <f t="shared" si="4"/>
        <v>0</v>
      </c>
      <c r="J20" s="44">
        <f>S20+T20</f>
        <v>0</v>
      </c>
      <c r="K20" s="44">
        <f t="shared" si="1"/>
        <v>0</v>
      </c>
      <c r="L20" s="45"/>
      <c r="M20" s="40"/>
      <c r="N20" s="43">
        <f>I20-J20-M20-R20</f>
        <v>0</v>
      </c>
      <c r="O20" s="43">
        <f>R20+S20+T20</f>
        <v>0</v>
      </c>
      <c r="P20" s="46"/>
      <c r="Q20" s="40"/>
      <c r="R20" s="47"/>
      <c r="S20" s="47"/>
      <c r="T20" s="48"/>
      <c r="V20" s="1"/>
    </row>
    <row r="21" spans="1:22" ht="15">
      <c r="A21" s="32"/>
      <c r="B21" s="33"/>
      <c r="C21" s="34"/>
      <c r="D21" s="32"/>
      <c r="E21" s="32"/>
      <c r="F21" s="32"/>
      <c r="G21" s="37"/>
      <c r="H21" s="37"/>
      <c r="I21" s="37"/>
      <c r="J21" s="35"/>
      <c r="K21" s="35"/>
      <c r="L21" s="36"/>
      <c r="M21" s="32"/>
      <c r="N21" s="37"/>
      <c r="O21" s="37"/>
      <c r="P21" s="38"/>
      <c r="Q21" s="32"/>
      <c r="R21" s="32"/>
      <c r="S21" s="32"/>
      <c r="T21" s="39"/>
      <c r="V21" s="1"/>
    </row>
    <row r="22" spans="1:22" ht="15">
      <c r="A22" s="40"/>
      <c r="B22" s="41"/>
      <c r="C22" s="42"/>
      <c r="D22" s="40"/>
      <c r="E22" s="40"/>
      <c r="F22" s="40"/>
      <c r="G22" s="43">
        <f>F22*6%</f>
        <v>0</v>
      </c>
      <c r="H22" s="43"/>
      <c r="I22" s="44">
        <f t="shared" si="4"/>
        <v>0</v>
      </c>
      <c r="J22" s="44">
        <f t="shared" si="0"/>
        <v>0</v>
      </c>
      <c r="K22" s="44">
        <f t="shared" si="1"/>
        <v>0</v>
      </c>
      <c r="L22" s="45"/>
      <c r="M22" s="40"/>
      <c r="N22" s="43">
        <f t="shared" si="2"/>
        <v>0</v>
      </c>
      <c r="O22" s="43">
        <f t="shared" si="3"/>
        <v>0</v>
      </c>
      <c r="P22" s="46"/>
      <c r="Q22" s="40"/>
      <c r="R22" s="47"/>
      <c r="S22" s="47"/>
      <c r="T22" s="48"/>
      <c r="V22" s="1"/>
    </row>
    <row r="23" spans="1:22" ht="15">
      <c r="A23" s="32"/>
      <c r="B23" s="33"/>
      <c r="C23" s="34"/>
      <c r="D23" s="32"/>
      <c r="E23" s="32"/>
      <c r="F23" s="32"/>
      <c r="G23" s="37"/>
      <c r="H23" s="37"/>
      <c r="I23" s="37"/>
      <c r="J23" s="35"/>
      <c r="K23" s="35"/>
      <c r="L23" s="36"/>
      <c r="M23" s="32"/>
      <c r="N23" s="37"/>
      <c r="O23" s="37"/>
      <c r="P23" s="38"/>
      <c r="Q23" s="32"/>
      <c r="R23" s="32"/>
      <c r="S23" s="32"/>
      <c r="T23" s="39"/>
      <c r="V23" s="1"/>
    </row>
    <row r="24" spans="1:22" ht="15">
      <c r="A24" s="40"/>
      <c r="B24" s="41"/>
      <c r="C24" s="42"/>
      <c r="D24" s="40"/>
      <c r="E24" s="40"/>
      <c r="F24" s="40"/>
      <c r="G24" s="43">
        <f>F24*6%</f>
        <v>0</v>
      </c>
      <c r="H24" s="43"/>
      <c r="I24" s="44">
        <f t="shared" si="4"/>
        <v>0</v>
      </c>
      <c r="J24" s="44">
        <f t="shared" si="0"/>
        <v>0</v>
      </c>
      <c r="K24" s="44">
        <f t="shared" si="1"/>
        <v>0</v>
      </c>
      <c r="L24" s="45"/>
      <c r="M24" s="40"/>
      <c r="N24" s="43">
        <f t="shared" si="2"/>
        <v>0</v>
      </c>
      <c r="O24" s="43">
        <f t="shared" si="3"/>
        <v>0</v>
      </c>
      <c r="P24" s="46"/>
      <c r="Q24" s="40"/>
      <c r="R24" s="40"/>
      <c r="S24" s="40"/>
      <c r="T24" s="5"/>
      <c r="V24" s="1"/>
    </row>
    <row r="25" spans="1:22" ht="15">
      <c r="A25" s="32"/>
      <c r="B25" s="33"/>
      <c r="C25" s="32"/>
      <c r="D25" s="33"/>
      <c r="E25" s="34"/>
      <c r="F25" s="32"/>
      <c r="G25" s="32"/>
      <c r="H25" s="32"/>
      <c r="I25" s="37"/>
      <c r="J25" s="37"/>
      <c r="K25" s="35"/>
      <c r="L25" s="35"/>
      <c r="M25" s="35"/>
      <c r="N25" s="36"/>
      <c r="O25" s="32"/>
      <c r="P25" s="37"/>
      <c r="Q25" s="37"/>
      <c r="R25" s="38"/>
      <c r="S25" s="32"/>
      <c r="T25" s="39"/>
      <c r="V25" s="1"/>
    </row>
    <row r="26" spans="1:22" ht="15">
      <c r="A26" s="40"/>
      <c r="B26" s="41"/>
      <c r="C26" s="42"/>
      <c r="D26" s="40"/>
      <c r="E26" s="40"/>
      <c r="F26" s="40"/>
      <c r="G26" s="43">
        <f>F26*6%</f>
        <v>0</v>
      </c>
      <c r="H26" s="43"/>
      <c r="I26" s="44">
        <f t="shared" si="4"/>
        <v>0</v>
      </c>
      <c r="J26" s="44">
        <f t="shared" si="0"/>
        <v>0</v>
      </c>
      <c r="K26" s="44">
        <f t="shared" si="1"/>
        <v>0</v>
      </c>
      <c r="L26" s="45"/>
      <c r="M26" s="40"/>
      <c r="N26" s="43">
        <f t="shared" si="2"/>
        <v>0</v>
      </c>
      <c r="O26" s="43">
        <f t="shared" si="3"/>
        <v>0</v>
      </c>
      <c r="P26" s="46"/>
      <c r="Q26" s="40"/>
      <c r="R26" s="40"/>
      <c r="S26" s="40"/>
      <c r="T26" s="5"/>
      <c r="V26" s="1"/>
    </row>
    <row r="27" spans="1:22" ht="15">
      <c r="A27" s="32"/>
      <c r="B27" s="33"/>
      <c r="C27" s="32"/>
      <c r="D27" s="33"/>
      <c r="E27" s="34"/>
      <c r="F27" s="32"/>
      <c r="G27" s="32"/>
      <c r="H27" s="32"/>
      <c r="I27" s="37"/>
      <c r="J27" s="37"/>
      <c r="K27" s="35"/>
      <c r="L27" s="35"/>
      <c r="M27" s="35"/>
      <c r="N27" s="36"/>
      <c r="O27" s="32"/>
      <c r="P27" s="37"/>
      <c r="Q27" s="37"/>
      <c r="R27" s="38"/>
      <c r="S27" s="32"/>
      <c r="T27" s="39"/>
      <c r="U27" s="6"/>
      <c r="V27" s="6"/>
    </row>
    <row r="28" spans="1:22" ht="15">
      <c r="A28" s="40"/>
      <c r="B28" s="41"/>
      <c r="C28" s="42"/>
      <c r="D28" s="40"/>
      <c r="E28" s="40"/>
      <c r="F28" s="40"/>
      <c r="G28" s="43">
        <f>F28*6%</f>
        <v>0</v>
      </c>
      <c r="H28" s="43"/>
      <c r="I28" s="44">
        <f t="shared" si="4"/>
        <v>0</v>
      </c>
      <c r="J28" s="44">
        <f t="shared" si="0"/>
        <v>0</v>
      </c>
      <c r="K28" s="44">
        <f t="shared" si="1"/>
        <v>0</v>
      </c>
      <c r="L28" s="45"/>
      <c r="M28" s="40"/>
      <c r="N28" s="43">
        <f t="shared" si="2"/>
        <v>0</v>
      </c>
      <c r="O28" s="43">
        <f t="shared" si="3"/>
        <v>0</v>
      </c>
      <c r="P28" s="46"/>
      <c r="Q28" s="40"/>
      <c r="R28" s="40"/>
      <c r="S28" s="40"/>
      <c r="T28" s="5"/>
      <c r="V28" s="1"/>
    </row>
    <row r="29" spans="1:22" ht="15">
      <c r="A29" s="32"/>
      <c r="B29" s="33"/>
      <c r="C29" s="32"/>
      <c r="D29" s="33"/>
      <c r="E29" s="34"/>
      <c r="F29" s="32"/>
      <c r="G29" s="32"/>
      <c r="H29" s="32"/>
      <c r="I29" s="37"/>
      <c r="J29" s="37"/>
      <c r="K29" s="35"/>
      <c r="L29" s="35"/>
      <c r="M29" s="35"/>
      <c r="N29" s="36"/>
      <c r="O29" s="32"/>
      <c r="P29" s="37"/>
      <c r="Q29" s="37"/>
      <c r="R29" s="38"/>
      <c r="S29" s="32"/>
      <c r="T29" s="39"/>
      <c r="U29" s="6"/>
      <c r="V29" s="6"/>
    </row>
    <row r="30" spans="1:22" ht="15">
      <c r="A30" s="40"/>
      <c r="B30" s="41"/>
      <c r="C30" s="42"/>
      <c r="D30" s="40"/>
      <c r="E30" s="40"/>
      <c r="F30" s="40"/>
      <c r="G30" s="43">
        <f>F30*6%</f>
        <v>0</v>
      </c>
      <c r="H30" s="43"/>
      <c r="I30" s="44">
        <f t="shared" si="4"/>
        <v>0</v>
      </c>
      <c r="J30" s="44">
        <f t="shared" si="0"/>
        <v>0</v>
      </c>
      <c r="K30" s="44">
        <f t="shared" si="1"/>
        <v>0</v>
      </c>
      <c r="L30" s="45"/>
      <c r="M30" s="40"/>
      <c r="N30" s="43">
        <f t="shared" si="2"/>
        <v>0</v>
      </c>
      <c r="O30" s="43">
        <f t="shared" si="3"/>
        <v>0</v>
      </c>
      <c r="P30" s="46"/>
      <c r="Q30" s="40"/>
      <c r="R30" s="40"/>
      <c r="S30" s="40"/>
      <c r="T30" s="5"/>
      <c r="V30" s="1"/>
    </row>
    <row r="31" spans="1:22" ht="15">
      <c r="A31" s="32"/>
      <c r="B31" s="33"/>
      <c r="C31" s="32"/>
      <c r="D31" s="33"/>
      <c r="E31" s="34"/>
      <c r="F31" s="32"/>
      <c r="G31" s="32"/>
      <c r="H31" s="32"/>
      <c r="I31" s="37"/>
      <c r="J31" s="37"/>
      <c r="K31" s="35"/>
      <c r="L31" s="35"/>
      <c r="M31" s="35"/>
      <c r="N31" s="36"/>
      <c r="O31" s="32"/>
      <c r="P31" s="37"/>
      <c r="Q31" s="37"/>
      <c r="R31" s="38"/>
      <c r="S31" s="32"/>
      <c r="T31" s="39"/>
      <c r="U31" s="6"/>
      <c r="V31" s="6"/>
    </row>
    <row r="32" spans="1:22" ht="15">
      <c r="A32" s="40"/>
      <c r="B32" s="41"/>
      <c r="C32" s="42"/>
      <c r="D32" s="40"/>
      <c r="E32" s="40"/>
      <c r="F32" s="40"/>
      <c r="G32" s="43">
        <f>F32*6%</f>
        <v>0</v>
      </c>
      <c r="H32" s="43"/>
      <c r="I32" s="44">
        <f t="shared" si="4"/>
        <v>0</v>
      </c>
      <c r="J32" s="44">
        <f t="shared" si="0"/>
        <v>0</v>
      </c>
      <c r="K32" s="44">
        <f t="shared" si="1"/>
        <v>0</v>
      </c>
      <c r="L32" s="45"/>
      <c r="M32" s="40"/>
      <c r="N32" s="43">
        <f t="shared" si="2"/>
        <v>0</v>
      </c>
      <c r="O32" s="43">
        <f t="shared" si="3"/>
        <v>0</v>
      </c>
      <c r="P32" s="46"/>
      <c r="Q32" s="40"/>
      <c r="R32" s="40"/>
      <c r="S32" s="40"/>
      <c r="T32" s="5"/>
      <c r="V32" s="1"/>
    </row>
    <row r="33" spans="1:22" ht="15">
      <c r="A33" s="32"/>
      <c r="B33" s="33"/>
      <c r="C33" s="32"/>
      <c r="D33" s="33"/>
      <c r="E33" s="34"/>
      <c r="F33" s="32"/>
      <c r="G33" s="32"/>
      <c r="H33" s="32"/>
      <c r="I33" s="37"/>
      <c r="J33" s="37"/>
      <c r="K33" s="35"/>
      <c r="L33" s="35"/>
      <c r="M33" s="35"/>
      <c r="N33" s="36"/>
      <c r="O33" s="32"/>
      <c r="P33" s="37"/>
      <c r="Q33" s="37"/>
      <c r="R33" s="38"/>
      <c r="S33" s="32"/>
      <c r="T33" s="39"/>
      <c r="U33" s="6"/>
      <c r="V33" s="6"/>
    </row>
    <row r="34" spans="1:22" ht="15">
      <c r="A34" s="40"/>
      <c r="B34" s="41"/>
      <c r="C34" s="42"/>
      <c r="D34" s="40"/>
      <c r="E34" s="40"/>
      <c r="F34" s="40"/>
      <c r="G34" s="43">
        <f>F34*6%</f>
        <v>0</v>
      </c>
      <c r="H34" s="43"/>
      <c r="I34" s="44">
        <f t="shared" si="4"/>
        <v>0</v>
      </c>
      <c r="J34" s="44">
        <f t="shared" si="0"/>
        <v>0</v>
      </c>
      <c r="K34" s="44">
        <f t="shared" si="1"/>
        <v>0</v>
      </c>
      <c r="L34" s="45"/>
      <c r="M34" s="40"/>
      <c r="N34" s="43">
        <f t="shared" si="2"/>
        <v>0</v>
      </c>
      <c r="O34" s="43">
        <f t="shared" si="3"/>
        <v>0</v>
      </c>
      <c r="P34" s="46"/>
      <c r="Q34" s="40"/>
      <c r="R34" s="40"/>
      <c r="S34" s="40"/>
      <c r="T34" s="5"/>
      <c r="V34" s="1"/>
    </row>
    <row r="35" spans="1:22" ht="15">
      <c r="A35" s="32"/>
      <c r="B35" s="33"/>
      <c r="C35" s="32"/>
      <c r="D35" s="33"/>
      <c r="E35" s="34"/>
      <c r="F35" s="32"/>
      <c r="G35" s="32"/>
      <c r="H35" s="32"/>
      <c r="I35" s="37"/>
      <c r="J35" s="37"/>
      <c r="K35" s="35"/>
      <c r="L35" s="35"/>
      <c r="M35" s="35"/>
      <c r="N35" s="36"/>
      <c r="O35" s="32"/>
      <c r="P35" s="37"/>
      <c r="Q35" s="37"/>
      <c r="R35" s="38"/>
      <c r="S35" s="32"/>
      <c r="T35" s="39"/>
      <c r="U35" s="6"/>
      <c r="V35" s="6"/>
    </row>
    <row r="36" spans="1:22" ht="15">
      <c r="A36" s="40"/>
      <c r="B36" s="41"/>
      <c r="C36" s="42"/>
      <c r="D36" s="40"/>
      <c r="E36" s="40"/>
      <c r="F36" s="40"/>
      <c r="G36" s="43">
        <f>F36*6%</f>
        <v>0</v>
      </c>
      <c r="H36" s="43"/>
      <c r="I36" s="44">
        <f t="shared" si="4"/>
        <v>0</v>
      </c>
      <c r="J36" s="44">
        <f t="shared" si="0"/>
        <v>0</v>
      </c>
      <c r="K36" s="44">
        <f t="shared" si="1"/>
        <v>0</v>
      </c>
      <c r="L36" s="45"/>
      <c r="M36" s="40"/>
      <c r="N36" s="43">
        <f t="shared" si="2"/>
        <v>0</v>
      </c>
      <c r="O36" s="43">
        <f t="shared" si="3"/>
        <v>0</v>
      </c>
      <c r="P36" s="46"/>
      <c r="Q36" s="40"/>
      <c r="R36" s="40"/>
      <c r="S36" s="40"/>
      <c r="T36" s="5"/>
      <c r="V36" s="1"/>
    </row>
    <row r="37" spans="1:22" ht="15">
      <c r="A37" s="32"/>
      <c r="B37" s="33"/>
      <c r="C37" s="32"/>
      <c r="D37" s="33"/>
      <c r="E37" s="34"/>
      <c r="F37" s="32"/>
      <c r="G37" s="32"/>
      <c r="H37" s="32"/>
      <c r="I37" s="37"/>
      <c r="J37" s="37"/>
      <c r="K37" s="35"/>
      <c r="L37" s="35"/>
      <c r="M37" s="35"/>
      <c r="N37" s="36"/>
      <c r="O37" s="32"/>
      <c r="P37" s="37"/>
      <c r="Q37" s="37"/>
      <c r="R37" s="38"/>
      <c r="S37" s="32"/>
      <c r="T37" s="39"/>
      <c r="U37" s="6"/>
      <c r="V37" s="6"/>
    </row>
    <row r="38" spans="1:22" ht="15">
      <c r="A38" s="40"/>
      <c r="B38" s="41"/>
      <c r="C38" s="42"/>
      <c r="D38" s="40"/>
      <c r="E38" s="40"/>
      <c r="F38" s="40"/>
      <c r="G38" s="43">
        <f>F38*6%</f>
        <v>0</v>
      </c>
      <c r="H38" s="43"/>
      <c r="I38" s="44">
        <f t="shared" si="4"/>
        <v>0</v>
      </c>
      <c r="J38" s="44">
        <f t="shared" si="0"/>
        <v>0</v>
      </c>
      <c r="K38" s="44">
        <f t="shared" si="1"/>
        <v>0</v>
      </c>
      <c r="L38" s="45"/>
      <c r="M38" s="40"/>
      <c r="N38" s="43">
        <f t="shared" si="2"/>
        <v>0</v>
      </c>
      <c r="O38" s="43">
        <f t="shared" si="3"/>
        <v>0</v>
      </c>
      <c r="P38" s="46"/>
      <c r="Q38" s="40"/>
      <c r="R38" s="40"/>
      <c r="S38" s="40"/>
      <c r="T38" s="5"/>
      <c r="V38" s="1"/>
    </row>
    <row r="39" spans="1:22" ht="15">
      <c r="A39" s="32"/>
      <c r="B39" s="33"/>
      <c r="C39" s="32"/>
      <c r="D39" s="33"/>
      <c r="E39" s="34"/>
      <c r="F39" s="32"/>
      <c r="G39" s="32"/>
      <c r="H39" s="32"/>
      <c r="I39" s="37"/>
      <c r="J39" s="37"/>
      <c r="K39" s="35"/>
      <c r="L39" s="35"/>
      <c r="M39" s="35"/>
      <c r="N39" s="36"/>
      <c r="O39" s="32"/>
      <c r="P39" s="37"/>
      <c r="Q39" s="37"/>
      <c r="R39" s="38"/>
      <c r="S39" s="32"/>
      <c r="T39" s="39"/>
      <c r="U39" s="6"/>
      <c r="V39" s="6"/>
    </row>
    <row r="40" spans="1:22" ht="15">
      <c r="A40" s="40"/>
      <c r="B40" s="41"/>
      <c r="C40" s="42"/>
      <c r="D40" s="40"/>
      <c r="E40" s="40"/>
      <c r="F40" s="40"/>
      <c r="G40" s="43">
        <f>F40*6%</f>
        <v>0</v>
      </c>
      <c r="H40" s="43"/>
      <c r="I40" s="44">
        <f t="shared" si="4"/>
        <v>0</v>
      </c>
      <c r="J40" s="44">
        <f t="shared" si="0"/>
        <v>0</v>
      </c>
      <c r="K40" s="44">
        <f t="shared" si="1"/>
        <v>0</v>
      </c>
      <c r="L40" s="45"/>
      <c r="M40" s="40"/>
      <c r="N40" s="43">
        <f t="shared" si="2"/>
        <v>0</v>
      </c>
      <c r="O40" s="43">
        <f t="shared" si="3"/>
        <v>0</v>
      </c>
      <c r="P40" s="46"/>
      <c r="Q40" s="40"/>
      <c r="R40" s="40"/>
      <c r="S40" s="40"/>
      <c r="T40" s="5"/>
      <c r="V40" s="1"/>
    </row>
    <row r="41" spans="1:22" ht="15">
      <c r="A41" s="32"/>
      <c r="B41" s="33"/>
      <c r="C41" s="32"/>
      <c r="D41" s="33"/>
      <c r="E41" s="34"/>
      <c r="F41" s="32"/>
      <c r="G41" s="32"/>
      <c r="H41" s="32"/>
      <c r="I41" s="37"/>
      <c r="J41" s="37"/>
      <c r="K41" s="35"/>
      <c r="L41" s="35"/>
      <c r="M41" s="35"/>
      <c r="N41" s="36"/>
      <c r="O41" s="32"/>
      <c r="P41" s="37"/>
      <c r="Q41" s="37"/>
      <c r="R41" s="38"/>
      <c r="S41" s="32"/>
      <c r="T41" s="39"/>
      <c r="U41" s="6"/>
      <c r="V41" s="6"/>
    </row>
    <row r="42" spans="1:22" ht="15">
      <c r="A42" s="40"/>
      <c r="B42" s="41"/>
      <c r="C42" s="42"/>
      <c r="D42" s="40"/>
      <c r="E42" s="40"/>
      <c r="F42" s="40"/>
      <c r="G42" s="43">
        <f>F42*6%</f>
        <v>0</v>
      </c>
      <c r="H42" s="43"/>
      <c r="I42" s="44">
        <f t="shared" si="4"/>
        <v>0</v>
      </c>
      <c r="J42" s="44">
        <f t="shared" si="0"/>
        <v>0</v>
      </c>
      <c r="K42" s="44">
        <f t="shared" si="1"/>
        <v>0</v>
      </c>
      <c r="L42" s="45"/>
      <c r="M42" s="40"/>
      <c r="N42" s="43">
        <f t="shared" si="2"/>
        <v>0</v>
      </c>
      <c r="O42" s="43">
        <f t="shared" si="3"/>
        <v>0</v>
      </c>
      <c r="P42" s="46"/>
      <c r="Q42" s="40"/>
      <c r="R42" s="40"/>
      <c r="S42" s="40"/>
      <c r="T42" s="5"/>
      <c r="V42" s="1"/>
    </row>
    <row r="43" spans="1:22" ht="15">
      <c r="A43" s="32"/>
      <c r="B43" s="33"/>
      <c r="C43" s="32"/>
      <c r="D43" s="33"/>
      <c r="E43" s="34"/>
      <c r="F43" s="32"/>
      <c r="G43" s="32"/>
      <c r="H43" s="32"/>
      <c r="I43" s="37"/>
      <c r="J43" s="37"/>
      <c r="K43" s="35"/>
      <c r="L43" s="35"/>
      <c r="M43" s="35"/>
      <c r="N43" s="36"/>
      <c r="O43" s="32"/>
      <c r="P43" s="37"/>
      <c r="Q43" s="37"/>
      <c r="R43" s="38"/>
      <c r="S43" s="32"/>
      <c r="T43" s="39"/>
      <c r="U43" s="6"/>
      <c r="V43" s="6"/>
    </row>
    <row r="44" spans="1:22" ht="15">
      <c r="A44" s="40"/>
      <c r="B44" s="41"/>
      <c r="C44" s="42"/>
      <c r="D44" s="40"/>
      <c r="E44" s="40"/>
      <c r="F44" s="40"/>
      <c r="G44" s="43">
        <f>F44*6%</f>
        <v>0</v>
      </c>
      <c r="H44" s="43"/>
      <c r="I44" s="44">
        <f t="shared" si="4"/>
        <v>0</v>
      </c>
      <c r="J44" s="44">
        <f t="shared" si="0"/>
        <v>0</v>
      </c>
      <c r="K44" s="44">
        <f t="shared" si="1"/>
        <v>0</v>
      </c>
      <c r="L44" s="45"/>
      <c r="M44" s="40"/>
      <c r="N44" s="43">
        <f t="shared" si="2"/>
        <v>0</v>
      </c>
      <c r="O44" s="43">
        <f t="shared" si="3"/>
        <v>0</v>
      </c>
      <c r="P44" s="46"/>
      <c r="Q44" s="40"/>
      <c r="R44" s="40"/>
      <c r="S44" s="40"/>
      <c r="T44" s="5"/>
      <c r="V44" s="1"/>
    </row>
  </sheetData>
  <mergeCells count="5">
    <mergeCell ref="P2:T2"/>
    <mergeCell ref="A2:C2"/>
    <mergeCell ref="G2:L2"/>
    <mergeCell ref="M2:O2"/>
    <mergeCell ref="D2:F2"/>
  </mergeCells>
  <conditionalFormatting sqref="G2:H2 M2 A2 D2 A3:U3">
    <cfRule type="containsText" dxfId="47" priority="284" operator="containsText" text="SIN FACTURA ">
      <formula>NOT(ISERROR(SEARCH("SIN FACTURA ",A2)))</formula>
    </cfRule>
  </conditionalFormatting>
  <conditionalFormatting sqref="A10:U10 H5:T9 A4:T4 A3:U3 A5:F9">
    <cfRule type="containsText" dxfId="46" priority="283" operator="containsText" text="SIN FACTURA">
      <formula>NOT(ISERROR(SEARCH("SIN FACTURA",A3)))</formula>
    </cfRule>
  </conditionalFormatting>
  <conditionalFormatting sqref="A5:T6 J44:T44 J42:T42 J40:T40 J38:T38 J36:T36 J34:T34 J32:T32 J30:T30 J28:T28 J26:T26 J16:T24 J7:T14 I7:I44 A7:H14 A16:H24 A26:H26 A28:H28 A30:H30 A32:H32 A34:H34 A36:H36 A38:H38 A40:H40 A42:H42 A44:H44">
    <cfRule type="containsText" dxfId="45" priority="23" operator="containsText" text="SIN FACTURA">
      <formula>NOT(ISERROR(SEARCH("SIN FACTURA",A5)))</formula>
    </cfRule>
  </conditionalFormatting>
  <conditionalFormatting sqref="C15:H15 J15:V15">
    <cfRule type="containsText" dxfId="43" priority="22" operator="containsText" text="SIN FACTURA">
      <formula>NOT(ISERROR(SEARCH("SIN FACTURA",C15)))</formula>
    </cfRule>
  </conditionalFormatting>
  <conditionalFormatting sqref="C25:H25 J25:V25">
    <cfRule type="containsText" dxfId="41" priority="21" operator="containsText" text="SIN FACTURA">
      <formula>NOT(ISERROR(SEARCH("SIN FACTURA",C25)))</formula>
    </cfRule>
  </conditionalFormatting>
  <conditionalFormatting sqref="C27:H27 J27:V27">
    <cfRule type="containsText" dxfId="39" priority="20" operator="containsText" text="SIN FACTURA">
      <formula>NOT(ISERROR(SEARCH("SIN FACTURA",C27)))</formula>
    </cfRule>
  </conditionalFormatting>
  <conditionalFormatting sqref="C29:H29 J29:V29">
    <cfRule type="containsText" dxfId="37" priority="19" operator="containsText" text="SIN FACTURA">
      <formula>NOT(ISERROR(SEARCH("SIN FACTURA",C29)))</formula>
    </cfRule>
  </conditionalFormatting>
  <conditionalFormatting sqref="C31:H31 J31:V31">
    <cfRule type="containsText" dxfId="35" priority="18" operator="containsText" text="SIN FACTURA">
      <formula>NOT(ISERROR(SEARCH("SIN FACTURA",C31)))</formula>
    </cfRule>
  </conditionalFormatting>
  <conditionalFormatting sqref="C33:H33 J33:V33">
    <cfRule type="containsText" dxfId="33" priority="17" operator="containsText" text="SIN FACTURA">
      <formula>NOT(ISERROR(SEARCH("SIN FACTURA",C33)))</formula>
    </cfRule>
  </conditionalFormatting>
  <conditionalFormatting sqref="C35:H35 J35:V35">
    <cfRule type="containsText" dxfId="31" priority="16" operator="containsText" text="SIN FACTURA">
      <formula>NOT(ISERROR(SEARCH("SIN FACTURA",C35)))</formula>
    </cfRule>
  </conditionalFormatting>
  <conditionalFormatting sqref="C37:H37 J37:V37">
    <cfRule type="containsText" dxfId="29" priority="15" operator="containsText" text="SIN FACTURA">
      <formula>NOT(ISERROR(SEARCH("SIN FACTURA",C37)))</formula>
    </cfRule>
  </conditionalFormatting>
  <conditionalFormatting sqref="C39:H39 J39:V39">
    <cfRule type="containsText" dxfId="27" priority="14" operator="containsText" text="SIN FACTURA">
      <formula>NOT(ISERROR(SEARCH("SIN FACTURA",C39)))</formula>
    </cfRule>
  </conditionalFormatting>
  <conditionalFormatting sqref="C41:H41 J41:V41">
    <cfRule type="containsText" dxfId="25" priority="13" operator="containsText" text="SIN FACTURA">
      <formula>NOT(ISERROR(SEARCH("SIN FACTURA",C41)))</formula>
    </cfRule>
  </conditionalFormatting>
  <conditionalFormatting sqref="C43:H43 J43:V43">
    <cfRule type="containsText" dxfId="23" priority="12" operator="containsText" text="SIN FACTURA">
      <formula>NOT(ISERROR(SEARCH("SIN FACTURA",C43)))</formula>
    </cfRule>
  </conditionalFormatting>
  <conditionalFormatting sqref="A15:B15">
    <cfRule type="containsText" dxfId="21" priority="11" operator="containsText" text="SIN FACTURA">
      <formula>NOT(ISERROR(SEARCH("SIN FACTURA",A15)))</formula>
    </cfRule>
  </conditionalFormatting>
  <conditionalFormatting sqref="A25:B25">
    <cfRule type="containsText" dxfId="19" priority="10" operator="containsText" text="SIN FACTURA">
      <formula>NOT(ISERROR(SEARCH("SIN FACTURA",A25)))</formula>
    </cfRule>
  </conditionalFormatting>
  <conditionalFormatting sqref="A27:B27">
    <cfRule type="containsText" dxfId="17" priority="9" operator="containsText" text="SIN FACTURA">
      <formula>NOT(ISERROR(SEARCH("SIN FACTURA",A27)))</formula>
    </cfRule>
  </conditionalFormatting>
  <conditionalFormatting sqref="A29:B29">
    <cfRule type="containsText" dxfId="15" priority="8" operator="containsText" text="SIN FACTURA">
      <formula>NOT(ISERROR(SEARCH("SIN FACTURA",A29)))</formula>
    </cfRule>
  </conditionalFormatting>
  <conditionalFormatting sqref="A31:B31">
    <cfRule type="containsText" dxfId="13" priority="7" operator="containsText" text="SIN FACTURA">
      <formula>NOT(ISERROR(SEARCH("SIN FACTURA",A31)))</formula>
    </cfRule>
  </conditionalFormatting>
  <conditionalFormatting sqref="A33:B33">
    <cfRule type="containsText" dxfId="11" priority="6" operator="containsText" text="SIN FACTURA">
      <formula>NOT(ISERROR(SEARCH("SIN FACTURA",A33)))</formula>
    </cfRule>
  </conditionalFormatting>
  <conditionalFormatting sqref="A35:B35">
    <cfRule type="containsText" dxfId="9" priority="5" operator="containsText" text="SIN FACTURA">
      <formula>NOT(ISERROR(SEARCH("SIN FACTURA",A35)))</formula>
    </cfRule>
  </conditionalFormatting>
  <conditionalFormatting sqref="A37:B37">
    <cfRule type="containsText" dxfId="7" priority="4" operator="containsText" text="SIN FACTURA">
      <formula>NOT(ISERROR(SEARCH("SIN FACTURA",A37)))</formula>
    </cfRule>
  </conditionalFormatting>
  <conditionalFormatting sqref="A39:B39">
    <cfRule type="containsText" dxfId="5" priority="3" operator="containsText" text="SIN FACTURA">
      <formula>NOT(ISERROR(SEARCH("SIN FACTURA",A39)))</formula>
    </cfRule>
  </conditionalFormatting>
  <conditionalFormatting sqref="A41:B41">
    <cfRule type="containsText" dxfId="3" priority="2" operator="containsText" text="SIN FACTURA">
      <formula>NOT(ISERROR(SEARCH("SIN FACTURA",A41)))</formula>
    </cfRule>
  </conditionalFormatting>
  <conditionalFormatting sqref="A43:B43">
    <cfRule type="containsText" dxfId="1" priority="1" operator="containsText" text="SIN FACTURA">
      <formula>NOT(ISERROR(SEARCH("SIN FACTURA",A43)))</formula>
    </cfRule>
  </conditionalFormatting>
  <pageMargins left="0.75" right="0.75" top="1" bottom="1" header="0.5" footer="0.5"/>
  <pageSetup paperSize="9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172</vt:i4>
      </vt:variant>
    </vt:vector>
  </HeadingPairs>
  <TitlesOfParts>
    <vt:vector size="172" baseType="lpstr">
      <vt:lpstr>Nueva plantilla 2019</vt:lpstr>
      <vt:lpstr>ADRMM</vt:lpstr>
      <vt:lpstr>ADRSM</vt:lpstr>
      <vt:lpstr>AINRV</vt:lpstr>
      <vt:lpstr>ALBAF</vt:lpstr>
      <vt:lpstr>ALBCP</vt:lpstr>
      <vt:lpstr>ALBRG</vt:lpstr>
      <vt:lpstr>ALBRS</vt:lpstr>
      <vt:lpstr>ALBVO</vt:lpstr>
      <vt:lpstr>ALEGL</vt:lpstr>
      <vt:lpstr>ALFP</vt:lpstr>
      <vt:lpstr>ANABG</vt:lpstr>
      <vt:lpstr>ANACF</vt:lpstr>
      <vt:lpstr>ANGN</vt:lpstr>
      <vt:lpstr>ANJK</vt:lpstr>
      <vt:lpstr>ANNACU</vt:lpstr>
      <vt:lpstr>ANDGUZ</vt:lpstr>
      <vt:lpstr>ANGRR</vt:lpstr>
      <vt:lpstr>ARALM</vt:lpstr>
      <vt:lpstr>ANTJAS</vt:lpstr>
      <vt:lpstr>ANTROV</vt:lpstr>
      <vt:lpstr>ANNFB</vt:lpstr>
      <vt:lpstr>ANNMCOL</vt:lpstr>
      <vt:lpstr>ARCP</vt:lpstr>
      <vt:lpstr>ARNAND</vt:lpstr>
      <vt:lpstr>AURCR</vt:lpstr>
      <vt:lpstr>BAIG</vt:lpstr>
      <vt:lpstr>BRUT</vt:lpstr>
      <vt:lpstr>CARS</vt:lpstr>
      <vt:lpstr>CARF</vt:lpstr>
      <vt:lpstr>CATAMC</vt:lpstr>
      <vt:lpstr>CECAM</vt:lpstr>
      <vt:lpstr>CESLOP</vt:lpstr>
      <vt:lpstr>CYNPM</vt:lpstr>
      <vt:lpstr>CLAG</vt:lpstr>
      <vt:lpstr>CLAGF</vt:lpstr>
      <vt:lpstr>CRIGB</vt:lpstr>
      <vt:lpstr>CRIGM</vt:lpstr>
      <vt:lpstr>DALBO</vt:lpstr>
      <vt:lpstr>DANPOC</vt:lpstr>
      <vt:lpstr>DAVPRI</vt:lpstr>
      <vt:lpstr>DAVMP</vt:lpstr>
      <vt:lpstr>DAVTI</vt:lpstr>
      <vt:lpstr>DESISTAN</vt:lpstr>
      <vt:lpstr>DIAPLA</vt:lpstr>
      <vt:lpstr>DIDGM</vt:lpstr>
      <vt:lpstr>DOMMS</vt:lpstr>
      <vt:lpstr>ELELALU</vt:lpstr>
      <vt:lpstr>ELICAU</vt:lpstr>
      <vt:lpstr>ELIMM</vt:lpstr>
      <vt:lpstr>EMIGF</vt:lpstr>
      <vt:lpstr>EMMAVL</vt:lpstr>
      <vt:lpstr>EMMD</vt:lpstr>
      <vt:lpstr>EULSG</vt:lpstr>
      <vt:lpstr>FATCT</vt:lpstr>
      <vt:lpstr>FINPM</vt:lpstr>
      <vt:lpstr>FRABM</vt:lpstr>
      <vt:lpstr>FRARD</vt:lpstr>
      <vt:lpstr>GEMBB</vt:lpstr>
      <vt:lpstr>GEORVARD</vt:lpstr>
      <vt:lpstr>GERCL</vt:lpstr>
      <vt:lpstr>GINBG</vt:lpstr>
      <vt:lpstr>GONCG</vt:lpstr>
      <vt:lpstr>GRETOR</vt:lpstr>
      <vt:lpstr>GUIVLL</vt:lpstr>
      <vt:lpstr>HECGC</vt:lpstr>
      <vt:lpstr>HELMR</vt:lpstr>
      <vt:lpstr>IANGL</vt:lpstr>
      <vt:lpstr>IGNM</vt:lpstr>
      <vt:lpstr>INEGB</vt:lpstr>
      <vt:lpstr>IVAD</vt:lpstr>
      <vt:lpstr>JACV</vt:lpstr>
      <vt:lpstr>JADM</vt:lpstr>
      <vt:lpstr>JEABB</vt:lpstr>
      <vt:lpstr>JESN</vt:lpstr>
      <vt:lpstr>JONGC</vt:lpstr>
      <vt:lpstr>JONGM</vt:lpstr>
      <vt:lpstr>JORVILA</vt:lpstr>
      <vt:lpstr>JORGA</vt:lpstr>
      <vt:lpstr>JORFDR</vt:lpstr>
      <vt:lpstr>JOAL</vt:lpstr>
      <vt:lpstr>JORAJ</vt:lpstr>
      <vt:lpstr>JORD</vt:lpstr>
      <vt:lpstr>JUABN</vt:lpstr>
      <vt:lpstr>JUACS</vt:lpstr>
      <vt:lpstr>JULCAP</vt:lpstr>
      <vt:lpstr>JORPA</vt:lpstr>
      <vt:lpstr>JOSLDLTC</vt:lpstr>
      <vt:lpstr>JUDBEL</vt:lpstr>
      <vt:lpstr>JUDO</vt:lpstr>
      <vt:lpstr>JULB</vt:lpstr>
      <vt:lpstr>JULNO</vt:lpstr>
      <vt:lpstr>KARSTETS</vt:lpstr>
      <vt:lpstr>KATS</vt:lpstr>
      <vt:lpstr>KRIMB</vt:lpstr>
      <vt:lpstr>LAIJR</vt:lpstr>
      <vt:lpstr>LAIM</vt:lpstr>
      <vt:lpstr>LARRG</vt:lpstr>
      <vt:lpstr>LAUARA</vt:lpstr>
      <vt:lpstr>LAUS</vt:lpstr>
      <vt:lpstr>LEIM</vt:lpstr>
      <vt:lpstr>LINVEL</vt:lpstr>
      <vt:lpstr>LISTRA</vt:lpstr>
      <vt:lpstr>LINMJ</vt:lpstr>
      <vt:lpstr>LUCDG</vt:lpstr>
      <vt:lpstr>LUIFM</vt:lpstr>
      <vt:lpstr>MACPONS</vt:lpstr>
      <vt:lpstr>MACT</vt:lpstr>
      <vt:lpstr>MANJZ</vt:lpstr>
      <vt:lpstr>MARCG</vt:lpstr>
      <vt:lpstr>MARDRS</vt:lpstr>
      <vt:lpstr>MARGC</vt:lpstr>
      <vt:lpstr>MARIGA</vt:lpstr>
      <vt:lpstr>MARMA</vt:lpstr>
      <vt:lpstr>MARLL</vt:lpstr>
      <vt:lpstr>MARRSA</vt:lpstr>
      <vt:lpstr>MARSS</vt:lpstr>
      <vt:lpstr>MARSVN</vt:lpstr>
      <vt:lpstr>MARTCAM</vt:lpstr>
      <vt:lpstr>MARVILL</vt:lpstr>
      <vt:lpstr>MAUDP</vt:lpstr>
      <vt:lpstr>MAUV</vt:lpstr>
      <vt:lpstr>MEREJ</vt:lpstr>
      <vt:lpstr>MEUGCAS</vt:lpstr>
      <vt:lpstr>MALR</vt:lpstr>
      <vt:lpstr>MIGGP</vt:lpstr>
      <vt:lpstr>MINCAS</vt:lpstr>
      <vt:lpstr>MONCL</vt:lpstr>
      <vt:lpstr>MONYMH</vt:lpstr>
      <vt:lpstr>NAHAG</vt:lpstr>
      <vt:lpstr>NEUCA</vt:lpstr>
      <vt:lpstr>NICAB</vt:lpstr>
      <vt:lpstr>NICV</vt:lpstr>
      <vt:lpstr>NOEMEN</vt:lpstr>
      <vt:lpstr>NURGLL</vt:lpstr>
      <vt:lpstr>OLGA</vt:lpstr>
      <vt:lpstr>ORIPLA</vt:lpstr>
      <vt:lpstr>OSKM</vt:lpstr>
      <vt:lpstr>PABR</vt:lpstr>
      <vt:lpstr>PABRG</vt:lpstr>
      <vt:lpstr>PATU</vt:lpstr>
      <vt:lpstr>PAUBAS</vt:lpstr>
      <vt:lpstr>PAUSS</vt:lpstr>
      <vt:lpstr>QUIVC</vt:lpstr>
      <vt:lpstr>RACAA</vt:lpstr>
      <vt:lpstr>RAPCAG</vt:lpstr>
      <vt:lpstr>RAQBA</vt:lpstr>
      <vt:lpstr>RICGAST</vt:lpstr>
      <vt:lpstr>ROCAH</vt:lpstr>
      <vt:lpstr>RUBPV</vt:lpstr>
      <vt:lpstr>SALVRIBA</vt:lpstr>
      <vt:lpstr>SALVSANCH</vt:lpstr>
      <vt:lpstr>SELA</vt:lpstr>
      <vt:lpstr>STIK</vt:lpstr>
      <vt:lpstr>SOFDEM</vt:lpstr>
      <vt:lpstr>SONEM</vt:lpstr>
      <vt:lpstr>SONG</vt:lpstr>
      <vt:lpstr>THAJUL</vt:lpstr>
      <vt:lpstr>THAPFA</vt:lpstr>
      <vt:lpstr>TIZC</vt:lpstr>
      <vt:lpstr>TOMT</vt:lpstr>
      <vt:lpstr>TOMZET</vt:lpstr>
      <vt:lpstr>TUPMD</vt:lpstr>
      <vt:lpstr>VANPER</vt:lpstr>
      <vt:lpstr>VICCA</vt:lpstr>
      <vt:lpstr>VICR</vt:lpstr>
      <vt:lpstr>XABE</vt:lpstr>
      <vt:lpstr>XAVGI</vt:lpstr>
      <vt:lpstr>XAVSAN</vt:lpstr>
      <vt:lpstr>XEVCA</vt:lpstr>
      <vt:lpstr>YOERS</vt:lpstr>
      <vt:lpstr>PUNTUALES</vt:lpstr>
    </vt:vector>
  </TitlesOfParts>
  <Company>LABONITA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LABONITA OXIDADOS</dc:creator>
  <cp:lastModifiedBy>Win7</cp:lastModifiedBy>
  <cp:lastPrinted>2019-03-15T07:31:08Z</cp:lastPrinted>
  <dcterms:created xsi:type="dcterms:W3CDTF">2016-01-04T11:54:26Z</dcterms:created>
  <dcterms:modified xsi:type="dcterms:W3CDTF">2020-01-14T10:06:43Z</dcterms:modified>
</cp:coreProperties>
</file>
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ropbox (LaBonita)\Carpeta del equipo de LaBonita\1- CONTROL\"/>
    </mc:Choice>
  </mc:AlternateContent>
  <xr:revisionPtr revIDLastSave="0" documentId="13_ncr:1_{3E986C71-4391-42B1-BFE9-04BBD107A70B}" xr6:coauthVersionLast="47" xr6:coauthVersionMax="47" xr10:uidLastSave="{00000000-0000-0000-0000-000000000000}"/>
  <bookViews>
    <workbookView xWindow="-120" yWindow="-120" windowWidth="29040" windowHeight="15720" tabRatio="978" firstSheet="9" activeTab="20" xr2:uid="{00000000-000D-0000-FFFF-FFFF00000000}"/>
  </bookViews>
  <sheets>
    <sheet name="MODELO PLANTILLA" sheetId="249" r:id="rId1"/>
    <sheet name="ALBA RAMIO" sheetId="229" r:id="rId2"/>
    <sheet name="ALBERT REQUENA" sheetId="210" r:id="rId3"/>
    <sheet name="ANNA FONTA" sheetId="209" r:id="rId4"/>
    <sheet name="BARBARA CAPPI" sheetId="225" r:id="rId5"/>
    <sheet name="CAROL STE" sheetId="80" r:id="rId6"/>
    <sheet name="DANIEL SANTOLO" sheetId="213" r:id="rId7"/>
    <sheet name="DIDAC GIL" sheetId="252" r:id="rId8"/>
    <sheet name="ELENA LALUCAT" sheetId="228" r:id="rId9"/>
    <sheet name="EULALIA CUXART" sheetId="254" r:id="rId10"/>
    <sheet name="FREYA MARIE" sheetId="255" r:id="rId11"/>
    <sheet name="GASTON SANCHEZ" sheetId="256" r:id="rId12"/>
    <sheet name="DANILO FACELLI" sheetId="238" r:id="rId13"/>
    <sheet name="DALMAU BOADA" sheetId="208" r:id="rId14"/>
    <sheet name="DAVID PRIEGO" sheetId="239" r:id="rId15"/>
    <sheet name="ELI CAU" sheetId="147" r:id="rId16"/>
    <sheet name="GAIA MAG" sheetId="245" r:id="rId17"/>
    <sheet name="GEMM BERENGUER" sheetId="219" r:id="rId18"/>
    <sheet name="GEORGIA VAR" sheetId="215" r:id="rId19"/>
    <sheet name="GREGORZ" sheetId="236" r:id="rId20"/>
    <sheet name="HECTOR GRANADA" sheetId="251" r:id="rId21"/>
    <sheet name="IRENE ROYO" sheetId="253" r:id="rId22"/>
    <sheet name="IGNACIO RICCI" sheetId="242" r:id="rId23"/>
    <sheet name="INES BOZA" sheetId="187" r:id="rId24"/>
    <sheet name="JADE MORIN" sheetId="221" r:id="rId25"/>
    <sheet name="JORDI GAS" sheetId="218" r:id="rId26"/>
    <sheet name="JORDI PUJA" sheetId="207" r:id="rId27"/>
    <sheet name="JORGE ALB" sheetId="92" r:id="rId28"/>
    <sheet name="JORG DAROCHA" sheetId="212" r:id="rId29"/>
    <sheet name="KARL STETS" sheetId="223" r:id="rId30"/>
    <sheet name="ONA BERROCAL" sheetId="206" r:id="rId31"/>
    <sheet name="LAURA MOR" sheetId="216" r:id="rId32"/>
    <sheet name="LINDA VEL" sheetId="23" r:id="rId33"/>
    <sheet name="LISARD T" sheetId="235" r:id="rId34"/>
    <sheet name="LLUIS FGS" sheetId="155" r:id="rId35"/>
    <sheet name="LLUIS LOPEZ" sheetId="240" r:id="rId36"/>
    <sheet name="MALENA ALBARRACIN" sheetId="161" r:id="rId37"/>
    <sheet name="MARIG" sheetId="110" r:id="rId38"/>
    <sheet name="MARGARITA PONCE" sheetId="259" r:id="rId39"/>
    <sheet name="MARINA MULET" sheetId="244" r:id="rId40"/>
    <sheet name="MARTA CAMUFFI" sheetId="1" r:id="rId41"/>
    <sheet name="MARTA GA" sheetId="177" r:id="rId42"/>
    <sheet name="MAU PAG" sheetId="40" r:id="rId43"/>
    <sheet name="NICO BENI" sheetId="48" r:id="rId44"/>
    <sheet name="NICOCHEV" sheetId="241" r:id="rId45"/>
    <sheet name="STIN KOP" sheetId="78" r:id="rId46"/>
    <sheet name="ROCIO AHU" sheetId="125" r:id="rId47"/>
    <sheet name="SEBASTIAN DIAZ" sheetId="233" r:id="rId48"/>
    <sheet name="SEBASTIAN GUZ" sheetId="247" r:id="rId49"/>
    <sheet name="SON GOM" sheetId="66" r:id="rId50"/>
    <sheet name="THAIS JULIA" sheetId="231" r:id="rId51"/>
    <sheet name="THOM ZETT" sheetId="86" r:id="rId52"/>
    <sheet name="TIZIANO CAFFI" sheetId="257" r:id="rId53"/>
    <sheet name="VICENTE MARTINEZ" sheetId="234" r:id="rId54"/>
    <sheet name="VICT EUGE CAR" sheetId="70" r:id="rId55"/>
    <sheet name="XAVI GARC" sheetId="20" r:id="rId56"/>
    <sheet name="XAVI SANCHEZ" sheetId="226" r:id="rId57"/>
    <sheet name="ZABALLA AGUSTINA" sheetId="260" r:id="rId58"/>
    <sheet name="CIA ELE" sheetId="43" r:id="rId59"/>
    <sheet name="CIA LAS PERLAS" sheetId="258" r:id="rId60"/>
    <sheet name="CIA LAS SISTARS" sheetId="230" r:id="rId61"/>
    <sheet name="PILAR DE DOS_NEUS CANALIAS" sheetId="224" r:id="rId62"/>
    <sheet name="CIA CIRCOBAYA" sheetId="250" r:id="rId63"/>
    <sheet name="CIA SOM NOISE" sheetId="196" r:id="rId64"/>
    <sheet name="CIA TERCIO INCLUSO" sheetId="237" r:id="rId65"/>
    <sheet name="CIA TWISTING" sheetId="61" r:id="rId66"/>
    <sheet name="CIA XUCRUT" sheetId="222" r:id="rId67"/>
    <sheet name="CIA LAS CALVAS" sheetId="261" r:id="rId68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2" i="261" l="1"/>
  <c r="N42" i="261" s="1"/>
  <c r="K42" i="261"/>
  <c r="J42" i="261"/>
  <c r="J43" i="261" s="1"/>
  <c r="H42" i="261"/>
  <c r="G42" i="261"/>
  <c r="E42" i="261"/>
  <c r="O41" i="261"/>
  <c r="M41" i="261"/>
  <c r="K41" i="261"/>
  <c r="I41" i="261"/>
  <c r="F41" i="261"/>
  <c r="O40" i="261"/>
  <c r="M40" i="261"/>
  <c r="K40" i="261"/>
  <c r="I40" i="261"/>
  <c r="O39" i="261"/>
  <c r="M39" i="261"/>
  <c r="K39" i="261"/>
  <c r="I39" i="261"/>
  <c r="O38" i="261"/>
  <c r="M38" i="261"/>
  <c r="K38" i="261"/>
  <c r="I38" i="261"/>
  <c r="O37" i="261"/>
  <c r="M37" i="261"/>
  <c r="K37" i="261"/>
  <c r="I37" i="261"/>
  <c r="F37" i="261"/>
  <c r="O36" i="261"/>
  <c r="M36" i="261"/>
  <c r="K36" i="261"/>
  <c r="I36" i="261"/>
  <c r="O35" i="261"/>
  <c r="M35" i="261"/>
  <c r="K35" i="261"/>
  <c r="I35" i="261"/>
  <c r="O34" i="261"/>
  <c r="M34" i="261"/>
  <c r="M42" i="261" s="1"/>
  <c r="K34" i="261"/>
  <c r="I34" i="261"/>
  <c r="I42" i="261" s="1"/>
  <c r="L33" i="261"/>
  <c r="N33" i="261" s="1"/>
  <c r="J33" i="261"/>
  <c r="H33" i="261"/>
  <c r="H43" i="261" s="1"/>
  <c r="G33" i="261"/>
  <c r="E33" i="261"/>
  <c r="E43" i="261" s="1"/>
  <c r="O32" i="261"/>
  <c r="M32" i="261"/>
  <c r="K32" i="261"/>
  <c r="I32" i="261"/>
  <c r="F32" i="261"/>
  <c r="O31" i="261"/>
  <c r="M31" i="261"/>
  <c r="K31" i="261"/>
  <c r="I31" i="261"/>
  <c r="F31" i="261" s="1"/>
  <c r="O30" i="261"/>
  <c r="M30" i="261"/>
  <c r="K30" i="261"/>
  <c r="O29" i="261"/>
  <c r="M29" i="261"/>
  <c r="K29" i="261"/>
  <c r="I29" i="261"/>
  <c r="F29" i="261" s="1"/>
  <c r="O28" i="261"/>
  <c r="M28" i="261"/>
  <c r="K28" i="261"/>
  <c r="I28" i="261"/>
  <c r="F28" i="261" s="1"/>
  <c r="O27" i="261"/>
  <c r="M27" i="261"/>
  <c r="K27" i="261"/>
  <c r="I27" i="261"/>
  <c r="F27" i="261"/>
  <c r="O26" i="261"/>
  <c r="M26" i="261"/>
  <c r="K26" i="261"/>
  <c r="I26" i="261"/>
  <c r="F26" i="261"/>
  <c r="O25" i="261"/>
  <c r="M25" i="261"/>
  <c r="K25" i="261"/>
  <c r="I25" i="261"/>
  <c r="F25" i="261" s="1"/>
  <c r="O24" i="261"/>
  <c r="O33" i="261" s="1"/>
  <c r="M24" i="261"/>
  <c r="M33" i="261" s="1"/>
  <c r="K24" i="261"/>
  <c r="K33" i="261" s="1"/>
  <c r="I24" i="261"/>
  <c r="F24" i="261"/>
  <c r="L23" i="261"/>
  <c r="J23" i="261"/>
  <c r="N23" i="261" s="1"/>
  <c r="H23" i="261"/>
  <c r="G23" i="261"/>
  <c r="E23" i="261"/>
  <c r="O22" i="261"/>
  <c r="M22" i="261"/>
  <c r="K22" i="261"/>
  <c r="I22" i="261"/>
  <c r="F22" i="261"/>
  <c r="O21" i="261"/>
  <c r="M21" i="261"/>
  <c r="K21" i="261"/>
  <c r="I21" i="261"/>
  <c r="F21" i="261"/>
  <c r="O20" i="261"/>
  <c r="M20" i="261"/>
  <c r="K20" i="261"/>
  <c r="I20" i="261"/>
  <c r="F20" i="261"/>
  <c r="O19" i="261"/>
  <c r="M19" i="261"/>
  <c r="K19" i="261"/>
  <c r="I19" i="261"/>
  <c r="F19" i="261" s="1"/>
  <c r="F23" i="261" s="1"/>
  <c r="O18" i="261"/>
  <c r="M18" i="261"/>
  <c r="K18" i="261"/>
  <c r="K23" i="261" s="1"/>
  <c r="I18" i="261"/>
  <c r="F18" i="261"/>
  <c r="O17" i="261"/>
  <c r="M17" i="261"/>
  <c r="K17" i="261"/>
  <c r="I17" i="261"/>
  <c r="O16" i="261"/>
  <c r="M16" i="261"/>
  <c r="K16" i="261"/>
  <c r="I16" i="261"/>
  <c r="O15" i="261"/>
  <c r="M15" i="261"/>
  <c r="K15" i="261"/>
  <c r="I15" i="261"/>
  <c r="O14" i="261"/>
  <c r="O23" i="261" s="1"/>
  <c r="M14" i="261"/>
  <c r="M23" i="261" s="1"/>
  <c r="K14" i="261"/>
  <c r="I14" i="261"/>
  <c r="I23" i="261" s="1"/>
  <c r="L13" i="261"/>
  <c r="J13" i="261"/>
  <c r="N13" i="261" s="1"/>
  <c r="H13" i="261"/>
  <c r="G13" i="261"/>
  <c r="E13" i="261"/>
  <c r="O12" i="261"/>
  <c r="M12" i="261"/>
  <c r="K12" i="261"/>
  <c r="I12" i="261"/>
  <c r="F12" i="261"/>
  <c r="O11" i="261"/>
  <c r="M11" i="261"/>
  <c r="K11" i="261"/>
  <c r="I11" i="261"/>
  <c r="F11" i="261"/>
  <c r="O10" i="261"/>
  <c r="M10" i="261"/>
  <c r="K10" i="261"/>
  <c r="I10" i="261"/>
  <c r="F10" i="261"/>
  <c r="O9" i="261"/>
  <c r="M9" i="261"/>
  <c r="K9" i="261"/>
  <c r="I9" i="261"/>
  <c r="F9" i="261" s="1"/>
  <c r="O8" i="261"/>
  <c r="M8" i="261"/>
  <c r="K8" i="261"/>
  <c r="I8" i="261"/>
  <c r="F8" i="261" s="1"/>
  <c r="O7" i="261"/>
  <c r="M7" i="261"/>
  <c r="K7" i="261"/>
  <c r="I7" i="261"/>
  <c r="F7" i="261"/>
  <c r="O6" i="261"/>
  <c r="O13" i="261" s="1"/>
  <c r="M6" i="261"/>
  <c r="K6" i="261"/>
  <c r="I6" i="261"/>
  <c r="F6" i="261"/>
  <c r="O5" i="261"/>
  <c r="M5" i="261"/>
  <c r="M13" i="261" s="1"/>
  <c r="K5" i="261"/>
  <c r="K13" i="261" s="1"/>
  <c r="I5" i="261"/>
  <c r="K39" i="213"/>
  <c r="K40" i="213"/>
  <c r="I39" i="213"/>
  <c r="F39" i="213" s="1"/>
  <c r="M39" i="213"/>
  <c r="O42" i="261" l="1"/>
  <c r="O43" i="261" s="1"/>
  <c r="I13" i="261"/>
  <c r="G43" i="261"/>
  <c r="F42" i="261"/>
  <c r="K43" i="261"/>
  <c r="K4" i="261" s="1"/>
  <c r="M43" i="261"/>
  <c r="I33" i="261"/>
  <c r="F33" i="261" s="1"/>
  <c r="L43" i="261"/>
  <c r="F5" i="261"/>
  <c r="F13" i="261" s="1"/>
  <c r="I42" i="233"/>
  <c r="F42" i="233" s="1"/>
  <c r="M42" i="233"/>
  <c r="I43" i="233"/>
  <c r="F43" i="233" s="1"/>
  <c r="K43" i="233"/>
  <c r="M43" i="233"/>
  <c r="F44" i="233"/>
  <c r="I44" i="233"/>
  <c r="K44" i="233"/>
  <c r="M44" i="233"/>
  <c r="N43" i="261" l="1"/>
  <c r="N4" i="261"/>
  <c r="I43" i="261"/>
  <c r="L42" i="260"/>
  <c r="N42" i="260" s="1"/>
  <c r="K42" i="260"/>
  <c r="J42" i="260"/>
  <c r="J43" i="260" s="1"/>
  <c r="H42" i="260"/>
  <c r="G42" i="260"/>
  <c r="E42" i="260"/>
  <c r="G43" i="260" s="1"/>
  <c r="O41" i="260"/>
  <c r="M41" i="260"/>
  <c r="K41" i="260"/>
  <c r="I41" i="260"/>
  <c r="F41" i="260"/>
  <c r="O40" i="260"/>
  <c r="M40" i="260"/>
  <c r="K40" i="260"/>
  <c r="I40" i="260"/>
  <c r="O39" i="260"/>
  <c r="M39" i="260"/>
  <c r="K39" i="260"/>
  <c r="I39" i="260"/>
  <c r="O38" i="260"/>
  <c r="M38" i="260"/>
  <c r="K38" i="260"/>
  <c r="I38" i="260"/>
  <c r="O37" i="260"/>
  <c r="M37" i="260"/>
  <c r="K37" i="260"/>
  <c r="I37" i="260"/>
  <c r="F37" i="260"/>
  <c r="O36" i="260"/>
  <c r="O42" i="260" s="1"/>
  <c r="M36" i="260"/>
  <c r="K36" i="260"/>
  <c r="I36" i="260"/>
  <c r="O35" i="260"/>
  <c r="M35" i="260"/>
  <c r="K35" i="260"/>
  <c r="I35" i="260"/>
  <c r="O34" i="260"/>
  <c r="M34" i="260"/>
  <c r="M42" i="260" s="1"/>
  <c r="K34" i="260"/>
  <c r="I34" i="260"/>
  <c r="I42" i="260" s="1"/>
  <c r="L33" i="260"/>
  <c r="N33" i="260" s="1"/>
  <c r="J33" i="260"/>
  <c r="H33" i="260"/>
  <c r="H43" i="260" s="1"/>
  <c r="G33" i="260"/>
  <c r="E33" i="260"/>
  <c r="E43" i="260" s="1"/>
  <c r="O32" i="260"/>
  <c r="M32" i="260"/>
  <c r="K32" i="260"/>
  <c r="I32" i="260"/>
  <c r="F32" i="260"/>
  <c r="O31" i="260"/>
  <c r="M31" i="260"/>
  <c r="K31" i="260"/>
  <c r="I31" i="260"/>
  <c r="F31" i="260" s="1"/>
  <c r="O30" i="260"/>
  <c r="M30" i="260"/>
  <c r="K30" i="260"/>
  <c r="O29" i="260"/>
  <c r="M29" i="260"/>
  <c r="K29" i="260"/>
  <c r="I29" i="260"/>
  <c r="F29" i="260" s="1"/>
  <c r="O28" i="260"/>
  <c r="M28" i="260"/>
  <c r="K28" i="260"/>
  <c r="I28" i="260"/>
  <c r="F28" i="260" s="1"/>
  <c r="O27" i="260"/>
  <c r="M27" i="260"/>
  <c r="K27" i="260"/>
  <c r="I27" i="260"/>
  <c r="F27" i="260"/>
  <c r="O26" i="260"/>
  <c r="M26" i="260"/>
  <c r="K26" i="260"/>
  <c r="I26" i="260"/>
  <c r="F26" i="260"/>
  <c r="O25" i="260"/>
  <c r="M25" i="260"/>
  <c r="K25" i="260"/>
  <c r="I25" i="260"/>
  <c r="F25" i="260" s="1"/>
  <c r="O24" i="260"/>
  <c r="O33" i="260" s="1"/>
  <c r="M24" i="260"/>
  <c r="M33" i="260" s="1"/>
  <c r="K24" i="260"/>
  <c r="K33" i="260" s="1"/>
  <c r="I24" i="260"/>
  <c r="F24" i="260" s="1"/>
  <c r="L23" i="260"/>
  <c r="J23" i="260"/>
  <c r="N23" i="260" s="1"/>
  <c r="H23" i="260"/>
  <c r="G23" i="260"/>
  <c r="E23" i="260"/>
  <c r="O22" i="260"/>
  <c r="M22" i="260"/>
  <c r="K22" i="260"/>
  <c r="I22" i="260"/>
  <c r="F22" i="260" s="1"/>
  <c r="O21" i="260"/>
  <c r="M21" i="260"/>
  <c r="K21" i="260"/>
  <c r="I21" i="260"/>
  <c r="F21" i="260"/>
  <c r="O20" i="260"/>
  <c r="M20" i="260"/>
  <c r="K20" i="260"/>
  <c r="I20" i="260"/>
  <c r="F20" i="260"/>
  <c r="O19" i="260"/>
  <c r="M19" i="260"/>
  <c r="K19" i="260"/>
  <c r="I19" i="260"/>
  <c r="F19" i="260" s="1"/>
  <c r="O18" i="260"/>
  <c r="M18" i="260"/>
  <c r="K18" i="260"/>
  <c r="I18" i="260"/>
  <c r="F18" i="260" s="1"/>
  <c r="O17" i="260"/>
  <c r="M17" i="260"/>
  <c r="K17" i="260"/>
  <c r="I17" i="260"/>
  <c r="O16" i="260"/>
  <c r="M16" i="260"/>
  <c r="K16" i="260"/>
  <c r="I16" i="260"/>
  <c r="O15" i="260"/>
  <c r="M15" i="260"/>
  <c r="K15" i="260"/>
  <c r="I15" i="260"/>
  <c r="O14" i="260"/>
  <c r="O23" i="260" s="1"/>
  <c r="M14" i="260"/>
  <c r="M23" i="260" s="1"/>
  <c r="K14" i="260"/>
  <c r="K23" i="260" s="1"/>
  <c r="I14" i="260"/>
  <c r="I23" i="260" s="1"/>
  <c r="L13" i="260"/>
  <c r="J13" i="260"/>
  <c r="N13" i="260" s="1"/>
  <c r="H13" i="260"/>
  <c r="G13" i="260"/>
  <c r="E13" i="260"/>
  <c r="O12" i="260"/>
  <c r="M12" i="260"/>
  <c r="K12" i="260"/>
  <c r="I12" i="260"/>
  <c r="F12" i="260" s="1"/>
  <c r="O11" i="260"/>
  <c r="M11" i="260"/>
  <c r="K11" i="260"/>
  <c r="I11" i="260"/>
  <c r="F11" i="260"/>
  <c r="O10" i="260"/>
  <c r="M10" i="260"/>
  <c r="K10" i="260"/>
  <c r="I10" i="260"/>
  <c r="F10" i="260"/>
  <c r="O9" i="260"/>
  <c r="M9" i="260"/>
  <c r="K9" i="260"/>
  <c r="I9" i="260"/>
  <c r="F9" i="260" s="1"/>
  <c r="O8" i="260"/>
  <c r="M8" i="260"/>
  <c r="K8" i="260"/>
  <c r="I8" i="260"/>
  <c r="F8" i="260" s="1"/>
  <c r="O7" i="260"/>
  <c r="M7" i="260"/>
  <c r="K7" i="260"/>
  <c r="I7" i="260"/>
  <c r="F7" i="260"/>
  <c r="O6" i="260"/>
  <c r="M6" i="260"/>
  <c r="K6" i="260"/>
  <c r="I6" i="260"/>
  <c r="F6" i="260"/>
  <c r="O5" i="260"/>
  <c r="O13" i="260" s="1"/>
  <c r="M5" i="260"/>
  <c r="M13" i="260" s="1"/>
  <c r="K5" i="260"/>
  <c r="K13" i="260" s="1"/>
  <c r="I5" i="260"/>
  <c r="I13" i="260" s="1"/>
  <c r="F43" i="261" l="1"/>
  <c r="I4" i="261"/>
  <c r="F23" i="260"/>
  <c r="M43" i="260"/>
  <c r="K43" i="260"/>
  <c r="K4" i="260" s="1"/>
  <c r="F42" i="260"/>
  <c r="O43" i="260"/>
  <c r="I33" i="260"/>
  <c r="F33" i="260" s="1"/>
  <c r="L43" i="260"/>
  <c r="F5" i="260"/>
  <c r="F13" i="260" s="1"/>
  <c r="O46" i="247"/>
  <c r="O47" i="247"/>
  <c r="O48" i="247"/>
  <c r="O49" i="247"/>
  <c r="O50" i="247"/>
  <c r="M46" i="247"/>
  <c r="M47" i="247"/>
  <c r="M48" i="247"/>
  <c r="M49" i="247"/>
  <c r="M50" i="247"/>
  <c r="J50" i="247"/>
  <c r="K50" i="247" s="1"/>
  <c r="I46" i="247"/>
  <c r="F46" i="247" s="1"/>
  <c r="I47" i="247"/>
  <c r="F47" i="247" s="1"/>
  <c r="I48" i="247"/>
  <c r="F48" i="247" s="1"/>
  <c r="I49" i="247"/>
  <c r="J49" i="247" s="1"/>
  <c r="K49" i="247" s="1"/>
  <c r="F50" i="247"/>
  <c r="I50" i="247"/>
  <c r="J48" i="247" l="1"/>
  <c r="K48" i="247" s="1"/>
  <c r="J47" i="247"/>
  <c r="K47" i="247" s="1"/>
  <c r="F49" i="247"/>
  <c r="N43" i="260"/>
  <c r="N4" i="260"/>
  <c r="I43" i="260"/>
  <c r="J46" i="247"/>
  <c r="K46" i="247" s="1"/>
  <c r="K56" i="219"/>
  <c r="I61" i="219"/>
  <c r="N61" i="219"/>
  <c r="E61" i="219"/>
  <c r="I65" i="219"/>
  <c r="F65" i="219" s="1"/>
  <c r="L65" i="219"/>
  <c r="N65" i="219"/>
  <c r="I63" i="219"/>
  <c r="F63" i="219" s="1"/>
  <c r="L63" i="219"/>
  <c r="N63" i="219"/>
  <c r="F43" i="260" l="1"/>
  <c r="I4" i="260"/>
  <c r="F61" i="219"/>
  <c r="O33" i="247"/>
  <c r="M33" i="247"/>
  <c r="K33" i="247"/>
  <c r="I33" i="247"/>
  <c r="F33" i="247" s="1"/>
  <c r="J27" i="225"/>
  <c r="J27" i="247"/>
  <c r="K23" i="238"/>
  <c r="M27" i="238"/>
  <c r="I25" i="238"/>
  <c r="F25" i="238" s="1"/>
  <c r="M29" i="238"/>
  <c r="O25" i="238"/>
  <c r="M25" i="238"/>
  <c r="K25" i="238"/>
  <c r="L45" i="206" l="1"/>
  <c r="L35" i="206"/>
  <c r="L25" i="206"/>
  <c r="O24" i="238"/>
  <c r="M24" i="238"/>
  <c r="K24" i="238"/>
  <c r="I24" i="238"/>
  <c r="F24" i="238" s="1"/>
  <c r="O26" i="225"/>
  <c r="M26" i="225"/>
  <c r="M25" i="225"/>
  <c r="K26" i="225"/>
  <c r="K24" i="225"/>
  <c r="M24" i="225"/>
  <c r="I26" i="225"/>
  <c r="F26" i="225" s="1"/>
  <c r="L42" i="259"/>
  <c r="J42" i="259"/>
  <c r="H42" i="259"/>
  <c r="G42" i="259"/>
  <c r="E42" i="259"/>
  <c r="O41" i="259"/>
  <c r="M41" i="259"/>
  <c r="K41" i="259"/>
  <c r="I41" i="259"/>
  <c r="F41" i="259" s="1"/>
  <c r="O40" i="259"/>
  <c r="M40" i="259"/>
  <c r="K40" i="259"/>
  <c r="I40" i="259"/>
  <c r="O39" i="259"/>
  <c r="M39" i="259"/>
  <c r="K39" i="259"/>
  <c r="I39" i="259"/>
  <c r="O38" i="259"/>
  <c r="M38" i="259"/>
  <c r="K38" i="259"/>
  <c r="I38" i="259"/>
  <c r="O37" i="259"/>
  <c r="M37" i="259"/>
  <c r="K37" i="259"/>
  <c r="I37" i="259"/>
  <c r="F37" i="259" s="1"/>
  <c r="O36" i="259"/>
  <c r="M36" i="259"/>
  <c r="K36" i="259"/>
  <c r="I36" i="259"/>
  <c r="O35" i="259"/>
  <c r="M35" i="259"/>
  <c r="K35" i="259"/>
  <c r="I35" i="259"/>
  <c r="O34" i="259"/>
  <c r="M34" i="259"/>
  <c r="K34" i="259"/>
  <c r="I34" i="259"/>
  <c r="L33" i="259"/>
  <c r="J33" i="259"/>
  <c r="H33" i="259"/>
  <c r="G33" i="259"/>
  <c r="E33" i="259"/>
  <c r="O32" i="259"/>
  <c r="M32" i="259"/>
  <c r="K32" i="259"/>
  <c r="I32" i="259"/>
  <c r="F32" i="259" s="1"/>
  <c r="O31" i="259"/>
  <c r="M31" i="259"/>
  <c r="K31" i="259"/>
  <c r="I31" i="259"/>
  <c r="F31" i="259" s="1"/>
  <c r="O30" i="259"/>
  <c r="M30" i="259"/>
  <c r="K30" i="259"/>
  <c r="O29" i="259"/>
  <c r="M29" i="259"/>
  <c r="K29" i="259"/>
  <c r="I29" i="259"/>
  <c r="F29" i="259" s="1"/>
  <c r="O28" i="259"/>
  <c r="M28" i="259"/>
  <c r="K28" i="259"/>
  <c r="I28" i="259"/>
  <c r="F28" i="259" s="1"/>
  <c r="O27" i="259"/>
  <c r="M27" i="259"/>
  <c r="K27" i="259"/>
  <c r="I27" i="259"/>
  <c r="F27" i="259" s="1"/>
  <c r="O26" i="259"/>
  <c r="M26" i="259"/>
  <c r="K26" i="259"/>
  <c r="I26" i="259"/>
  <c r="F26" i="259" s="1"/>
  <c r="O25" i="259"/>
  <c r="M25" i="259"/>
  <c r="K25" i="259"/>
  <c r="I25" i="259"/>
  <c r="F25" i="259" s="1"/>
  <c r="O24" i="259"/>
  <c r="M24" i="259"/>
  <c r="K24" i="259"/>
  <c r="I24" i="259"/>
  <c r="F24" i="259" s="1"/>
  <c r="L23" i="259"/>
  <c r="J23" i="259"/>
  <c r="H23" i="259"/>
  <c r="G23" i="259"/>
  <c r="E23" i="259"/>
  <c r="O22" i="259"/>
  <c r="M22" i="259"/>
  <c r="K22" i="259"/>
  <c r="I22" i="259"/>
  <c r="F22" i="259" s="1"/>
  <c r="O21" i="259"/>
  <c r="M21" i="259"/>
  <c r="K21" i="259"/>
  <c r="I21" i="259"/>
  <c r="F21" i="259" s="1"/>
  <c r="O20" i="259"/>
  <c r="M20" i="259"/>
  <c r="K20" i="259"/>
  <c r="I20" i="259"/>
  <c r="F20" i="259" s="1"/>
  <c r="O19" i="259"/>
  <c r="M19" i="259"/>
  <c r="K19" i="259"/>
  <c r="I19" i="259"/>
  <c r="F19" i="259" s="1"/>
  <c r="O18" i="259"/>
  <c r="M18" i="259"/>
  <c r="K18" i="259"/>
  <c r="I18" i="259"/>
  <c r="F18" i="259" s="1"/>
  <c r="O17" i="259"/>
  <c r="M17" i="259"/>
  <c r="K17" i="259"/>
  <c r="I17" i="259"/>
  <c r="O16" i="259"/>
  <c r="M16" i="259"/>
  <c r="K16" i="259"/>
  <c r="I16" i="259"/>
  <c r="O15" i="259"/>
  <c r="M15" i="259"/>
  <c r="K15" i="259"/>
  <c r="I15" i="259"/>
  <c r="O14" i="259"/>
  <c r="M14" i="259"/>
  <c r="K14" i="259"/>
  <c r="I14" i="259"/>
  <c r="L13" i="259"/>
  <c r="J13" i="259"/>
  <c r="H13" i="259"/>
  <c r="G13" i="259"/>
  <c r="E13" i="259"/>
  <c r="O12" i="259"/>
  <c r="M12" i="259"/>
  <c r="K12" i="259"/>
  <c r="I12" i="259"/>
  <c r="F12" i="259" s="1"/>
  <c r="O11" i="259"/>
  <c r="M11" i="259"/>
  <c r="K11" i="259"/>
  <c r="I11" i="259"/>
  <c r="F11" i="259" s="1"/>
  <c r="O10" i="259"/>
  <c r="M10" i="259"/>
  <c r="K10" i="259"/>
  <c r="I10" i="259"/>
  <c r="F10" i="259" s="1"/>
  <c r="O9" i="259"/>
  <c r="M9" i="259"/>
  <c r="K9" i="259"/>
  <c r="I9" i="259"/>
  <c r="F9" i="259" s="1"/>
  <c r="O8" i="259"/>
  <c r="M8" i="259"/>
  <c r="K8" i="259"/>
  <c r="I8" i="259"/>
  <c r="F8" i="259" s="1"/>
  <c r="O7" i="259"/>
  <c r="M7" i="259"/>
  <c r="K7" i="259"/>
  <c r="I7" i="259"/>
  <c r="F7" i="259" s="1"/>
  <c r="O6" i="259"/>
  <c r="M6" i="259"/>
  <c r="K6" i="259"/>
  <c r="I6" i="259"/>
  <c r="F6" i="259" s="1"/>
  <c r="O5" i="259"/>
  <c r="M5" i="259"/>
  <c r="K5" i="259"/>
  <c r="I5" i="259"/>
  <c r="O23" i="247"/>
  <c r="O22" i="247"/>
  <c r="M23" i="247"/>
  <c r="K23" i="247"/>
  <c r="I23" i="247"/>
  <c r="M22" i="247"/>
  <c r="K22" i="247"/>
  <c r="I22" i="247"/>
  <c r="O21" i="247"/>
  <c r="O24" i="247"/>
  <c r="M21" i="247"/>
  <c r="K21" i="247"/>
  <c r="I21" i="247"/>
  <c r="K42" i="259" l="1"/>
  <c r="N23" i="259"/>
  <c r="N42" i="259"/>
  <c r="M23" i="259"/>
  <c r="O13" i="259"/>
  <c r="I42" i="259"/>
  <c r="F42" i="259" s="1"/>
  <c r="M33" i="259"/>
  <c r="I13" i="259"/>
  <c r="N13" i="259"/>
  <c r="O33" i="259"/>
  <c r="K13" i="259"/>
  <c r="M13" i="259"/>
  <c r="K23" i="259"/>
  <c r="M42" i="259"/>
  <c r="E43" i="259"/>
  <c r="O42" i="259"/>
  <c r="I33" i="259"/>
  <c r="F33" i="259" s="1"/>
  <c r="J43" i="259"/>
  <c r="K33" i="259"/>
  <c r="N33" i="259"/>
  <c r="H43" i="259"/>
  <c r="I23" i="259"/>
  <c r="O23" i="259"/>
  <c r="G43" i="259"/>
  <c r="F23" i="259"/>
  <c r="L43" i="259"/>
  <c r="F5" i="259"/>
  <c r="F13" i="259" s="1"/>
  <c r="L42" i="258"/>
  <c r="J42" i="258"/>
  <c r="H42" i="258"/>
  <c r="G42" i="258"/>
  <c r="E42" i="258"/>
  <c r="O41" i="258"/>
  <c r="M41" i="258"/>
  <c r="K41" i="258"/>
  <c r="I41" i="258"/>
  <c r="F41" i="258" s="1"/>
  <c r="O40" i="258"/>
  <c r="M40" i="258"/>
  <c r="K40" i="258"/>
  <c r="I40" i="258"/>
  <c r="O39" i="258"/>
  <c r="M39" i="258"/>
  <c r="K39" i="258"/>
  <c r="I39" i="258"/>
  <c r="O38" i="258"/>
  <c r="M38" i="258"/>
  <c r="K38" i="258"/>
  <c r="I38" i="258"/>
  <c r="O37" i="258"/>
  <c r="M37" i="258"/>
  <c r="K37" i="258"/>
  <c r="I37" i="258"/>
  <c r="F37" i="258" s="1"/>
  <c r="O36" i="258"/>
  <c r="M36" i="258"/>
  <c r="K36" i="258"/>
  <c r="I36" i="258"/>
  <c r="O35" i="258"/>
  <c r="M35" i="258"/>
  <c r="K35" i="258"/>
  <c r="I35" i="258"/>
  <c r="O34" i="258"/>
  <c r="M34" i="258"/>
  <c r="K34" i="258"/>
  <c r="I34" i="258"/>
  <c r="L33" i="258"/>
  <c r="J33" i="258"/>
  <c r="H33" i="258"/>
  <c r="G33" i="258"/>
  <c r="E33" i="258"/>
  <c r="O32" i="258"/>
  <c r="M32" i="258"/>
  <c r="K32" i="258"/>
  <c r="I32" i="258"/>
  <c r="F32" i="258" s="1"/>
  <c r="O31" i="258"/>
  <c r="M31" i="258"/>
  <c r="K31" i="258"/>
  <c r="I31" i="258"/>
  <c r="F31" i="258" s="1"/>
  <c r="O30" i="258"/>
  <c r="M30" i="258"/>
  <c r="K30" i="258"/>
  <c r="O29" i="258"/>
  <c r="M29" i="258"/>
  <c r="K29" i="258"/>
  <c r="I29" i="258"/>
  <c r="F29" i="258" s="1"/>
  <c r="O28" i="258"/>
  <c r="M28" i="258"/>
  <c r="K28" i="258"/>
  <c r="I28" i="258"/>
  <c r="F28" i="258" s="1"/>
  <c r="O27" i="258"/>
  <c r="M27" i="258"/>
  <c r="K27" i="258"/>
  <c r="I27" i="258"/>
  <c r="F27" i="258" s="1"/>
  <c r="O26" i="258"/>
  <c r="M26" i="258"/>
  <c r="K26" i="258"/>
  <c r="I26" i="258"/>
  <c r="F26" i="258" s="1"/>
  <c r="O25" i="258"/>
  <c r="M25" i="258"/>
  <c r="K25" i="258"/>
  <c r="I25" i="258"/>
  <c r="F25" i="258" s="1"/>
  <c r="O24" i="258"/>
  <c r="M24" i="258"/>
  <c r="K24" i="258"/>
  <c r="I24" i="258"/>
  <c r="F24" i="258" s="1"/>
  <c r="L23" i="258"/>
  <c r="J23" i="258"/>
  <c r="H23" i="258"/>
  <c r="G23" i="258"/>
  <c r="E23" i="258"/>
  <c r="O22" i="258"/>
  <c r="M22" i="258"/>
  <c r="K22" i="258"/>
  <c r="I22" i="258"/>
  <c r="F22" i="258" s="1"/>
  <c r="O21" i="258"/>
  <c r="M21" i="258"/>
  <c r="K21" i="258"/>
  <c r="I21" i="258"/>
  <c r="F21" i="258" s="1"/>
  <c r="O20" i="258"/>
  <c r="M20" i="258"/>
  <c r="K20" i="258"/>
  <c r="I20" i="258"/>
  <c r="F20" i="258" s="1"/>
  <c r="O19" i="258"/>
  <c r="M19" i="258"/>
  <c r="K19" i="258"/>
  <c r="I19" i="258"/>
  <c r="F19" i="258" s="1"/>
  <c r="O18" i="258"/>
  <c r="M18" i="258"/>
  <c r="K18" i="258"/>
  <c r="I18" i="258"/>
  <c r="F18" i="258" s="1"/>
  <c r="O17" i="258"/>
  <c r="M17" i="258"/>
  <c r="K17" i="258"/>
  <c r="I17" i="258"/>
  <c r="O16" i="258"/>
  <c r="M16" i="258"/>
  <c r="K16" i="258"/>
  <c r="I16" i="258"/>
  <c r="O15" i="258"/>
  <c r="M15" i="258"/>
  <c r="K15" i="258"/>
  <c r="I15" i="258"/>
  <c r="O14" i="258"/>
  <c r="M14" i="258"/>
  <c r="K14" i="258"/>
  <c r="I14" i="258"/>
  <c r="L13" i="258"/>
  <c r="J13" i="258"/>
  <c r="H13" i="258"/>
  <c r="G13" i="258"/>
  <c r="E13" i="258"/>
  <c r="O12" i="258"/>
  <c r="M12" i="258"/>
  <c r="K12" i="258"/>
  <c r="I12" i="258"/>
  <c r="F12" i="258" s="1"/>
  <c r="O11" i="258"/>
  <c r="M11" i="258"/>
  <c r="K11" i="258"/>
  <c r="I11" i="258"/>
  <c r="F11" i="258" s="1"/>
  <c r="O10" i="258"/>
  <c r="M10" i="258"/>
  <c r="K10" i="258"/>
  <c r="I10" i="258"/>
  <c r="F10" i="258" s="1"/>
  <c r="O9" i="258"/>
  <c r="M9" i="258"/>
  <c r="K9" i="258"/>
  <c r="I9" i="258"/>
  <c r="F9" i="258" s="1"/>
  <c r="O8" i="258"/>
  <c r="M8" i="258"/>
  <c r="K8" i="258"/>
  <c r="I8" i="258"/>
  <c r="F8" i="258" s="1"/>
  <c r="O7" i="258"/>
  <c r="M7" i="258"/>
  <c r="K7" i="258"/>
  <c r="I7" i="258"/>
  <c r="F7" i="258" s="1"/>
  <c r="O6" i="258"/>
  <c r="M6" i="258"/>
  <c r="K6" i="258"/>
  <c r="I6" i="258"/>
  <c r="F6" i="258" s="1"/>
  <c r="O5" i="258"/>
  <c r="M5" i="258"/>
  <c r="K5" i="258"/>
  <c r="I5" i="258"/>
  <c r="M43" i="259" l="1"/>
  <c r="I43" i="259"/>
  <c r="F43" i="259" s="1"/>
  <c r="K43" i="259"/>
  <c r="K4" i="259" s="1"/>
  <c r="O43" i="259"/>
  <c r="I4" i="259"/>
  <c r="N43" i="259"/>
  <c r="N4" i="259"/>
  <c r="N33" i="258"/>
  <c r="N42" i="258"/>
  <c r="I42" i="258"/>
  <c r="F42" i="258" s="1"/>
  <c r="M33" i="258"/>
  <c r="K42" i="258"/>
  <c r="O33" i="258"/>
  <c r="I13" i="258"/>
  <c r="I23" i="258"/>
  <c r="O42" i="258"/>
  <c r="K23" i="258"/>
  <c r="O13" i="258"/>
  <c r="M23" i="258"/>
  <c r="N23" i="258"/>
  <c r="M42" i="258"/>
  <c r="E43" i="258"/>
  <c r="O23" i="258"/>
  <c r="I33" i="258"/>
  <c r="F33" i="258" s="1"/>
  <c r="H43" i="258"/>
  <c r="K33" i="258"/>
  <c r="G43" i="258"/>
  <c r="M13" i="258"/>
  <c r="K13" i="258"/>
  <c r="J43" i="258"/>
  <c r="N13" i="258"/>
  <c r="F23" i="258"/>
  <c r="L43" i="258"/>
  <c r="F5" i="258"/>
  <c r="F13" i="258" s="1"/>
  <c r="L42" i="257"/>
  <c r="J42" i="257"/>
  <c r="H42" i="257"/>
  <c r="G42" i="257"/>
  <c r="E42" i="257"/>
  <c r="O41" i="257"/>
  <c r="M41" i="257"/>
  <c r="K41" i="257"/>
  <c r="I41" i="257"/>
  <c r="F41" i="257" s="1"/>
  <c r="O40" i="257"/>
  <c r="M40" i="257"/>
  <c r="K40" i="257"/>
  <c r="I40" i="257"/>
  <c r="O39" i="257"/>
  <c r="M39" i="257"/>
  <c r="K39" i="257"/>
  <c r="I39" i="257"/>
  <c r="O38" i="257"/>
  <c r="M38" i="257"/>
  <c r="K38" i="257"/>
  <c r="I38" i="257"/>
  <c r="O37" i="257"/>
  <c r="M37" i="257"/>
  <c r="K37" i="257"/>
  <c r="I37" i="257"/>
  <c r="F37" i="257" s="1"/>
  <c r="O36" i="257"/>
  <c r="M36" i="257"/>
  <c r="K36" i="257"/>
  <c r="I36" i="257"/>
  <c r="O35" i="257"/>
  <c r="M35" i="257"/>
  <c r="K35" i="257"/>
  <c r="I35" i="257"/>
  <c r="O34" i="257"/>
  <c r="M34" i="257"/>
  <c r="K34" i="257"/>
  <c r="I34" i="257"/>
  <c r="L33" i="257"/>
  <c r="J33" i="257"/>
  <c r="H33" i="257"/>
  <c r="G33" i="257"/>
  <c r="E33" i="257"/>
  <c r="O32" i="257"/>
  <c r="M32" i="257"/>
  <c r="K32" i="257"/>
  <c r="I32" i="257"/>
  <c r="F32" i="257" s="1"/>
  <c r="O31" i="257"/>
  <c r="M31" i="257"/>
  <c r="K31" i="257"/>
  <c r="I31" i="257"/>
  <c r="F31" i="257" s="1"/>
  <c r="O30" i="257"/>
  <c r="M30" i="257"/>
  <c r="K30" i="257"/>
  <c r="O29" i="257"/>
  <c r="M29" i="257"/>
  <c r="K29" i="257"/>
  <c r="I29" i="257"/>
  <c r="F29" i="257" s="1"/>
  <c r="O28" i="257"/>
  <c r="M28" i="257"/>
  <c r="K28" i="257"/>
  <c r="I28" i="257"/>
  <c r="F28" i="257" s="1"/>
  <c r="O27" i="257"/>
  <c r="M27" i="257"/>
  <c r="K27" i="257"/>
  <c r="I27" i="257"/>
  <c r="F27" i="257" s="1"/>
  <c r="O26" i="257"/>
  <c r="M26" i="257"/>
  <c r="K26" i="257"/>
  <c r="I26" i="257"/>
  <c r="F26" i="257" s="1"/>
  <c r="O25" i="257"/>
  <c r="M25" i="257"/>
  <c r="K25" i="257"/>
  <c r="I25" i="257"/>
  <c r="F25" i="257" s="1"/>
  <c r="O24" i="257"/>
  <c r="M24" i="257"/>
  <c r="K24" i="257"/>
  <c r="I24" i="257"/>
  <c r="F24" i="257" s="1"/>
  <c r="L23" i="257"/>
  <c r="J23" i="257"/>
  <c r="H23" i="257"/>
  <c r="G23" i="257"/>
  <c r="E23" i="257"/>
  <c r="O22" i="257"/>
  <c r="M22" i="257"/>
  <c r="K22" i="257"/>
  <c r="I22" i="257"/>
  <c r="F22" i="257" s="1"/>
  <c r="O21" i="257"/>
  <c r="M21" i="257"/>
  <c r="K21" i="257"/>
  <c r="I21" i="257"/>
  <c r="F21" i="257" s="1"/>
  <c r="O20" i="257"/>
  <c r="M20" i="257"/>
  <c r="K20" i="257"/>
  <c r="I20" i="257"/>
  <c r="F20" i="257" s="1"/>
  <c r="O19" i="257"/>
  <c r="M19" i="257"/>
  <c r="K19" i="257"/>
  <c r="I19" i="257"/>
  <c r="F19" i="257" s="1"/>
  <c r="O18" i="257"/>
  <c r="M18" i="257"/>
  <c r="K18" i="257"/>
  <c r="I18" i="257"/>
  <c r="F18" i="257" s="1"/>
  <c r="O17" i="257"/>
  <c r="M17" i="257"/>
  <c r="K17" i="257"/>
  <c r="I17" i="257"/>
  <c r="O16" i="257"/>
  <c r="M16" i="257"/>
  <c r="K16" i="257"/>
  <c r="I16" i="257"/>
  <c r="O15" i="257"/>
  <c r="M15" i="257"/>
  <c r="K15" i="257"/>
  <c r="I15" i="257"/>
  <c r="O14" i="257"/>
  <c r="M14" i="257"/>
  <c r="K14" i="257"/>
  <c r="I14" i="257"/>
  <c r="L13" i="257"/>
  <c r="J13" i="257"/>
  <c r="H13" i="257"/>
  <c r="G13" i="257"/>
  <c r="E13" i="257"/>
  <c r="O12" i="257"/>
  <c r="M12" i="257"/>
  <c r="K12" i="257"/>
  <c r="I12" i="257"/>
  <c r="F12" i="257" s="1"/>
  <c r="O11" i="257"/>
  <c r="M11" i="257"/>
  <c r="K11" i="257"/>
  <c r="I11" i="257"/>
  <c r="F11" i="257" s="1"/>
  <c r="O10" i="257"/>
  <c r="M10" i="257"/>
  <c r="K10" i="257"/>
  <c r="I10" i="257"/>
  <c r="F10" i="257" s="1"/>
  <c r="O9" i="257"/>
  <c r="M9" i="257"/>
  <c r="K9" i="257"/>
  <c r="I9" i="257"/>
  <c r="F9" i="257" s="1"/>
  <c r="O8" i="257"/>
  <c r="M8" i="257"/>
  <c r="K8" i="257"/>
  <c r="I8" i="257"/>
  <c r="F8" i="257" s="1"/>
  <c r="O7" i="257"/>
  <c r="M7" i="257"/>
  <c r="K7" i="257"/>
  <c r="I7" i="257"/>
  <c r="F7" i="257" s="1"/>
  <c r="O6" i="257"/>
  <c r="M6" i="257"/>
  <c r="K6" i="257"/>
  <c r="I6" i="257"/>
  <c r="F6" i="257" s="1"/>
  <c r="O5" i="257"/>
  <c r="M5" i="257"/>
  <c r="K5" i="257"/>
  <c r="I5" i="257"/>
  <c r="F5" i="257" s="1"/>
  <c r="K98" i="219"/>
  <c r="K75" i="219"/>
  <c r="K54" i="219"/>
  <c r="K28" i="219"/>
  <c r="P27" i="219"/>
  <c r="N27" i="219"/>
  <c r="L27" i="219"/>
  <c r="I27" i="219"/>
  <c r="F27" i="219" s="1"/>
  <c r="P26" i="219"/>
  <c r="N26" i="219"/>
  <c r="L26" i="219"/>
  <c r="I26" i="219"/>
  <c r="F26" i="219" s="1"/>
  <c r="P25" i="219"/>
  <c r="N25" i="219"/>
  <c r="L25" i="219"/>
  <c r="I25" i="219"/>
  <c r="F25" i="219" s="1"/>
  <c r="P24" i="219"/>
  <c r="N24" i="219"/>
  <c r="L24" i="219"/>
  <c r="I24" i="219"/>
  <c r="F24" i="219" s="1"/>
  <c r="P23" i="219"/>
  <c r="N23" i="219"/>
  <c r="L23" i="219"/>
  <c r="I23" i="219"/>
  <c r="F23" i="219" s="1"/>
  <c r="P22" i="219"/>
  <c r="N22" i="219"/>
  <c r="L22" i="219"/>
  <c r="I22" i="219"/>
  <c r="F22" i="219" s="1"/>
  <c r="P21" i="219"/>
  <c r="N21" i="219"/>
  <c r="L21" i="219"/>
  <c r="I21" i="219"/>
  <c r="F21" i="219" s="1"/>
  <c r="L42" i="256"/>
  <c r="J42" i="256"/>
  <c r="H42" i="256"/>
  <c r="G42" i="256"/>
  <c r="E42" i="256"/>
  <c r="O41" i="256"/>
  <c r="M41" i="256"/>
  <c r="K41" i="256"/>
  <c r="I41" i="256"/>
  <c r="F41" i="256" s="1"/>
  <c r="O40" i="256"/>
  <c r="M40" i="256"/>
  <c r="K40" i="256"/>
  <c r="I40" i="256"/>
  <c r="O39" i="256"/>
  <c r="M39" i="256"/>
  <c r="K39" i="256"/>
  <c r="I39" i="256"/>
  <c r="O38" i="256"/>
  <c r="M38" i="256"/>
  <c r="K38" i="256"/>
  <c r="I38" i="256"/>
  <c r="O37" i="256"/>
  <c r="M37" i="256"/>
  <c r="K37" i="256"/>
  <c r="I37" i="256"/>
  <c r="F37" i="256" s="1"/>
  <c r="O36" i="256"/>
  <c r="M36" i="256"/>
  <c r="K36" i="256"/>
  <c r="I36" i="256"/>
  <c r="O35" i="256"/>
  <c r="M35" i="256"/>
  <c r="K35" i="256"/>
  <c r="I35" i="256"/>
  <c r="O34" i="256"/>
  <c r="M34" i="256"/>
  <c r="K34" i="256"/>
  <c r="I34" i="256"/>
  <c r="L33" i="256"/>
  <c r="J33" i="256"/>
  <c r="H33" i="256"/>
  <c r="G33" i="256"/>
  <c r="E33" i="256"/>
  <c r="O32" i="256"/>
  <c r="M32" i="256"/>
  <c r="K32" i="256"/>
  <c r="I32" i="256"/>
  <c r="F32" i="256" s="1"/>
  <c r="O31" i="256"/>
  <c r="M31" i="256"/>
  <c r="K31" i="256"/>
  <c r="I31" i="256"/>
  <c r="F31" i="256" s="1"/>
  <c r="O30" i="256"/>
  <c r="M30" i="256"/>
  <c r="K30" i="256"/>
  <c r="O29" i="256"/>
  <c r="M29" i="256"/>
  <c r="K29" i="256"/>
  <c r="I29" i="256"/>
  <c r="F29" i="256" s="1"/>
  <c r="O28" i="256"/>
  <c r="M28" i="256"/>
  <c r="K28" i="256"/>
  <c r="I28" i="256"/>
  <c r="F28" i="256" s="1"/>
  <c r="O27" i="256"/>
  <c r="M27" i="256"/>
  <c r="K27" i="256"/>
  <c r="I27" i="256"/>
  <c r="F27" i="256" s="1"/>
  <c r="O26" i="256"/>
  <c r="M26" i="256"/>
  <c r="K26" i="256"/>
  <c r="I26" i="256"/>
  <c r="F26" i="256" s="1"/>
  <c r="O25" i="256"/>
  <c r="M25" i="256"/>
  <c r="K25" i="256"/>
  <c r="I25" i="256"/>
  <c r="F25" i="256" s="1"/>
  <c r="O24" i="256"/>
  <c r="M24" i="256"/>
  <c r="K24" i="256"/>
  <c r="I24" i="256"/>
  <c r="F24" i="256" s="1"/>
  <c r="L23" i="256"/>
  <c r="J23" i="256"/>
  <c r="H23" i="256"/>
  <c r="G23" i="256"/>
  <c r="E23" i="256"/>
  <c r="O22" i="256"/>
  <c r="M22" i="256"/>
  <c r="K22" i="256"/>
  <c r="I22" i="256"/>
  <c r="F22" i="256" s="1"/>
  <c r="O21" i="256"/>
  <c r="M21" i="256"/>
  <c r="K21" i="256"/>
  <c r="I21" i="256"/>
  <c r="F21" i="256" s="1"/>
  <c r="O20" i="256"/>
  <c r="M20" i="256"/>
  <c r="K20" i="256"/>
  <c r="I20" i="256"/>
  <c r="F20" i="256" s="1"/>
  <c r="O19" i="256"/>
  <c r="M19" i="256"/>
  <c r="K19" i="256"/>
  <c r="I19" i="256"/>
  <c r="F19" i="256" s="1"/>
  <c r="O18" i="256"/>
  <c r="M18" i="256"/>
  <c r="K18" i="256"/>
  <c r="I18" i="256"/>
  <c r="F18" i="256" s="1"/>
  <c r="O17" i="256"/>
  <c r="M17" i="256"/>
  <c r="K17" i="256"/>
  <c r="I17" i="256"/>
  <c r="O16" i="256"/>
  <c r="M16" i="256"/>
  <c r="K16" i="256"/>
  <c r="I16" i="256"/>
  <c r="O15" i="256"/>
  <c r="M15" i="256"/>
  <c r="K15" i="256"/>
  <c r="I15" i="256"/>
  <c r="O14" i="256"/>
  <c r="M14" i="256"/>
  <c r="K14" i="256"/>
  <c r="I14" i="256"/>
  <c r="L13" i="256"/>
  <c r="J13" i="256"/>
  <c r="H13" i="256"/>
  <c r="G13" i="256"/>
  <c r="E13" i="256"/>
  <c r="O12" i="256"/>
  <c r="M12" i="256"/>
  <c r="K12" i="256"/>
  <c r="I12" i="256"/>
  <c r="F12" i="256" s="1"/>
  <c r="O11" i="256"/>
  <c r="M11" i="256"/>
  <c r="K11" i="256"/>
  <c r="I11" i="256"/>
  <c r="F11" i="256" s="1"/>
  <c r="O10" i="256"/>
  <c r="M10" i="256"/>
  <c r="K10" i="256"/>
  <c r="I10" i="256"/>
  <c r="F10" i="256" s="1"/>
  <c r="O9" i="256"/>
  <c r="M9" i="256"/>
  <c r="K9" i="256"/>
  <c r="I9" i="256"/>
  <c r="F9" i="256" s="1"/>
  <c r="O8" i="256"/>
  <c r="M8" i="256"/>
  <c r="K8" i="256"/>
  <c r="I8" i="256"/>
  <c r="F8" i="256" s="1"/>
  <c r="O7" i="256"/>
  <c r="M7" i="256"/>
  <c r="K7" i="256"/>
  <c r="I7" i="256"/>
  <c r="F7" i="256" s="1"/>
  <c r="O6" i="256"/>
  <c r="M6" i="256"/>
  <c r="K6" i="256"/>
  <c r="I6" i="256"/>
  <c r="F6" i="256" s="1"/>
  <c r="O5" i="256"/>
  <c r="M5" i="256"/>
  <c r="K5" i="256"/>
  <c r="I5" i="256"/>
  <c r="L42" i="255"/>
  <c r="J42" i="255"/>
  <c r="H42" i="255"/>
  <c r="G42" i="255"/>
  <c r="E42" i="255"/>
  <c r="O41" i="255"/>
  <c r="M41" i="255"/>
  <c r="K41" i="255"/>
  <c r="I41" i="255"/>
  <c r="F41" i="255" s="1"/>
  <c r="O40" i="255"/>
  <c r="M40" i="255"/>
  <c r="K40" i="255"/>
  <c r="I40" i="255"/>
  <c r="O39" i="255"/>
  <c r="M39" i="255"/>
  <c r="K39" i="255"/>
  <c r="I39" i="255"/>
  <c r="O38" i="255"/>
  <c r="M38" i="255"/>
  <c r="K38" i="255"/>
  <c r="I38" i="255"/>
  <c r="O37" i="255"/>
  <c r="M37" i="255"/>
  <c r="K37" i="255"/>
  <c r="I37" i="255"/>
  <c r="F37" i="255" s="1"/>
  <c r="O36" i="255"/>
  <c r="M36" i="255"/>
  <c r="K36" i="255"/>
  <c r="I36" i="255"/>
  <c r="O35" i="255"/>
  <c r="M35" i="255"/>
  <c r="K35" i="255"/>
  <c r="I35" i="255"/>
  <c r="O34" i="255"/>
  <c r="M34" i="255"/>
  <c r="K34" i="255"/>
  <c r="I34" i="255"/>
  <c r="L33" i="255"/>
  <c r="J33" i="255"/>
  <c r="H33" i="255"/>
  <c r="G33" i="255"/>
  <c r="E33" i="255"/>
  <c r="O32" i="255"/>
  <c r="M32" i="255"/>
  <c r="K32" i="255"/>
  <c r="I32" i="255"/>
  <c r="F32" i="255" s="1"/>
  <c r="O31" i="255"/>
  <c r="M31" i="255"/>
  <c r="K31" i="255"/>
  <c r="I31" i="255"/>
  <c r="F31" i="255" s="1"/>
  <c r="O30" i="255"/>
  <c r="M30" i="255"/>
  <c r="K30" i="255"/>
  <c r="O29" i="255"/>
  <c r="M29" i="255"/>
  <c r="K29" i="255"/>
  <c r="I29" i="255"/>
  <c r="F29" i="255" s="1"/>
  <c r="O28" i="255"/>
  <c r="M28" i="255"/>
  <c r="K28" i="255"/>
  <c r="I28" i="255"/>
  <c r="F28" i="255" s="1"/>
  <c r="O27" i="255"/>
  <c r="M27" i="255"/>
  <c r="K27" i="255"/>
  <c r="I27" i="255"/>
  <c r="F27" i="255" s="1"/>
  <c r="O26" i="255"/>
  <c r="M26" i="255"/>
  <c r="K26" i="255"/>
  <c r="I26" i="255"/>
  <c r="F26" i="255" s="1"/>
  <c r="O25" i="255"/>
  <c r="M25" i="255"/>
  <c r="K25" i="255"/>
  <c r="I25" i="255"/>
  <c r="F25" i="255" s="1"/>
  <c r="O24" i="255"/>
  <c r="M24" i="255"/>
  <c r="K24" i="255"/>
  <c r="I24" i="255"/>
  <c r="L23" i="255"/>
  <c r="J23" i="255"/>
  <c r="H23" i="255"/>
  <c r="G23" i="255"/>
  <c r="E23" i="255"/>
  <c r="O22" i="255"/>
  <c r="M22" i="255"/>
  <c r="K22" i="255"/>
  <c r="I22" i="255"/>
  <c r="F22" i="255" s="1"/>
  <c r="O21" i="255"/>
  <c r="M21" i="255"/>
  <c r="K21" i="255"/>
  <c r="I21" i="255"/>
  <c r="F21" i="255" s="1"/>
  <c r="O20" i="255"/>
  <c r="M20" i="255"/>
  <c r="K20" i="255"/>
  <c r="I20" i="255"/>
  <c r="F20" i="255" s="1"/>
  <c r="O19" i="255"/>
  <c r="M19" i="255"/>
  <c r="K19" i="255"/>
  <c r="I19" i="255"/>
  <c r="F19" i="255" s="1"/>
  <c r="O18" i="255"/>
  <c r="M18" i="255"/>
  <c r="K18" i="255"/>
  <c r="I18" i="255"/>
  <c r="F18" i="255" s="1"/>
  <c r="O17" i="255"/>
  <c r="M17" i="255"/>
  <c r="K17" i="255"/>
  <c r="I17" i="255"/>
  <c r="O16" i="255"/>
  <c r="M16" i="255"/>
  <c r="K16" i="255"/>
  <c r="I16" i="255"/>
  <c r="O15" i="255"/>
  <c r="M15" i="255"/>
  <c r="K15" i="255"/>
  <c r="I15" i="255"/>
  <c r="O14" i="255"/>
  <c r="M14" i="255"/>
  <c r="K14" i="255"/>
  <c r="I14" i="255"/>
  <c r="L13" i="255"/>
  <c r="J13" i="255"/>
  <c r="H13" i="255"/>
  <c r="G13" i="255"/>
  <c r="E13" i="255"/>
  <c r="O12" i="255"/>
  <c r="M12" i="255"/>
  <c r="K12" i="255"/>
  <c r="I12" i="255"/>
  <c r="F12" i="255" s="1"/>
  <c r="O11" i="255"/>
  <c r="M11" i="255"/>
  <c r="K11" i="255"/>
  <c r="I11" i="255"/>
  <c r="F11" i="255" s="1"/>
  <c r="O10" i="255"/>
  <c r="M10" i="255"/>
  <c r="K10" i="255"/>
  <c r="I10" i="255"/>
  <c r="F10" i="255" s="1"/>
  <c r="O9" i="255"/>
  <c r="M9" i="255"/>
  <c r="K9" i="255"/>
  <c r="I9" i="255"/>
  <c r="F9" i="255" s="1"/>
  <c r="O8" i="255"/>
  <c r="M8" i="255"/>
  <c r="K8" i="255"/>
  <c r="I8" i="255"/>
  <c r="O7" i="255"/>
  <c r="M7" i="255"/>
  <c r="K7" i="255"/>
  <c r="I7" i="255"/>
  <c r="F7" i="255" s="1"/>
  <c r="O6" i="255"/>
  <c r="M6" i="255"/>
  <c r="K6" i="255"/>
  <c r="I6" i="255"/>
  <c r="F6" i="255" s="1"/>
  <c r="O5" i="255"/>
  <c r="M5" i="255"/>
  <c r="K5" i="255"/>
  <c r="I5" i="255"/>
  <c r="F5" i="255" s="1"/>
  <c r="I43" i="258" l="1"/>
  <c r="F43" i="258" s="1"/>
  <c r="M43" i="258"/>
  <c r="O43" i="258"/>
  <c r="K43" i="258"/>
  <c r="K4" i="258" s="1"/>
  <c r="O23" i="257"/>
  <c r="I42" i="257"/>
  <c r="F42" i="257" s="1"/>
  <c r="N13" i="257"/>
  <c r="M42" i="257"/>
  <c r="O42" i="257"/>
  <c r="H43" i="257"/>
  <c r="N43" i="258"/>
  <c r="N4" i="258"/>
  <c r="I4" i="258"/>
  <c r="K33" i="257"/>
  <c r="K42" i="256"/>
  <c r="F13" i="257"/>
  <c r="O13" i="257"/>
  <c r="M13" i="257"/>
  <c r="O33" i="257"/>
  <c r="E43" i="257"/>
  <c r="N33" i="257"/>
  <c r="M23" i="257"/>
  <c r="J43" i="257"/>
  <c r="K13" i="257"/>
  <c r="K23" i="257"/>
  <c r="N23" i="257"/>
  <c r="M33" i="257"/>
  <c r="K42" i="257"/>
  <c r="N42" i="257"/>
  <c r="G43" i="257"/>
  <c r="F23" i="257"/>
  <c r="I13" i="257"/>
  <c r="L43" i="257"/>
  <c r="I23" i="257"/>
  <c r="I33" i="257"/>
  <c r="F33" i="257" s="1"/>
  <c r="I23" i="256"/>
  <c r="N42" i="256"/>
  <c r="M23" i="256"/>
  <c r="K13" i="256"/>
  <c r="O42" i="256"/>
  <c r="M13" i="256"/>
  <c r="O23" i="256"/>
  <c r="K33" i="256"/>
  <c r="N33" i="256"/>
  <c r="M33" i="256"/>
  <c r="I42" i="256"/>
  <c r="F42" i="256" s="1"/>
  <c r="O13" i="256"/>
  <c r="K23" i="256"/>
  <c r="O33" i="256"/>
  <c r="N13" i="256"/>
  <c r="E43" i="256"/>
  <c r="M42" i="256"/>
  <c r="H43" i="256"/>
  <c r="F23" i="256"/>
  <c r="N23" i="256"/>
  <c r="J43" i="256"/>
  <c r="I13" i="256"/>
  <c r="I33" i="256"/>
  <c r="F33" i="256" s="1"/>
  <c r="G43" i="256"/>
  <c r="L43" i="256"/>
  <c r="F5" i="256"/>
  <c r="F13" i="256" s="1"/>
  <c r="M33" i="255"/>
  <c r="I42" i="255"/>
  <c r="F42" i="255" s="1"/>
  <c r="I13" i="255"/>
  <c r="F23" i="255"/>
  <c r="K42" i="255"/>
  <c r="N13" i="255"/>
  <c r="K13" i="255"/>
  <c r="K23" i="255"/>
  <c r="N23" i="255"/>
  <c r="M42" i="255"/>
  <c r="N33" i="255"/>
  <c r="K33" i="255"/>
  <c r="E43" i="255"/>
  <c r="O42" i="255"/>
  <c r="H43" i="255"/>
  <c r="O13" i="255"/>
  <c r="O23" i="255"/>
  <c r="M23" i="255"/>
  <c r="I33" i="255"/>
  <c r="F33" i="255" s="1"/>
  <c r="O33" i="255"/>
  <c r="G43" i="255"/>
  <c r="J43" i="255"/>
  <c r="L43" i="255"/>
  <c r="M13" i="255"/>
  <c r="N42" i="255"/>
  <c r="I23" i="255"/>
  <c r="F8" i="255"/>
  <c r="F13" i="255" s="1"/>
  <c r="F24" i="255"/>
  <c r="L42" i="254"/>
  <c r="J42" i="254"/>
  <c r="H42" i="254"/>
  <c r="G42" i="254"/>
  <c r="E42" i="254"/>
  <c r="O41" i="254"/>
  <c r="M41" i="254"/>
  <c r="K41" i="254"/>
  <c r="I41" i="254"/>
  <c r="F41" i="254" s="1"/>
  <c r="O40" i="254"/>
  <c r="M40" i="254"/>
  <c r="K40" i="254"/>
  <c r="I40" i="254"/>
  <c r="O39" i="254"/>
  <c r="M39" i="254"/>
  <c r="K39" i="254"/>
  <c r="I39" i="254"/>
  <c r="O38" i="254"/>
  <c r="M38" i="254"/>
  <c r="K38" i="254"/>
  <c r="I38" i="254"/>
  <c r="O37" i="254"/>
  <c r="M37" i="254"/>
  <c r="K37" i="254"/>
  <c r="I37" i="254"/>
  <c r="F37" i="254" s="1"/>
  <c r="O36" i="254"/>
  <c r="M36" i="254"/>
  <c r="K36" i="254"/>
  <c r="I36" i="254"/>
  <c r="O35" i="254"/>
  <c r="M35" i="254"/>
  <c r="K35" i="254"/>
  <c r="I35" i="254"/>
  <c r="O34" i="254"/>
  <c r="M34" i="254"/>
  <c r="K34" i="254"/>
  <c r="I34" i="254"/>
  <c r="L33" i="254"/>
  <c r="J33" i="254"/>
  <c r="H33" i="254"/>
  <c r="G33" i="254"/>
  <c r="E33" i="254"/>
  <c r="O32" i="254"/>
  <c r="M32" i="254"/>
  <c r="K32" i="254"/>
  <c r="I32" i="254"/>
  <c r="F32" i="254" s="1"/>
  <c r="O31" i="254"/>
  <c r="M31" i="254"/>
  <c r="K31" i="254"/>
  <c r="I31" i="254"/>
  <c r="F31" i="254" s="1"/>
  <c r="O30" i="254"/>
  <c r="M30" i="254"/>
  <c r="K30" i="254"/>
  <c r="O29" i="254"/>
  <c r="M29" i="254"/>
  <c r="K29" i="254"/>
  <c r="I29" i="254"/>
  <c r="F29" i="254" s="1"/>
  <c r="O28" i="254"/>
  <c r="M28" i="254"/>
  <c r="K28" i="254"/>
  <c r="I28" i="254"/>
  <c r="F28" i="254" s="1"/>
  <c r="O27" i="254"/>
  <c r="M27" i="254"/>
  <c r="K27" i="254"/>
  <c r="I27" i="254"/>
  <c r="F27" i="254" s="1"/>
  <c r="O26" i="254"/>
  <c r="M26" i="254"/>
  <c r="K26" i="254"/>
  <c r="I26" i="254"/>
  <c r="F26" i="254" s="1"/>
  <c r="O25" i="254"/>
  <c r="M25" i="254"/>
  <c r="K25" i="254"/>
  <c r="I25" i="254"/>
  <c r="F25" i="254" s="1"/>
  <c r="O24" i="254"/>
  <c r="M24" i="254"/>
  <c r="K24" i="254"/>
  <c r="I24" i="254"/>
  <c r="F24" i="254" s="1"/>
  <c r="L23" i="254"/>
  <c r="J23" i="254"/>
  <c r="H23" i="254"/>
  <c r="G23" i="254"/>
  <c r="E23" i="254"/>
  <c r="O22" i="254"/>
  <c r="M22" i="254"/>
  <c r="K22" i="254"/>
  <c r="I22" i="254"/>
  <c r="F22" i="254" s="1"/>
  <c r="O21" i="254"/>
  <c r="M21" i="254"/>
  <c r="K21" i="254"/>
  <c r="I21" i="254"/>
  <c r="F21" i="254" s="1"/>
  <c r="O20" i="254"/>
  <c r="M20" i="254"/>
  <c r="K20" i="254"/>
  <c r="I20" i="254"/>
  <c r="F20" i="254" s="1"/>
  <c r="O19" i="254"/>
  <c r="M19" i="254"/>
  <c r="K19" i="254"/>
  <c r="I19" i="254"/>
  <c r="F19" i="254" s="1"/>
  <c r="O18" i="254"/>
  <c r="M18" i="254"/>
  <c r="K18" i="254"/>
  <c r="I18" i="254"/>
  <c r="O17" i="254"/>
  <c r="M17" i="254"/>
  <c r="K17" i="254"/>
  <c r="I17" i="254"/>
  <c r="O16" i="254"/>
  <c r="M16" i="254"/>
  <c r="K16" i="254"/>
  <c r="I16" i="254"/>
  <c r="O15" i="254"/>
  <c r="M15" i="254"/>
  <c r="K15" i="254"/>
  <c r="I15" i="254"/>
  <c r="O14" i="254"/>
  <c r="M14" i="254"/>
  <c r="K14" i="254"/>
  <c r="I14" i="254"/>
  <c r="L13" i="254"/>
  <c r="J13" i="254"/>
  <c r="H13" i="254"/>
  <c r="G13" i="254"/>
  <c r="E13" i="254"/>
  <c r="O12" i="254"/>
  <c r="M12" i="254"/>
  <c r="K12" i="254"/>
  <c r="I12" i="254"/>
  <c r="F12" i="254" s="1"/>
  <c r="O11" i="254"/>
  <c r="M11" i="254"/>
  <c r="K11" i="254"/>
  <c r="I11" i="254"/>
  <c r="F11" i="254" s="1"/>
  <c r="O10" i="254"/>
  <c r="M10" i="254"/>
  <c r="K10" i="254"/>
  <c r="I10" i="254"/>
  <c r="F10" i="254" s="1"/>
  <c r="O9" i="254"/>
  <c r="M9" i="254"/>
  <c r="K9" i="254"/>
  <c r="I9" i="254"/>
  <c r="F9" i="254" s="1"/>
  <c r="O8" i="254"/>
  <c r="M8" i="254"/>
  <c r="K8" i="254"/>
  <c r="I8" i="254"/>
  <c r="F8" i="254" s="1"/>
  <c r="O7" i="254"/>
  <c r="M7" i="254"/>
  <c r="K7" i="254"/>
  <c r="I7" i="254"/>
  <c r="F7" i="254" s="1"/>
  <c r="O6" i="254"/>
  <c r="M6" i="254"/>
  <c r="K6" i="254"/>
  <c r="I6" i="254"/>
  <c r="F6" i="254" s="1"/>
  <c r="O5" i="254"/>
  <c r="M5" i="254"/>
  <c r="K5" i="254"/>
  <c r="I5" i="254"/>
  <c r="I83" i="219"/>
  <c r="F83" i="219" s="1"/>
  <c r="P83" i="219"/>
  <c r="N83" i="219"/>
  <c r="L83" i="219"/>
  <c r="E98" i="219"/>
  <c r="O34" i="253"/>
  <c r="O35" i="253"/>
  <c r="O36" i="253"/>
  <c r="O37" i="253"/>
  <c r="O38" i="253"/>
  <c r="O39" i="253"/>
  <c r="O40" i="253"/>
  <c r="O24" i="253"/>
  <c r="O25" i="253"/>
  <c r="O26" i="253"/>
  <c r="O27" i="253"/>
  <c r="O28" i="253"/>
  <c r="O29" i="253"/>
  <c r="O30" i="253"/>
  <c r="O31" i="253"/>
  <c r="O32" i="253"/>
  <c r="O14" i="253"/>
  <c r="O15" i="253"/>
  <c r="O16" i="253"/>
  <c r="O17" i="253"/>
  <c r="O18" i="253"/>
  <c r="O19" i="253"/>
  <c r="O20" i="253"/>
  <c r="O21" i="253"/>
  <c r="O22" i="253"/>
  <c r="O5" i="253"/>
  <c r="O6" i="253"/>
  <c r="O7" i="253"/>
  <c r="O8" i="253"/>
  <c r="O9" i="253"/>
  <c r="O10" i="253"/>
  <c r="O11" i="253"/>
  <c r="O12" i="253"/>
  <c r="L42" i="253"/>
  <c r="L33" i="253"/>
  <c r="L23" i="253"/>
  <c r="L13" i="253"/>
  <c r="J42" i="253"/>
  <c r="J33" i="253"/>
  <c r="J23" i="253"/>
  <c r="J13" i="253"/>
  <c r="M34" i="253"/>
  <c r="M35" i="253"/>
  <c r="M36" i="253"/>
  <c r="M37" i="253"/>
  <c r="M38" i="253"/>
  <c r="M39" i="253"/>
  <c r="M40" i="253"/>
  <c r="M24" i="253"/>
  <c r="M25" i="253"/>
  <c r="M26" i="253"/>
  <c r="M27" i="253"/>
  <c r="M28" i="253"/>
  <c r="M29" i="253"/>
  <c r="M30" i="253"/>
  <c r="M31" i="253"/>
  <c r="M32" i="253"/>
  <c r="M14" i="253"/>
  <c r="M15" i="253"/>
  <c r="M16" i="253"/>
  <c r="M17" i="253"/>
  <c r="M18" i="253"/>
  <c r="M19" i="253"/>
  <c r="M20" i="253"/>
  <c r="M21" i="253"/>
  <c r="M22" i="253"/>
  <c r="M5" i="253"/>
  <c r="M6" i="253"/>
  <c r="M7" i="253"/>
  <c r="M8" i="253"/>
  <c r="M9" i="253"/>
  <c r="M10" i="253"/>
  <c r="M11" i="253"/>
  <c r="M12" i="253"/>
  <c r="K34" i="253"/>
  <c r="K35" i="253"/>
  <c r="K36" i="253"/>
  <c r="K37" i="253"/>
  <c r="K38" i="253"/>
  <c r="K39" i="253"/>
  <c r="K40" i="253"/>
  <c r="K24" i="253"/>
  <c r="K25" i="253"/>
  <c r="K26" i="253"/>
  <c r="K27" i="253"/>
  <c r="K28" i="253"/>
  <c r="K29" i="253"/>
  <c r="K30" i="253"/>
  <c r="K31" i="253"/>
  <c r="K32" i="253"/>
  <c r="K14" i="253"/>
  <c r="K15" i="253"/>
  <c r="K16" i="253"/>
  <c r="K17" i="253"/>
  <c r="K18" i="253"/>
  <c r="K19" i="253"/>
  <c r="K20" i="253"/>
  <c r="K21" i="253"/>
  <c r="K22" i="253"/>
  <c r="K5" i="253"/>
  <c r="K6" i="253"/>
  <c r="K7" i="253"/>
  <c r="K8" i="253"/>
  <c r="K9" i="253"/>
  <c r="K10" i="253"/>
  <c r="K11" i="253"/>
  <c r="K12" i="253"/>
  <c r="I34" i="253"/>
  <c r="I35" i="253"/>
  <c r="I36" i="253"/>
  <c r="I37" i="253"/>
  <c r="F37" i="253" s="1"/>
  <c r="I38" i="253"/>
  <c r="I39" i="253"/>
  <c r="I40" i="253"/>
  <c r="I24" i="253"/>
  <c r="F24" i="253" s="1"/>
  <c r="I25" i="253"/>
  <c r="F25" i="253" s="1"/>
  <c r="I26" i="253"/>
  <c r="I27" i="253"/>
  <c r="F27" i="253" s="1"/>
  <c r="I28" i="253"/>
  <c r="F28" i="253" s="1"/>
  <c r="I29" i="253"/>
  <c r="F29" i="253" s="1"/>
  <c r="I31" i="253"/>
  <c r="F31" i="253" s="1"/>
  <c r="I32" i="253"/>
  <c r="F32" i="253" s="1"/>
  <c r="I14" i="253"/>
  <c r="I15" i="253"/>
  <c r="I16" i="253"/>
  <c r="I17" i="253"/>
  <c r="I18" i="253"/>
  <c r="F18" i="253" s="1"/>
  <c r="I19" i="253"/>
  <c r="F19" i="253" s="1"/>
  <c r="I20" i="253"/>
  <c r="F20" i="253" s="1"/>
  <c r="I21" i="253"/>
  <c r="F21" i="253" s="1"/>
  <c r="I22" i="253"/>
  <c r="F22" i="253" s="1"/>
  <c r="I5" i="253"/>
  <c r="F5" i="253" s="1"/>
  <c r="I6" i="253"/>
  <c r="F6" i="253" s="1"/>
  <c r="I7" i="253"/>
  <c r="F7" i="253" s="1"/>
  <c r="I8" i="253"/>
  <c r="I9" i="253"/>
  <c r="F9" i="253" s="1"/>
  <c r="I10" i="253"/>
  <c r="F10" i="253" s="1"/>
  <c r="I11" i="253"/>
  <c r="F11" i="253" s="1"/>
  <c r="I12" i="253"/>
  <c r="F12" i="253" s="1"/>
  <c r="H42" i="253"/>
  <c r="H33" i="253"/>
  <c r="H23" i="253"/>
  <c r="H13" i="253"/>
  <c r="E42" i="253"/>
  <c r="G33" i="253"/>
  <c r="G23" i="253"/>
  <c r="G13" i="253"/>
  <c r="E33" i="253"/>
  <c r="E23" i="253"/>
  <c r="E13" i="253"/>
  <c r="G42" i="253"/>
  <c r="O41" i="253"/>
  <c r="M41" i="253"/>
  <c r="K41" i="253"/>
  <c r="I41" i="253"/>
  <c r="F41" i="253" s="1"/>
  <c r="O34" i="247"/>
  <c r="O32" i="247"/>
  <c r="O31" i="247"/>
  <c r="O30" i="247"/>
  <c r="M34" i="247"/>
  <c r="K34" i="247"/>
  <c r="I34" i="247"/>
  <c r="F34" i="247" s="1"/>
  <c r="M32" i="247"/>
  <c r="K32" i="247"/>
  <c r="I32" i="247"/>
  <c r="F32" i="247" s="1"/>
  <c r="M31" i="247"/>
  <c r="K31" i="247"/>
  <c r="I31" i="247"/>
  <c r="F31" i="247" s="1"/>
  <c r="M30" i="247"/>
  <c r="K30" i="247"/>
  <c r="I30" i="247"/>
  <c r="F30" i="247" s="1"/>
  <c r="L42" i="252"/>
  <c r="J42" i="252"/>
  <c r="H42" i="252"/>
  <c r="G42" i="252"/>
  <c r="E42" i="252"/>
  <c r="O41" i="252"/>
  <c r="M41" i="252"/>
  <c r="K41" i="252"/>
  <c r="I41" i="252"/>
  <c r="F41" i="252" s="1"/>
  <c r="O40" i="252"/>
  <c r="M40" i="252"/>
  <c r="K40" i="252"/>
  <c r="I40" i="252"/>
  <c r="O39" i="252"/>
  <c r="M39" i="252"/>
  <c r="K39" i="252"/>
  <c r="I39" i="252"/>
  <c r="O38" i="252"/>
  <c r="M38" i="252"/>
  <c r="K38" i="252"/>
  <c r="I38" i="252"/>
  <c r="O37" i="252"/>
  <c r="M37" i="252"/>
  <c r="K37" i="252"/>
  <c r="I37" i="252"/>
  <c r="F37" i="252" s="1"/>
  <c r="O36" i="252"/>
  <c r="M36" i="252"/>
  <c r="K36" i="252"/>
  <c r="I36" i="252"/>
  <c r="O35" i="252"/>
  <c r="M35" i="252"/>
  <c r="K35" i="252"/>
  <c r="I35" i="252"/>
  <c r="O34" i="252"/>
  <c r="M34" i="252"/>
  <c r="K34" i="252"/>
  <c r="I34" i="252"/>
  <c r="L33" i="252"/>
  <c r="J33" i="252"/>
  <c r="H33" i="252"/>
  <c r="G33" i="252"/>
  <c r="E33" i="252"/>
  <c r="O32" i="252"/>
  <c r="M32" i="252"/>
  <c r="K32" i="252"/>
  <c r="I32" i="252"/>
  <c r="F32" i="252" s="1"/>
  <c r="O31" i="252"/>
  <c r="M31" i="252"/>
  <c r="K31" i="252"/>
  <c r="I31" i="252"/>
  <c r="F31" i="252" s="1"/>
  <c r="O30" i="252"/>
  <c r="M30" i="252"/>
  <c r="K30" i="252"/>
  <c r="O29" i="252"/>
  <c r="M29" i="252"/>
  <c r="K29" i="252"/>
  <c r="I29" i="252"/>
  <c r="F29" i="252" s="1"/>
  <c r="O28" i="252"/>
  <c r="M28" i="252"/>
  <c r="K28" i="252"/>
  <c r="I28" i="252"/>
  <c r="F28" i="252" s="1"/>
  <c r="O27" i="252"/>
  <c r="M27" i="252"/>
  <c r="K27" i="252"/>
  <c r="I27" i="252"/>
  <c r="F27" i="252" s="1"/>
  <c r="O26" i="252"/>
  <c r="M26" i="252"/>
  <c r="K26" i="252"/>
  <c r="I26" i="252"/>
  <c r="F26" i="252" s="1"/>
  <c r="O25" i="252"/>
  <c r="M25" i="252"/>
  <c r="K25" i="252"/>
  <c r="I25" i="252"/>
  <c r="F25" i="252" s="1"/>
  <c r="O24" i="252"/>
  <c r="M24" i="252"/>
  <c r="K24" i="252"/>
  <c r="I24" i="252"/>
  <c r="F24" i="252" s="1"/>
  <c r="L23" i="252"/>
  <c r="J23" i="252"/>
  <c r="H23" i="252"/>
  <c r="G23" i="252"/>
  <c r="E23" i="252"/>
  <c r="O22" i="252"/>
  <c r="M22" i="252"/>
  <c r="K22" i="252"/>
  <c r="I22" i="252"/>
  <c r="F22" i="252" s="1"/>
  <c r="O21" i="252"/>
  <c r="M21" i="252"/>
  <c r="K21" i="252"/>
  <c r="I21" i="252"/>
  <c r="F21" i="252" s="1"/>
  <c r="O20" i="252"/>
  <c r="M20" i="252"/>
  <c r="K20" i="252"/>
  <c r="I20" i="252"/>
  <c r="F20" i="252" s="1"/>
  <c r="O19" i="252"/>
  <c r="M19" i="252"/>
  <c r="K19" i="252"/>
  <c r="I19" i="252"/>
  <c r="F19" i="252" s="1"/>
  <c r="O18" i="252"/>
  <c r="M18" i="252"/>
  <c r="K18" i="252"/>
  <c r="I18" i="252"/>
  <c r="F18" i="252" s="1"/>
  <c r="O17" i="252"/>
  <c r="M17" i="252"/>
  <c r="K17" i="252"/>
  <c r="I17" i="252"/>
  <c r="O16" i="252"/>
  <c r="M16" i="252"/>
  <c r="K16" i="252"/>
  <c r="I16" i="252"/>
  <c r="O15" i="252"/>
  <c r="M15" i="252"/>
  <c r="K15" i="252"/>
  <c r="I15" i="252"/>
  <c r="O14" i="252"/>
  <c r="M14" i="252"/>
  <c r="K14" i="252"/>
  <c r="I14" i="252"/>
  <c r="L13" i="252"/>
  <c r="J13" i="252"/>
  <c r="H13" i="252"/>
  <c r="G13" i="252"/>
  <c r="E13" i="252"/>
  <c r="O12" i="252"/>
  <c r="M12" i="252"/>
  <c r="K12" i="252"/>
  <c r="I12" i="252"/>
  <c r="F12" i="252" s="1"/>
  <c r="O11" i="252"/>
  <c r="M11" i="252"/>
  <c r="K11" i="252"/>
  <c r="I11" i="252"/>
  <c r="F11" i="252" s="1"/>
  <c r="O10" i="252"/>
  <c r="M10" i="252"/>
  <c r="K10" i="252"/>
  <c r="I10" i="252"/>
  <c r="F10" i="252" s="1"/>
  <c r="O9" i="252"/>
  <c r="M9" i="252"/>
  <c r="K9" i="252"/>
  <c r="I9" i="252"/>
  <c r="F9" i="252" s="1"/>
  <c r="O8" i="252"/>
  <c r="M8" i="252"/>
  <c r="K8" i="252"/>
  <c r="I8" i="252"/>
  <c r="F8" i="252" s="1"/>
  <c r="O7" i="252"/>
  <c r="M7" i="252"/>
  <c r="K7" i="252"/>
  <c r="I7" i="252"/>
  <c r="F7" i="252" s="1"/>
  <c r="O6" i="252"/>
  <c r="M6" i="252"/>
  <c r="K6" i="252"/>
  <c r="I6" i="252"/>
  <c r="F6" i="252" s="1"/>
  <c r="O5" i="252"/>
  <c r="M5" i="252"/>
  <c r="K5" i="252"/>
  <c r="I5" i="252"/>
  <c r="L42" i="251"/>
  <c r="J42" i="251"/>
  <c r="H42" i="251"/>
  <c r="G42" i="251"/>
  <c r="E42" i="251"/>
  <c r="O41" i="251"/>
  <c r="M41" i="251"/>
  <c r="K41" i="251"/>
  <c r="I41" i="251"/>
  <c r="F41" i="251" s="1"/>
  <c r="O40" i="251"/>
  <c r="M40" i="251"/>
  <c r="K40" i="251"/>
  <c r="I40" i="251"/>
  <c r="O39" i="251"/>
  <c r="M39" i="251"/>
  <c r="K39" i="251"/>
  <c r="I39" i="251"/>
  <c r="O38" i="251"/>
  <c r="M38" i="251"/>
  <c r="K38" i="251"/>
  <c r="I38" i="251"/>
  <c r="O37" i="251"/>
  <c r="M37" i="251"/>
  <c r="K37" i="251"/>
  <c r="I37" i="251"/>
  <c r="O36" i="251"/>
  <c r="M36" i="251"/>
  <c r="K36" i="251"/>
  <c r="I36" i="251"/>
  <c r="O35" i="251"/>
  <c r="M35" i="251"/>
  <c r="K35" i="251"/>
  <c r="I35" i="251"/>
  <c r="O34" i="251"/>
  <c r="M34" i="251"/>
  <c r="K34" i="251"/>
  <c r="I34" i="251"/>
  <c r="L33" i="251"/>
  <c r="J33" i="251"/>
  <c r="H33" i="251"/>
  <c r="G33" i="251"/>
  <c r="E33" i="251"/>
  <c r="O32" i="251"/>
  <c r="M32" i="251"/>
  <c r="K32" i="251"/>
  <c r="I32" i="251"/>
  <c r="F32" i="251" s="1"/>
  <c r="O31" i="251"/>
  <c r="M31" i="251"/>
  <c r="K31" i="251"/>
  <c r="I31" i="251"/>
  <c r="F31" i="251" s="1"/>
  <c r="O30" i="251"/>
  <c r="M30" i="251"/>
  <c r="K30" i="251"/>
  <c r="O29" i="251"/>
  <c r="M29" i="251"/>
  <c r="K29" i="251"/>
  <c r="I29" i="251"/>
  <c r="F29" i="251" s="1"/>
  <c r="O28" i="251"/>
  <c r="M28" i="251"/>
  <c r="K28" i="251"/>
  <c r="I28" i="251"/>
  <c r="F28" i="251" s="1"/>
  <c r="O27" i="251"/>
  <c r="M27" i="251"/>
  <c r="K27" i="251"/>
  <c r="I27" i="251"/>
  <c r="F27" i="251" s="1"/>
  <c r="O26" i="251"/>
  <c r="M26" i="251"/>
  <c r="K26" i="251"/>
  <c r="I26" i="251"/>
  <c r="F26" i="251" s="1"/>
  <c r="O25" i="251"/>
  <c r="M25" i="251"/>
  <c r="K25" i="251"/>
  <c r="I25" i="251"/>
  <c r="F25" i="251" s="1"/>
  <c r="O24" i="251"/>
  <c r="M24" i="251"/>
  <c r="K24" i="251"/>
  <c r="I24" i="251"/>
  <c r="F24" i="251" s="1"/>
  <c r="L23" i="251"/>
  <c r="J23" i="251"/>
  <c r="H23" i="251"/>
  <c r="G23" i="251"/>
  <c r="E23" i="251"/>
  <c r="O22" i="251"/>
  <c r="M22" i="251"/>
  <c r="K22" i="251"/>
  <c r="I22" i="251"/>
  <c r="F22" i="251" s="1"/>
  <c r="O21" i="251"/>
  <c r="M21" i="251"/>
  <c r="K21" i="251"/>
  <c r="I21" i="251"/>
  <c r="F21" i="251" s="1"/>
  <c r="O20" i="251"/>
  <c r="M20" i="251"/>
  <c r="K20" i="251"/>
  <c r="I20" i="251"/>
  <c r="F20" i="251" s="1"/>
  <c r="O19" i="251"/>
  <c r="M19" i="251"/>
  <c r="K19" i="251"/>
  <c r="I19" i="251"/>
  <c r="F19" i="251" s="1"/>
  <c r="O18" i="251"/>
  <c r="M18" i="251"/>
  <c r="K18" i="251"/>
  <c r="I18" i="251"/>
  <c r="F18" i="251" s="1"/>
  <c r="O17" i="251"/>
  <c r="M17" i="251"/>
  <c r="K17" i="251"/>
  <c r="I17" i="251"/>
  <c r="O16" i="251"/>
  <c r="M16" i="251"/>
  <c r="K16" i="251"/>
  <c r="I16" i="251"/>
  <c r="O15" i="251"/>
  <c r="M15" i="251"/>
  <c r="K15" i="251"/>
  <c r="I15" i="251"/>
  <c r="O14" i="251"/>
  <c r="M14" i="251"/>
  <c r="K14" i="251"/>
  <c r="I14" i="251"/>
  <c r="L13" i="251"/>
  <c r="J13" i="251"/>
  <c r="H13" i="251"/>
  <c r="G13" i="251"/>
  <c r="E13" i="251"/>
  <c r="O12" i="251"/>
  <c r="M12" i="251"/>
  <c r="K12" i="251"/>
  <c r="I12" i="251"/>
  <c r="F12" i="251" s="1"/>
  <c r="O11" i="251"/>
  <c r="M11" i="251"/>
  <c r="K11" i="251"/>
  <c r="I11" i="251"/>
  <c r="F11" i="251" s="1"/>
  <c r="O10" i="251"/>
  <c r="M10" i="251"/>
  <c r="K10" i="251"/>
  <c r="I10" i="251"/>
  <c r="F10" i="251" s="1"/>
  <c r="O9" i="251"/>
  <c r="M9" i="251"/>
  <c r="K9" i="251"/>
  <c r="I9" i="251"/>
  <c r="F9" i="251" s="1"/>
  <c r="O8" i="251"/>
  <c r="M8" i="251"/>
  <c r="K8" i="251"/>
  <c r="I8" i="251"/>
  <c r="F8" i="251" s="1"/>
  <c r="O7" i="251"/>
  <c r="M7" i="251"/>
  <c r="K7" i="251"/>
  <c r="I7" i="251"/>
  <c r="F7" i="251" s="1"/>
  <c r="O6" i="251"/>
  <c r="M6" i="251"/>
  <c r="K6" i="251"/>
  <c r="I6" i="251"/>
  <c r="O5" i="251"/>
  <c r="M5" i="251"/>
  <c r="K5" i="251"/>
  <c r="I5" i="251"/>
  <c r="F5" i="251" s="1"/>
  <c r="P53" i="219"/>
  <c r="N53" i="219"/>
  <c r="L53" i="219"/>
  <c r="I53" i="219"/>
  <c r="F53" i="219" s="1"/>
  <c r="P52" i="219"/>
  <c r="N52" i="219"/>
  <c r="L52" i="219"/>
  <c r="I52" i="219"/>
  <c r="F52" i="219" s="1"/>
  <c r="P39" i="219"/>
  <c r="P38" i="219"/>
  <c r="P37" i="219"/>
  <c r="P36" i="219"/>
  <c r="P35" i="219"/>
  <c r="P34" i="219"/>
  <c r="P33" i="219"/>
  <c r="P32" i="219"/>
  <c r="N37" i="219"/>
  <c r="L37" i="219"/>
  <c r="I37" i="219"/>
  <c r="N36" i="219"/>
  <c r="L36" i="219"/>
  <c r="I36" i="219"/>
  <c r="N35" i="219"/>
  <c r="L35" i="219"/>
  <c r="I35" i="219"/>
  <c r="N34" i="219"/>
  <c r="L34" i="219"/>
  <c r="I34" i="219"/>
  <c r="G54" i="219"/>
  <c r="N33" i="219"/>
  <c r="L33" i="219"/>
  <c r="I33" i="219"/>
  <c r="F33" i="219" s="1"/>
  <c r="N32" i="219"/>
  <c r="L32" i="219"/>
  <c r="I32" i="219"/>
  <c r="F32" i="219" s="1"/>
  <c r="P46" i="219"/>
  <c r="P45" i="219"/>
  <c r="P44" i="219"/>
  <c r="P43" i="219"/>
  <c r="N46" i="219"/>
  <c r="L46" i="219"/>
  <c r="I46" i="219"/>
  <c r="F46" i="219" s="1"/>
  <c r="N45" i="219"/>
  <c r="L45" i="219"/>
  <c r="I45" i="219"/>
  <c r="F45" i="219" s="1"/>
  <c r="N44" i="219"/>
  <c r="L44" i="219"/>
  <c r="I44" i="219"/>
  <c r="F44" i="219" s="1"/>
  <c r="N43" i="219"/>
  <c r="L43" i="219"/>
  <c r="I43" i="219"/>
  <c r="F43" i="219" s="1"/>
  <c r="P42" i="219"/>
  <c r="P41" i="219"/>
  <c r="P40" i="219"/>
  <c r="P31" i="219"/>
  <c r="N42" i="219"/>
  <c r="L42" i="219"/>
  <c r="I42" i="219"/>
  <c r="F42" i="219" s="1"/>
  <c r="N40" i="219"/>
  <c r="L40" i="219"/>
  <c r="I40" i="219"/>
  <c r="F40" i="219" s="1"/>
  <c r="L42" i="250"/>
  <c r="J42" i="250"/>
  <c r="H42" i="250"/>
  <c r="G42" i="250"/>
  <c r="E42" i="250"/>
  <c r="O41" i="250"/>
  <c r="M41" i="250"/>
  <c r="K41" i="250"/>
  <c r="I41" i="250"/>
  <c r="F41" i="250" s="1"/>
  <c r="O40" i="250"/>
  <c r="M40" i="250"/>
  <c r="K40" i="250"/>
  <c r="I40" i="250"/>
  <c r="O39" i="250"/>
  <c r="M39" i="250"/>
  <c r="K39" i="250"/>
  <c r="I39" i="250"/>
  <c r="O38" i="250"/>
  <c r="M38" i="250"/>
  <c r="K38" i="250"/>
  <c r="I38" i="250"/>
  <c r="O37" i="250"/>
  <c r="M37" i="250"/>
  <c r="K37" i="250"/>
  <c r="I37" i="250"/>
  <c r="F37" i="250" s="1"/>
  <c r="O36" i="250"/>
  <c r="M36" i="250"/>
  <c r="K36" i="250"/>
  <c r="I36" i="250"/>
  <c r="O35" i="250"/>
  <c r="M35" i="250"/>
  <c r="K35" i="250"/>
  <c r="I35" i="250"/>
  <c r="O34" i="250"/>
  <c r="M34" i="250"/>
  <c r="K34" i="250"/>
  <c r="I34" i="250"/>
  <c r="L33" i="250"/>
  <c r="J33" i="250"/>
  <c r="H33" i="250"/>
  <c r="G33" i="250"/>
  <c r="E33" i="250"/>
  <c r="O32" i="250"/>
  <c r="M32" i="250"/>
  <c r="K32" i="250"/>
  <c r="I32" i="250"/>
  <c r="F32" i="250" s="1"/>
  <c r="O31" i="250"/>
  <c r="M31" i="250"/>
  <c r="K31" i="250"/>
  <c r="I31" i="250"/>
  <c r="F31" i="250" s="1"/>
  <c r="O30" i="250"/>
  <c r="M30" i="250"/>
  <c r="K30" i="250"/>
  <c r="O29" i="250"/>
  <c r="M29" i="250"/>
  <c r="K29" i="250"/>
  <c r="I29" i="250"/>
  <c r="F29" i="250" s="1"/>
  <c r="O28" i="250"/>
  <c r="M28" i="250"/>
  <c r="K28" i="250"/>
  <c r="I28" i="250"/>
  <c r="F28" i="250" s="1"/>
  <c r="O27" i="250"/>
  <c r="M27" i="250"/>
  <c r="K27" i="250"/>
  <c r="I27" i="250"/>
  <c r="F27" i="250" s="1"/>
  <c r="O26" i="250"/>
  <c r="M26" i="250"/>
  <c r="K26" i="250"/>
  <c r="I26" i="250"/>
  <c r="F26" i="250" s="1"/>
  <c r="O25" i="250"/>
  <c r="M25" i="250"/>
  <c r="K25" i="250"/>
  <c r="I25" i="250"/>
  <c r="F25" i="250" s="1"/>
  <c r="O24" i="250"/>
  <c r="M24" i="250"/>
  <c r="K24" i="250"/>
  <c r="I24" i="250"/>
  <c r="L23" i="250"/>
  <c r="J23" i="250"/>
  <c r="H23" i="250"/>
  <c r="G23" i="250"/>
  <c r="E23" i="250"/>
  <c r="O22" i="250"/>
  <c r="M22" i="250"/>
  <c r="K22" i="250"/>
  <c r="I22" i="250"/>
  <c r="F22" i="250" s="1"/>
  <c r="O21" i="250"/>
  <c r="M21" i="250"/>
  <c r="K21" i="250"/>
  <c r="I21" i="250"/>
  <c r="F21" i="250" s="1"/>
  <c r="O20" i="250"/>
  <c r="M20" i="250"/>
  <c r="K20" i="250"/>
  <c r="I20" i="250"/>
  <c r="F20" i="250" s="1"/>
  <c r="O19" i="250"/>
  <c r="M19" i="250"/>
  <c r="K19" i="250"/>
  <c r="I19" i="250"/>
  <c r="F19" i="250" s="1"/>
  <c r="O18" i="250"/>
  <c r="M18" i="250"/>
  <c r="K18" i="250"/>
  <c r="I18" i="250"/>
  <c r="F18" i="250" s="1"/>
  <c r="O17" i="250"/>
  <c r="M17" i="250"/>
  <c r="K17" i="250"/>
  <c r="I17" i="250"/>
  <c r="O16" i="250"/>
  <c r="M16" i="250"/>
  <c r="K16" i="250"/>
  <c r="I16" i="250"/>
  <c r="O15" i="250"/>
  <c r="M15" i="250"/>
  <c r="K15" i="250"/>
  <c r="I15" i="250"/>
  <c r="O14" i="250"/>
  <c r="M14" i="250"/>
  <c r="K14" i="250"/>
  <c r="I14" i="250"/>
  <c r="L13" i="250"/>
  <c r="J13" i="250"/>
  <c r="H13" i="250"/>
  <c r="G13" i="250"/>
  <c r="E13" i="250"/>
  <c r="O12" i="250"/>
  <c r="M12" i="250"/>
  <c r="K12" i="250"/>
  <c r="I12" i="250"/>
  <c r="F12" i="250" s="1"/>
  <c r="O11" i="250"/>
  <c r="M11" i="250"/>
  <c r="K11" i="250"/>
  <c r="I11" i="250"/>
  <c r="F11" i="250" s="1"/>
  <c r="O10" i="250"/>
  <c r="M10" i="250"/>
  <c r="K10" i="250"/>
  <c r="I10" i="250"/>
  <c r="F10" i="250" s="1"/>
  <c r="O9" i="250"/>
  <c r="M9" i="250"/>
  <c r="K9" i="250"/>
  <c r="I9" i="250"/>
  <c r="F9" i="250" s="1"/>
  <c r="O8" i="250"/>
  <c r="M8" i="250"/>
  <c r="K8" i="250"/>
  <c r="I8" i="250"/>
  <c r="F8" i="250" s="1"/>
  <c r="O7" i="250"/>
  <c r="M7" i="250"/>
  <c r="K7" i="250"/>
  <c r="I7" i="250"/>
  <c r="F7" i="250" s="1"/>
  <c r="O6" i="250"/>
  <c r="M6" i="250"/>
  <c r="K6" i="250"/>
  <c r="I6" i="250"/>
  <c r="F6" i="250" s="1"/>
  <c r="O5" i="250"/>
  <c r="M5" i="250"/>
  <c r="K5" i="250"/>
  <c r="I5" i="250"/>
  <c r="F5" i="250" s="1"/>
  <c r="L42" i="249"/>
  <c r="J42" i="249"/>
  <c r="H42" i="249"/>
  <c r="G42" i="249"/>
  <c r="E42" i="249"/>
  <c r="O41" i="249"/>
  <c r="M41" i="249"/>
  <c r="K41" i="249"/>
  <c r="I41" i="249"/>
  <c r="F41" i="249" s="1"/>
  <c r="O40" i="249"/>
  <c r="M40" i="249"/>
  <c r="K40" i="249"/>
  <c r="I40" i="249"/>
  <c r="O39" i="249"/>
  <c r="M39" i="249"/>
  <c r="K39" i="249"/>
  <c r="I39" i="249"/>
  <c r="O38" i="249"/>
  <c r="M38" i="249"/>
  <c r="K38" i="249"/>
  <c r="I38" i="249"/>
  <c r="O37" i="249"/>
  <c r="M37" i="249"/>
  <c r="K37" i="249"/>
  <c r="I37" i="249"/>
  <c r="F37" i="249" s="1"/>
  <c r="O36" i="249"/>
  <c r="M36" i="249"/>
  <c r="K36" i="249"/>
  <c r="I36" i="249"/>
  <c r="O35" i="249"/>
  <c r="M35" i="249"/>
  <c r="K35" i="249"/>
  <c r="I35" i="249"/>
  <c r="O34" i="249"/>
  <c r="M34" i="249"/>
  <c r="K34" i="249"/>
  <c r="I34" i="249"/>
  <c r="L33" i="249"/>
  <c r="J33" i="249"/>
  <c r="H33" i="249"/>
  <c r="G33" i="249"/>
  <c r="E33" i="249"/>
  <c r="O32" i="249"/>
  <c r="M32" i="249"/>
  <c r="K32" i="249"/>
  <c r="I32" i="249"/>
  <c r="F32" i="249" s="1"/>
  <c r="O31" i="249"/>
  <c r="M31" i="249"/>
  <c r="K31" i="249"/>
  <c r="I31" i="249"/>
  <c r="F31" i="249" s="1"/>
  <c r="O30" i="249"/>
  <c r="M30" i="249"/>
  <c r="K30" i="249"/>
  <c r="O29" i="249"/>
  <c r="M29" i="249"/>
  <c r="K29" i="249"/>
  <c r="I29" i="249"/>
  <c r="F29" i="249" s="1"/>
  <c r="O28" i="249"/>
  <c r="M28" i="249"/>
  <c r="K28" i="249"/>
  <c r="I28" i="249"/>
  <c r="F28" i="249" s="1"/>
  <c r="O27" i="249"/>
  <c r="M27" i="249"/>
  <c r="K27" i="249"/>
  <c r="I27" i="249"/>
  <c r="F27" i="249" s="1"/>
  <c r="O26" i="249"/>
  <c r="M26" i="249"/>
  <c r="K26" i="249"/>
  <c r="I26" i="249"/>
  <c r="F26" i="249" s="1"/>
  <c r="O25" i="249"/>
  <c r="M25" i="249"/>
  <c r="K25" i="249"/>
  <c r="I25" i="249"/>
  <c r="F25" i="249" s="1"/>
  <c r="O24" i="249"/>
  <c r="M24" i="249"/>
  <c r="K24" i="249"/>
  <c r="I24" i="249"/>
  <c r="L23" i="249"/>
  <c r="J23" i="249"/>
  <c r="H23" i="249"/>
  <c r="G23" i="249"/>
  <c r="E23" i="249"/>
  <c r="O22" i="249"/>
  <c r="M22" i="249"/>
  <c r="K22" i="249"/>
  <c r="I22" i="249"/>
  <c r="F22" i="249" s="1"/>
  <c r="O21" i="249"/>
  <c r="M21" i="249"/>
  <c r="K21" i="249"/>
  <c r="I21" i="249"/>
  <c r="F21" i="249" s="1"/>
  <c r="O20" i="249"/>
  <c r="M20" i="249"/>
  <c r="K20" i="249"/>
  <c r="I20" i="249"/>
  <c r="F20" i="249" s="1"/>
  <c r="O19" i="249"/>
  <c r="M19" i="249"/>
  <c r="K19" i="249"/>
  <c r="I19" i="249"/>
  <c r="F19" i="249" s="1"/>
  <c r="O18" i="249"/>
  <c r="M18" i="249"/>
  <c r="K18" i="249"/>
  <c r="I18" i="249"/>
  <c r="F18" i="249" s="1"/>
  <c r="O17" i="249"/>
  <c r="M17" i="249"/>
  <c r="K17" i="249"/>
  <c r="I17" i="249"/>
  <c r="O16" i="249"/>
  <c r="M16" i="249"/>
  <c r="K16" i="249"/>
  <c r="I16" i="249"/>
  <c r="O15" i="249"/>
  <c r="M15" i="249"/>
  <c r="K15" i="249"/>
  <c r="I15" i="249"/>
  <c r="O14" i="249"/>
  <c r="M14" i="249"/>
  <c r="K14" i="249"/>
  <c r="I14" i="249"/>
  <c r="L13" i="249"/>
  <c r="J13" i="249"/>
  <c r="H13" i="249"/>
  <c r="G13" i="249"/>
  <c r="E13" i="249"/>
  <c r="O12" i="249"/>
  <c r="M12" i="249"/>
  <c r="K12" i="249"/>
  <c r="I12" i="249"/>
  <c r="F12" i="249" s="1"/>
  <c r="O11" i="249"/>
  <c r="M11" i="249"/>
  <c r="K11" i="249"/>
  <c r="I11" i="249"/>
  <c r="F11" i="249" s="1"/>
  <c r="O10" i="249"/>
  <c r="M10" i="249"/>
  <c r="K10" i="249"/>
  <c r="I10" i="249"/>
  <c r="F10" i="249" s="1"/>
  <c r="O9" i="249"/>
  <c r="M9" i="249"/>
  <c r="K9" i="249"/>
  <c r="I9" i="249"/>
  <c r="F9" i="249" s="1"/>
  <c r="O8" i="249"/>
  <c r="M8" i="249"/>
  <c r="K8" i="249"/>
  <c r="I8" i="249"/>
  <c r="F8" i="249" s="1"/>
  <c r="O7" i="249"/>
  <c r="M7" i="249"/>
  <c r="K7" i="249"/>
  <c r="I7" i="249"/>
  <c r="F7" i="249" s="1"/>
  <c r="O6" i="249"/>
  <c r="M6" i="249"/>
  <c r="K6" i="249"/>
  <c r="I6" i="249"/>
  <c r="F6" i="249" s="1"/>
  <c r="O5" i="249"/>
  <c r="M5" i="249"/>
  <c r="K5" i="249"/>
  <c r="I5" i="249"/>
  <c r="F5" i="249" s="1"/>
  <c r="O23" i="213"/>
  <c r="J44" i="242"/>
  <c r="L56" i="247"/>
  <c r="J56" i="247"/>
  <c r="H56" i="247"/>
  <c r="G56" i="247"/>
  <c r="E56" i="247"/>
  <c r="O55" i="247"/>
  <c r="M55" i="247"/>
  <c r="K55" i="247"/>
  <c r="I55" i="247"/>
  <c r="F55" i="247" s="1"/>
  <c r="O54" i="247"/>
  <c r="M54" i="247"/>
  <c r="K54" i="247"/>
  <c r="I54" i="247"/>
  <c r="O53" i="247"/>
  <c r="M53" i="247"/>
  <c r="K53" i="247"/>
  <c r="I53" i="247"/>
  <c r="F53" i="247" s="1"/>
  <c r="O52" i="247"/>
  <c r="M52" i="247"/>
  <c r="K52" i="247"/>
  <c r="I52" i="247"/>
  <c r="F52" i="247" s="1"/>
  <c r="O51" i="247"/>
  <c r="K51" i="247"/>
  <c r="I51" i="247"/>
  <c r="F51" i="247" s="1"/>
  <c r="O45" i="247"/>
  <c r="M45" i="247"/>
  <c r="K45" i="247"/>
  <c r="I45" i="247"/>
  <c r="F45" i="247" s="1"/>
  <c r="O44" i="247"/>
  <c r="M44" i="247"/>
  <c r="K44" i="247"/>
  <c r="I44" i="247"/>
  <c r="F44" i="247" s="1"/>
  <c r="O43" i="247"/>
  <c r="M43" i="247"/>
  <c r="K43" i="247"/>
  <c r="I43" i="247"/>
  <c r="F43" i="247" s="1"/>
  <c r="O42" i="247"/>
  <c r="M42" i="247"/>
  <c r="K42" i="247"/>
  <c r="I42" i="247"/>
  <c r="F42" i="247" s="1"/>
  <c r="L41" i="247"/>
  <c r="J41" i="247"/>
  <c r="H41" i="247"/>
  <c r="G41" i="247"/>
  <c r="E41" i="247"/>
  <c r="O40" i="247"/>
  <c r="M40" i="247"/>
  <c r="K40" i="247"/>
  <c r="I40" i="247"/>
  <c r="F40" i="247" s="1"/>
  <c r="O39" i="247"/>
  <c r="M39" i="247"/>
  <c r="K39" i="247"/>
  <c r="I39" i="247"/>
  <c r="F39" i="247" s="1"/>
  <c r="O38" i="247"/>
  <c r="M38" i="247"/>
  <c r="K38" i="247"/>
  <c r="I38" i="247"/>
  <c r="F38" i="247" s="1"/>
  <c r="O37" i="247"/>
  <c r="M37" i="247"/>
  <c r="K37" i="247"/>
  <c r="I37" i="247"/>
  <c r="F37" i="247" s="1"/>
  <c r="O36" i="247"/>
  <c r="M36" i="247"/>
  <c r="K36" i="247"/>
  <c r="I36" i="247"/>
  <c r="O35" i="247"/>
  <c r="M35" i="247"/>
  <c r="K35" i="247"/>
  <c r="I35" i="247"/>
  <c r="F35" i="247" s="1"/>
  <c r="O29" i="247"/>
  <c r="M29" i="247"/>
  <c r="K29" i="247"/>
  <c r="I29" i="247"/>
  <c r="O28" i="247"/>
  <c r="M28" i="247"/>
  <c r="K28" i="247"/>
  <c r="I28" i="247"/>
  <c r="L27" i="247"/>
  <c r="H27" i="247"/>
  <c r="G27" i="247"/>
  <c r="E27" i="247"/>
  <c r="O26" i="247"/>
  <c r="M26" i="247"/>
  <c r="K26" i="247"/>
  <c r="I26" i="247"/>
  <c r="O25" i="247"/>
  <c r="M25" i="247"/>
  <c r="K25" i="247"/>
  <c r="I25" i="247"/>
  <c r="M24" i="247"/>
  <c r="K24" i="247"/>
  <c r="I24" i="247"/>
  <c r="O20" i="247"/>
  <c r="M20" i="247"/>
  <c r="K20" i="247"/>
  <c r="I20" i="247"/>
  <c r="F20" i="247" s="1"/>
  <c r="O19" i="247"/>
  <c r="M19" i="247"/>
  <c r="K19" i="247"/>
  <c r="I19" i="247"/>
  <c r="F19" i="247" s="1"/>
  <c r="O18" i="247"/>
  <c r="M18" i="247"/>
  <c r="K18" i="247"/>
  <c r="I18" i="247"/>
  <c r="F18" i="247" s="1"/>
  <c r="O17" i="247"/>
  <c r="M17" i="247"/>
  <c r="K17" i="247"/>
  <c r="I17" i="247"/>
  <c r="F17" i="247" s="1"/>
  <c r="O16" i="247"/>
  <c r="M16" i="247"/>
  <c r="K16" i="247"/>
  <c r="I16" i="247"/>
  <c r="F16" i="247" s="1"/>
  <c r="O15" i="247"/>
  <c r="M15" i="247"/>
  <c r="K15" i="247"/>
  <c r="I15" i="247"/>
  <c r="F15" i="247" s="1"/>
  <c r="L14" i="247"/>
  <c r="J14" i="247"/>
  <c r="H14" i="247"/>
  <c r="G14" i="247"/>
  <c r="E14" i="247"/>
  <c r="O13" i="247"/>
  <c r="M13" i="247"/>
  <c r="K13" i="247"/>
  <c r="I13" i="247"/>
  <c r="F13" i="247" s="1"/>
  <c r="O12" i="247"/>
  <c r="M12" i="247"/>
  <c r="K12" i="247"/>
  <c r="I12" i="247"/>
  <c r="F12" i="247" s="1"/>
  <c r="O11" i="247"/>
  <c r="M11" i="247"/>
  <c r="K11" i="247"/>
  <c r="I11" i="247"/>
  <c r="F11" i="247" s="1"/>
  <c r="O10" i="247"/>
  <c r="M10" i="247"/>
  <c r="K10" i="247"/>
  <c r="I10" i="247"/>
  <c r="F10" i="247" s="1"/>
  <c r="O9" i="247"/>
  <c r="M9" i="247"/>
  <c r="K9" i="247"/>
  <c r="I9" i="247"/>
  <c r="F9" i="247" s="1"/>
  <c r="O8" i="247"/>
  <c r="M8" i="247"/>
  <c r="K8" i="247"/>
  <c r="I8" i="247"/>
  <c r="F8" i="247" s="1"/>
  <c r="O7" i="247"/>
  <c r="M7" i="247"/>
  <c r="K7" i="247"/>
  <c r="I7" i="247"/>
  <c r="F7" i="247" s="1"/>
  <c r="O6" i="247"/>
  <c r="M6" i="247"/>
  <c r="K6" i="247"/>
  <c r="I6" i="247"/>
  <c r="O5" i="247"/>
  <c r="M5" i="247"/>
  <c r="K5" i="247"/>
  <c r="I5" i="247"/>
  <c r="F5" i="247" s="1"/>
  <c r="L44" i="245"/>
  <c r="J44" i="245"/>
  <c r="H44" i="245"/>
  <c r="G44" i="245"/>
  <c r="E44" i="245"/>
  <c r="O43" i="245"/>
  <c r="M43" i="245"/>
  <c r="K43" i="245"/>
  <c r="I43" i="245"/>
  <c r="F43" i="245" s="1"/>
  <c r="O42" i="245"/>
  <c r="M42" i="245"/>
  <c r="K42" i="245"/>
  <c r="I42" i="245"/>
  <c r="F42" i="245" s="1"/>
  <c r="O41" i="245"/>
  <c r="M41" i="245"/>
  <c r="K41" i="245"/>
  <c r="I41" i="245"/>
  <c r="F41" i="245" s="1"/>
  <c r="O40" i="245"/>
  <c r="M40" i="245"/>
  <c r="K40" i="245"/>
  <c r="I40" i="245"/>
  <c r="F40" i="245" s="1"/>
  <c r="O39" i="245"/>
  <c r="M39" i="245"/>
  <c r="K39" i="245"/>
  <c r="I39" i="245"/>
  <c r="F39" i="245" s="1"/>
  <c r="O38" i="245"/>
  <c r="M38" i="245"/>
  <c r="K38" i="245"/>
  <c r="I38" i="245"/>
  <c r="F38" i="245" s="1"/>
  <c r="O37" i="245"/>
  <c r="M37" i="245"/>
  <c r="K37" i="245"/>
  <c r="I37" i="245"/>
  <c r="F37" i="245" s="1"/>
  <c r="O36" i="245"/>
  <c r="M36" i="245"/>
  <c r="K36" i="245"/>
  <c r="I36" i="245"/>
  <c r="F36" i="245" s="1"/>
  <c r="O35" i="245"/>
  <c r="M35" i="245"/>
  <c r="K35" i="245"/>
  <c r="I35" i="245"/>
  <c r="F35" i="245" s="1"/>
  <c r="L34" i="245"/>
  <c r="J34" i="245"/>
  <c r="H34" i="245"/>
  <c r="G34" i="245"/>
  <c r="E34" i="245"/>
  <c r="O33" i="245"/>
  <c r="M33" i="245"/>
  <c r="K33" i="245"/>
  <c r="I33" i="245"/>
  <c r="F33" i="245" s="1"/>
  <c r="O32" i="245"/>
  <c r="M32" i="245"/>
  <c r="K32" i="245"/>
  <c r="I32" i="245"/>
  <c r="F32" i="245" s="1"/>
  <c r="O31" i="245"/>
  <c r="M31" i="245"/>
  <c r="K31" i="245"/>
  <c r="I31" i="245"/>
  <c r="F31" i="245" s="1"/>
  <c r="O30" i="245"/>
  <c r="M30" i="245"/>
  <c r="K30" i="245"/>
  <c r="I30" i="245"/>
  <c r="F30" i="245" s="1"/>
  <c r="O29" i="245"/>
  <c r="M29" i="245"/>
  <c r="K29" i="245"/>
  <c r="I29" i="245"/>
  <c r="F29" i="245" s="1"/>
  <c r="O28" i="245"/>
  <c r="M28" i="245"/>
  <c r="K28" i="245"/>
  <c r="I28" i="245"/>
  <c r="F28" i="245" s="1"/>
  <c r="O27" i="245"/>
  <c r="M27" i="245"/>
  <c r="K27" i="245"/>
  <c r="I27" i="245"/>
  <c r="F27" i="245" s="1"/>
  <c r="O26" i="245"/>
  <c r="M26" i="245"/>
  <c r="K26" i="245"/>
  <c r="I26" i="245"/>
  <c r="F26" i="245" s="1"/>
  <c r="O25" i="245"/>
  <c r="M25" i="245"/>
  <c r="K25" i="245"/>
  <c r="I25" i="245"/>
  <c r="F25" i="245" s="1"/>
  <c r="L24" i="245"/>
  <c r="J24" i="245"/>
  <c r="H24" i="245"/>
  <c r="G24" i="245"/>
  <c r="E24" i="245"/>
  <c r="O23" i="245"/>
  <c r="M23" i="245"/>
  <c r="K23" i="245"/>
  <c r="I23" i="245"/>
  <c r="F23" i="245" s="1"/>
  <c r="O22" i="245"/>
  <c r="M22" i="245"/>
  <c r="K22" i="245"/>
  <c r="I22" i="245"/>
  <c r="F22" i="245" s="1"/>
  <c r="O21" i="245"/>
  <c r="M21" i="245"/>
  <c r="K21" i="245"/>
  <c r="I21" i="245"/>
  <c r="F21" i="245" s="1"/>
  <c r="O20" i="245"/>
  <c r="M20" i="245"/>
  <c r="K20" i="245"/>
  <c r="I20" i="245"/>
  <c r="F20" i="245" s="1"/>
  <c r="O19" i="245"/>
  <c r="M19" i="245"/>
  <c r="K19" i="245"/>
  <c r="I19" i="245"/>
  <c r="F19" i="245" s="1"/>
  <c r="O18" i="245"/>
  <c r="M18" i="245"/>
  <c r="K18" i="245"/>
  <c r="I18" i="245"/>
  <c r="F18" i="245" s="1"/>
  <c r="O17" i="245"/>
  <c r="M17" i="245"/>
  <c r="K17" i="245"/>
  <c r="I17" i="245"/>
  <c r="F17" i="245" s="1"/>
  <c r="O16" i="245"/>
  <c r="M16" i="245"/>
  <c r="K16" i="245"/>
  <c r="I16" i="245"/>
  <c r="F16" i="245" s="1"/>
  <c r="O15" i="245"/>
  <c r="M15" i="245"/>
  <c r="K15" i="245"/>
  <c r="I15" i="245"/>
  <c r="F15" i="245" s="1"/>
  <c r="L14" i="245"/>
  <c r="J14" i="245"/>
  <c r="H14" i="245"/>
  <c r="G14" i="245"/>
  <c r="E14" i="245"/>
  <c r="O13" i="245"/>
  <c r="M13" i="245"/>
  <c r="K13" i="245"/>
  <c r="I13" i="245"/>
  <c r="F13" i="245" s="1"/>
  <c r="O12" i="245"/>
  <c r="M12" i="245"/>
  <c r="K12" i="245"/>
  <c r="I12" i="245"/>
  <c r="F12" i="245" s="1"/>
  <c r="O11" i="245"/>
  <c r="M11" i="245"/>
  <c r="K11" i="245"/>
  <c r="I11" i="245"/>
  <c r="F11" i="245" s="1"/>
  <c r="O10" i="245"/>
  <c r="M10" i="245"/>
  <c r="K10" i="245"/>
  <c r="I10" i="245"/>
  <c r="F10" i="245" s="1"/>
  <c r="O9" i="245"/>
  <c r="M9" i="245"/>
  <c r="K9" i="245"/>
  <c r="I9" i="245"/>
  <c r="F9" i="245" s="1"/>
  <c r="O8" i="245"/>
  <c r="M8" i="245"/>
  <c r="K8" i="245"/>
  <c r="I8" i="245"/>
  <c r="F8" i="245" s="1"/>
  <c r="O7" i="245"/>
  <c r="M7" i="245"/>
  <c r="K7" i="245"/>
  <c r="I7" i="245"/>
  <c r="F7" i="245" s="1"/>
  <c r="O6" i="245"/>
  <c r="M6" i="245"/>
  <c r="K6" i="245"/>
  <c r="I6" i="245"/>
  <c r="O5" i="245"/>
  <c r="M5" i="245"/>
  <c r="K5" i="245"/>
  <c r="I5" i="245"/>
  <c r="F5" i="245" s="1"/>
  <c r="I16" i="219"/>
  <c r="F16" i="219" s="1"/>
  <c r="O15" i="228"/>
  <c r="M15" i="228"/>
  <c r="K15" i="228"/>
  <c r="I15" i="228"/>
  <c r="F15" i="228" s="1"/>
  <c r="O11" i="228"/>
  <c r="M11" i="228"/>
  <c r="K11" i="228"/>
  <c r="I11" i="228"/>
  <c r="F11" i="228" s="1"/>
  <c r="O17" i="228"/>
  <c r="M17" i="228"/>
  <c r="K17" i="228"/>
  <c r="I17" i="228"/>
  <c r="F17" i="228" s="1"/>
  <c r="O16" i="228"/>
  <c r="M16" i="228"/>
  <c r="K16" i="228"/>
  <c r="I16" i="228"/>
  <c r="F16" i="228" s="1"/>
  <c r="O9" i="228"/>
  <c r="M9" i="228"/>
  <c r="K9" i="228"/>
  <c r="I9" i="228"/>
  <c r="F9" i="228" s="1"/>
  <c r="O35" i="244"/>
  <c r="O36" i="244"/>
  <c r="O37" i="244"/>
  <c r="O38" i="244"/>
  <c r="O39" i="244"/>
  <c r="O40" i="244"/>
  <c r="O41" i="244"/>
  <c r="O42" i="244"/>
  <c r="O43" i="244"/>
  <c r="O25" i="244"/>
  <c r="O26" i="244"/>
  <c r="O27" i="244"/>
  <c r="O28" i="244"/>
  <c r="O29" i="244"/>
  <c r="O30" i="244"/>
  <c r="O31" i="244"/>
  <c r="O32" i="244"/>
  <c r="O33" i="244"/>
  <c r="O15" i="244"/>
  <c r="O16" i="244"/>
  <c r="O17" i="244"/>
  <c r="O18" i="244"/>
  <c r="O19" i="244"/>
  <c r="O20" i="244"/>
  <c r="O21" i="244"/>
  <c r="O22" i="244"/>
  <c r="O23" i="244"/>
  <c r="O5" i="244"/>
  <c r="O6" i="244"/>
  <c r="O7" i="244"/>
  <c r="O8" i="244"/>
  <c r="O9" i="244"/>
  <c r="O10" i="244"/>
  <c r="O11" i="244"/>
  <c r="O12" i="244"/>
  <c r="O13" i="244"/>
  <c r="L44" i="244"/>
  <c r="L34" i="244"/>
  <c r="L24" i="244"/>
  <c r="L14" i="244"/>
  <c r="J44" i="244"/>
  <c r="J34" i="244"/>
  <c r="J24" i="244"/>
  <c r="J14" i="244"/>
  <c r="M35" i="244"/>
  <c r="M36" i="244"/>
  <c r="M37" i="244"/>
  <c r="M38" i="244"/>
  <c r="M39" i="244"/>
  <c r="M40" i="244"/>
  <c r="M41" i="244"/>
  <c r="M42" i="244"/>
  <c r="M43" i="244"/>
  <c r="M25" i="244"/>
  <c r="M26" i="244"/>
  <c r="M27" i="244"/>
  <c r="M28" i="244"/>
  <c r="M29" i="244"/>
  <c r="M30" i="244"/>
  <c r="M31" i="244"/>
  <c r="M32" i="244"/>
  <c r="M33" i="244"/>
  <c r="M15" i="244"/>
  <c r="M16" i="244"/>
  <c r="M17" i="244"/>
  <c r="M18" i="244"/>
  <c r="M19" i="244"/>
  <c r="M20" i="244"/>
  <c r="M21" i="244"/>
  <c r="M22" i="244"/>
  <c r="M23" i="244"/>
  <c r="M5" i="244"/>
  <c r="M6" i="244"/>
  <c r="M7" i="244"/>
  <c r="M8" i="244"/>
  <c r="M9" i="244"/>
  <c r="M10" i="244"/>
  <c r="M11" i="244"/>
  <c r="M12" i="244"/>
  <c r="M13" i="244"/>
  <c r="K35" i="244"/>
  <c r="K36" i="244"/>
  <c r="K37" i="244"/>
  <c r="K38" i="244"/>
  <c r="K39" i="244"/>
  <c r="K40" i="244"/>
  <c r="K41" i="244"/>
  <c r="K42" i="244"/>
  <c r="K43" i="244"/>
  <c r="K25" i="244"/>
  <c r="K26" i="244"/>
  <c r="K27" i="244"/>
  <c r="K28" i="244"/>
  <c r="K29" i="244"/>
  <c r="K30" i="244"/>
  <c r="K31" i="244"/>
  <c r="K32" i="244"/>
  <c r="K33" i="244"/>
  <c r="K15" i="244"/>
  <c r="K16" i="244"/>
  <c r="K17" i="244"/>
  <c r="K18" i="244"/>
  <c r="K19" i="244"/>
  <c r="K20" i="244"/>
  <c r="K21" i="244"/>
  <c r="K22" i="244"/>
  <c r="K23" i="244"/>
  <c r="K5" i="244"/>
  <c r="K6" i="244"/>
  <c r="K7" i="244"/>
  <c r="K8" i="244"/>
  <c r="K9" i="244"/>
  <c r="K10" i="244"/>
  <c r="K11" i="244"/>
  <c r="K12" i="244"/>
  <c r="K13" i="244"/>
  <c r="I35" i="244"/>
  <c r="F35" i="244" s="1"/>
  <c r="I36" i="244"/>
  <c r="F36" i="244" s="1"/>
  <c r="I37" i="244"/>
  <c r="F37" i="244" s="1"/>
  <c r="I38" i="244"/>
  <c r="F38" i="244" s="1"/>
  <c r="I39" i="244"/>
  <c r="F39" i="244" s="1"/>
  <c r="I40" i="244"/>
  <c r="F40" i="244" s="1"/>
  <c r="I41" i="244"/>
  <c r="I42" i="244"/>
  <c r="F42" i="244" s="1"/>
  <c r="I43" i="244"/>
  <c r="F43" i="244" s="1"/>
  <c r="I25" i="244"/>
  <c r="F25" i="244" s="1"/>
  <c r="I26" i="244"/>
  <c r="F26" i="244" s="1"/>
  <c r="I27" i="244"/>
  <c r="F27" i="244" s="1"/>
  <c r="I28" i="244"/>
  <c r="F28" i="244" s="1"/>
  <c r="I29" i="244"/>
  <c r="F29" i="244" s="1"/>
  <c r="I30" i="244"/>
  <c r="F30" i="244" s="1"/>
  <c r="I31" i="244"/>
  <c r="F31" i="244" s="1"/>
  <c r="I32" i="244"/>
  <c r="I33" i="244"/>
  <c r="F33" i="244" s="1"/>
  <c r="I15" i="244"/>
  <c r="F15" i="244" s="1"/>
  <c r="I16" i="244"/>
  <c r="F16" i="244" s="1"/>
  <c r="I17" i="244"/>
  <c r="F17" i="244" s="1"/>
  <c r="I18" i="244"/>
  <c r="F18" i="244" s="1"/>
  <c r="I19" i="244"/>
  <c r="F19" i="244" s="1"/>
  <c r="I20" i="244"/>
  <c r="I21" i="244"/>
  <c r="F21" i="244" s="1"/>
  <c r="I22" i="244"/>
  <c r="F22" i="244" s="1"/>
  <c r="I23" i="244"/>
  <c r="F23" i="244" s="1"/>
  <c r="I5" i="244"/>
  <c r="I6" i="244"/>
  <c r="F6" i="244" s="1"/>
  <c r="I7" i="244"/>
  <c r="F7" i="244" s="1"/>
  <c r="I8" i="244"/>
  <c r="F8" i="244" s="1"/>
  <c r="I9" i="244"/>
  <c r="F9" i="244" s="1"/>
  <c r="I10" i="244"/>
  <c r="F10" i="244" s="1"/>
  <c r="I11" i="244"/>
  <c r="F11" i="244" s="1"/>
  <c r="I12" i="244"/>
  <c r="F12" i="244" s="1"/>
  <c r="I13" i="244"/>
  <c r="F13" i="244" s="1"/>
  <c r="H44" i="244"/>
  <c r="H34" i="244"/>
  <c r="H24" i="244"/>
  <c r="H14" i="244"/>
  <c r="E44" i="244"/>
  <c r="G34" i="244"/>
  <c r="G24" i="244"/>
  <c r="G14" i="244"/>
  <c r="E34" i="244"/>
  <c r="E24" i="244"/>
  <c r="E14" i="244"/>
  <c r="G44" i="244"/>
  <c r="L44" i="242"/>
  <c r="H44" i="242"/>
  <c r="G44" i="242"/>
  <c r="E44" i="242"/>
  <c r="O43" i="242"/>
  <c r="M43" i="242"/>
  <c r="K43" i="242"/>
  <c r="I43" i="242"/>
  <c r="O42" i="242"/>
  <c r="M42" i="242"/>
  <c r="K42" i="242"/>
  <c r="I42" i="242"/>
  <c r="F42" i="242" s="1"/>
  <c r="O41" i="242"/>
  <c r="M41" i="242"/>
  <c r="K41" i="242"/>
  <c r="I41" i="242"/>
  <c r="F41" i="242" s="1"/>
  <c r="O40" i="242"/>
  <c r="M40" i="242"/>
  <c r="K40" i="242"/>
  <c r="I40" i="242"/>
  <c r="F40" i="242" s="1"/>
  <c r="O39" i="242"/>
  <c r="M39" i="242"/>
  <c r="K39" i="242"/>
  <c r="I39" i="242"/>
  <c r="F39" i="242" s="1"/>
  <c r="O38" i="242"/>
  <c r="M38" i="242"/>
  <c r="K38" i="242"/>
  <c r="I38" i="242"/>
  <c r="F38" i="242" s="1"/>
  <c r="O37" i="242"/>
  <c r="M37" i="242"/>
  <c r="K37" i="242"/>
  <c r="I37" i="242"/>
  <c r="F37" i="242" s="1"/>
  <c r="O36" i="242"/>
  <c r="M36" i="242"/>
  <c r="K36" i="242"/>
  <c r="I36" i="242"/>
  <c r="F36" i="242" s="1"/>
  <c r="O35" i="242"/>
  <c r="M35" i="242"/>
  <c r="K35" i="242"/>
  <c r="I35" i="242"/>
  <c r="F35" i="242" s="1"/>
  <c r="L34" i="242"/>
  <c r="J34" i="242"/>
  <c r="H34" i="242"/>
  <c r="G34" i="242"/>
  <c r="E34" i="242"/>
  <c r="O33" i="242"/>
  <c r="M33" i="242"/>
  <c r="K33" i="242"/>
  <c r="I33" i="242"/>
  <c r="F33" i="242" s="1"/>
  <c r="O32" i="242"/>
  <c r="M32" i="242"/>
  <c r="K32" i="242"/>
  <c r="I32" i="242"/>
  <c r="F32" i="242" s="1"/>
  <c r="O31" i="242"/>
  <c r="M31" i="242"/>
  <c r="K31" i="242"/>
  <c r="I31" i="242"/>
  <c r="F31" i="242" s="1"/>
  <c r="O30" i="242"/>
  <c r="M30" i="242"/>
  <c r="K30" i="242"/>
  <c r="I30" i="242"/>
  <c r="F30" i="242" s="1"/>
  <c r="O29" i="242"/>
  <c r="M29" i="242"/>
  <c r="K29" i="242"/>
  <c r="I29" i="242"/>
  <c r="F29" i="242" s="1"/>
  <c r="O28" i="242"/>
  <c r="M28" i="242"/>
  <c r="K28" i="242"/>
  <c r="I28" i="242"/>
  <c r="F28" i="242" s="1"/>
  <c r="O27" i="242"/>
  <c r="M27" i="242"/>
  <c r="K27" i="242"/>
  <c r="I27" i="242"/>
  <c r="F27" i="242" s="1"/>
  <c r="O26" i="242"/>
  <c r="M26" i="242"/>
  <c r="K26" i="242"/>
  <c r="I26" i="242"/>
  <c r="F26" i="242" s="1"/>
  <c r="O25" i="242"/>
  <c r="M25" i="242"/>
  <c r="K25" i="242"/>
  <c r="I25" i="242"/>
  <c r="F25" i="242" s="1"/>
  <c r="L24" i="242"/>
  <c r="J24" i="242"/>
  <c r="H24" i="242"/>
  <c r="G24" i="242"/>
  <c r="E24" i="242"/>
  <c r="O23" i="242"/>
  <c r="K23" i="242"/>
  <c r="I23" i="242"/>
  <c r="F23" i="242" s="1"/>
  <c r="O22" i="242"/>
  <c r="M22" i="242"/>
  <c r="K22" i="242"/>
  <c r="I22" i="242"/>
  <c r="F22" i="242" s="1"/>
  <c r="O21" i="242"/>
  <c r="M21" i="242"/>
  <c r="K21" i="242"/>
  <c r="I21" i="242"/>
  <c r="F21" i="242" s="1"/>
  <c r="O20" i="242"/>
  <c r="M20" i="242"/>
  <c r="K20" i="242"/>
  <c r="I20" i="242"/>
  <c r="F20" i="242" s="1"/>
  <c r="O19" i="242"/>
  <c r="M19" i="242"/>
  <c r="K19" i="242"/>
  <c r="I19" i="242"/>
  <c r="F19" i="242" s="1"/>
  <c r="O18" i="242"/>
  <c r="M18" i="242"/>
  <c r="K18" i="242"/>
  <c r="I18" i="242"/>
  <c r="F18" i="242" s="1"/>
  <c r="O17" i="242"/>
  <c r="M17" i="242"/>
  <c r="K17" i="242"/>
  <c r="I17" i="242"/>
  <c r="F17" i="242" s="1"/>
  <c r="O16" i="242"/>
  <c r="M16" i="242"/>
  <c r="K16" i="242"/>
  <c r="I16" i="242"/>
  <c r="O15" i="242"/>
  <c r="M15" i="242"/>
  <c r="K15" i="242"/>
  <c r="I15" i="242"/>
  <c r="F15" i="242" s="1"/>
  <c r="L14" i="242"/>
  <c r="J14" i="242"/>
  <c r="H14" i="242"/>
  <c r="G14" i="242"/>
  <c r="E14" i="242"/>
  <c r="O13" i="242"/>
  <c r="M13" i="242"/>
  <c r="K13" i="242"/>
  <c r="I13" i="242"/>
  <c r="F13" i="242" s="1"/>
  <c r="O12" i="242"/>
  <c r="M12" i="242"/>
  <c r="K12" i="242"/>
  <c r="I12" i="242"/>
  <c r="F12" i="242" s="1"/>
  <c r="O11" i="242"/>
  <c r="M11" i="242"/>
  <c r="K11" i="242"/>
  <c r="I11" i="242"/>
  <c r="F11" i="242" s="1"/>
  <c r="O10" i="242"/>
  <c r="M10" i="242"/>
  <c r="K10" i="242"/>
  <c r="I10" i="242"/>
  <c r="F10" i="242" s="1"/>
  <c r="O9" i="242"/>
  <c r="M9" i="242"/>
  <c r="K9" i="242"/>
  <c r="I9" i="242"/>
  <c r="F9" i="242" s="1"/>
  <c r="O8" i="242"/>
  <c r="M8" i="242"/>
  <c r="K8" i="242"/>
  <c r="I8" i="242"/>
  <c r="F8" i="242" s="1"/>
  <c r="O7" i="242"/>
  <c r="M7" i="242"/>
  <c r="K7" i="242"/>
  <c r="I7" i="242"/>
  <c r="F7" i="242" s="1"/>
  <c r="O6" i="242"/>
  <c r="M6" i="242"/>
  <c r="K6" i="242"/>
  <c r="I6" i="242"/>
  <c r="F6" i="242" s="1"/>
  <c r="O5" i="242"/>
  <c r="M5" i="242"/>
  <c r="K5" i="242"/>
  <c r="I5" i="242"/>
  <c r="F5" i="242" s="1"/>
  <c r="J14" i="234"/>
  <c r="L14" i="234"/>
  <c r="L24" i="234"/>
  <c r="L34" i="234"/>
  <c r="J24" i="231"/>
  <c r="L44" i="231"/>
  <c r="L26" i="238"/>
  <c r="L46" i="238"/>
  <c r="J46" i="238"/>
  <c r="L48" i="225"/>
  <c r="L22" i="213"/>
  <c r="O35" i="241"/>
  <c r="O36" i="241"/>
  <c r="O37" i="241"/>
  <c r="O38" i="241"/>
  <c r="O39" i="241"/>
  <c r="O40" i="241"/>
  <c r="O41" i="241"/>
  <c r="O42" i="241"/>
  <c r="O43" i="241"/>
  <c r="O25" i="241"/>
  <c r="O26" i="241"/>
  <c r="O27" i="241"/>
  <c r="O28" i="241"/>
  <c r="O29" i="241"/>
  <c r="O30" i="241"/>
  <c r="O31" i="241"/>
  <c r="O32" i="241"/>
  <c r="O33" i="241"/>
  <c r="O15" i="241"/>
  <c r="O16" i="241"/>
  <c r="O17" i="241"/>
  <c r="O18" i="241"/>
  <c r="O19" i="241"/>
  <c r="O20" i="241"/>
  <c r="O21" i="241"/>
  <c r="O22" i="241"/>
  <c r="O23" i="241"/>
  <c r="O5" i="241"/>
  <c r="O6" i="241"/>
  <c r="O7" i="241"/>
  <c r="O8" i="241"/>
  <c r="O9" i="241"/>
  <c r="O10" i="241"/>
  <c r="O11" i="241"/>
  <c r="O12" i="241"/>
  <c r="O13" i="241"/>
  <c r="L44" i="241"/>
  <c r="L34" i="241"/>
  <c r="L24" i="241"/>
  <c r="L14" i="241"/>
  <c r="J44" i="241"/>
  <c r="J34" i="241"/>
  <c r="J24" i="241"/>
  <c r="J14" i="241"/>
  <c r="M35" i="241"/>
  <c r="M36" i="241"/>
  <c r="M37" i="241"/>
  <c r="M38" i="241"/>
  <c r="M39" i="241"/>
  <c r="M40" i="241"/>
  <c r="M41" i="241"/>
  <c r="M42" i="241"/>
  <c r="M43" i="241"/>
  <c r="M25" i="241"/>
  <c r="M26" i="241"/>
  <c r="M27" i="241"/>
  <c r="M28" i="241"/>
  <c r="M29" i="241"/>
  <c r="M30" i="241"/>
  <c r="M31" i="241"/>
  <c r="M32" i="241"/>
  <c r="M33" i="241"/>
  <c r="M15" i="241"/>
  <c r="M16" i="241"/>
  <c r="M17" i="241"/>
  <c r="M18" i="241"/>
  <c r="M19" i="241"/>
  <c r="M20" i="241"/>
  <c r="M21" i="241"/>
  <c r="M22" i="241"/>
  <c r="M23" i="241"/>
  <c r="M5" i="241"/>
  <c r="M6" i="241"/>
  <c r="M7" i="241"/>
  <c r="M8" i="241"/>
  <c r="M9" i="241"/>
  <c r="M10" i="241"/>
  <c r="M11" i="241"/>
  <c r="M12" i="241"/>
  <c r="M13" i="241"/>
  <c r="K35" i="241"/>
  <c r="K36" i="241"/>
  <c r="K37" i="241"/>
  <c r="K38" i="241"/>
  <c r="K39" i="241"/>
  <c r="K40" i="241"/>
  <c r="K41" i="241"/>
  <c r="K42" i="241"/>
  <c r="K43" i="241"/>
  <c r="K25" i="241"/>
  <c r="K26" i="241"/>
  <c r="K27" i="241"/>
  <c r="K28" i="241"/>
  <c r="K29" i="241"/>
  <c r="K30" i="241"/>
  <c r="K31" i="241"/>
  <c r="K32" i="241"/>
  <c r="K33" i="241"/>
  <c r="K15" i="241"/>
  <c r="K16" i="241"/>
  <c r="K17" i="241"/>
  <c r="K18" i="241"/>
  <c r="K19" i="241"/>
  <c r="K20" i="241"/>
  <c r="K21" i="241"/>
  <c r="K22" i="241"/>
  <c r="K23" i="241"/>
  <c r="K5" i="241"/>
  <c r="K6" i="241"/>
  <c r="K7" i="241"/>
  <c r="K8" i="241"/>
  <c r="K9" i="241"/>
  <c r="K10" i="241"/>
  <c r="K11" i="241"/>
  <c r="K12" i="241"/>
  <c r="K13" i="241"/>
  <c r="I35" i="241"/>
  <c r="F35" i="241" s="1"/>
  <c r="I36" i="241"/>
  <c r="F36" i="241" s="1"/>
  <c r="I37" i="241"/>
  <c r="F37" i="241" s="1"/>
  <c r="I38" i="241"/>
  <c r="F38" i="241" s="1"/>
  <c r="I39" i="241"/>
  <c r="F39" i="241" s="1"/>
  <c r="I40" i="241"/>
  <c r="F40" i="241" s="1"/>
  <c r="I41" i="241"/>
  <c r="F41" i="241" s="1"/>
  <c r="I42" i="241"/>
  <c r="I43" i="241"/>
  <c r="F43" i="241" s="1"/>
  <c r="I25" i="241"/>
  <c r="F25" i="241" s="1"/>
  <c r="I26" i="241"/>
  <c r="F26" i="241" s="1"/>
  <c r="I27" i="241"/>
  <c r="F27" i="241" s="1"/>
  <c r="I28" i="241"/>
  <c r="I29" i="241"/>
  <c r="F29" i="241" s="1"/>
  <c r="I30" i="241"/>
  <c r="F30" i="241" s="1"/>
  <c r="I31" i="241"/>
  <c r="F31" i="241" s="1"/>
  <c r="I32" i="241"/>
  <c r="F32" i="241" s="1"/>
  <c r="I33" i="241"/>
  <c r="F33" i="241" s="1"/>
  <c r="I15" i="241"/>
  <c r="F15" i="241" s="1"/>
  <c r="I16" i="241"/>
  <c r="F16" i="241" s="1"/>
  <c r="I17" i="241"/>
  <c r="F17" i="241" s="1"/>
  <c r="I18" i="241"/>
  <c r="F18" i="241" s="1"/>
  <c r="I19" i="241"/>
  <c r="I20" i="241"/>
  <c r="F20" i="241" s="1"/>
  <c r="I21" i="241"/>
  <c r="F21" i="241" s="1"/>
  <c r="I22" i="241"/>
  <c r="F22" i="241" s="1"/>
  <c r="I23" i="241"/>
  <c r="F23" i="241" s="1"/>
  <c r="I5" i="241"/>
  <c r="F5" i="241" s="1"/>
  <c r="I6" i="241"/>
  <c r="F6" i="241" s="1"/>
  <c r="I7" i="241"/>
  <c r="F7" i="241" s="1"/>
  <c r="I8" i="241"/>
  <c r="F8" i="241" s="1"/>
  <c r="I9" i="241"/>
  <c r="F9" i="241" s="1"/>
  <c r="I10" i="241"/>
  <c r="I11" i="241"/>
  <c r="F11" i="241" s="1"/>
  <c r="I12" i="241"/>
  <c r="F12" i="241" s="1"/>
  <c r="I13" i="241"/>
  <c r="F13" i="241" s="1"/>
  <c r="H44" i="241"/>
  <c r="H34" i="241"/>
  <c r="H24" i="241"/>
  <c r="H14" i="241"/>
  <c r="E44" i="241"/>
  <c r="G34" i="241"/>
  <c r="G24" i="241"/>
  <c r="G14" i="241"/>
  <c r="E34" i="241"/>
  <c r="E24" i="241"/>
  <c r="E14" i="241"/>
  <c r="G44" i="241"/>
  <c r="I29" i="230"/>
  <c r="F29" i="230" s="1"/>
  <c r="O50" i="86"/>
  <c r="O49" i="86"/>
  <c r="O48" i="86"/>
  <c r="O47" i="86"/>
  <c r="M50" i="86"/>
  <c r="K50" i="86"/>
  <c r="I50" i="86"/>
  <c r="F50" i="86" s="1"/>
  <c r="M49" i="86"/>
  <c r="K49" i="86"/>
  <c r="I49" i="86"/>
  <c r="F49" i="86" s="1"/>
  <c r="M48" i="86"/>
  <c r="K48" i="86"/>
  <c r="I48" i="86"/>
  <c r="F48" i="86" s="1"/>
  <c r="M47" i="86"/>
  <c r="K47" i="86"/>
  <c r="I47" i="86"/>
  <c r="F47" i="86" s="1"/>
  <c r="O57" i="86"/>
  <c r="O56" i="86"/>
  <c r="O55" i="86"/>
  <c r="O54" i="86"/>
  <c r="O53" i="86"/>
  <c r="O52" i="86"/>
  <c r="M57" i="86"/>
  <c r="K57" i="86"/>
  <c r="I57" i="86"/>
  <c r="F57" i="86" s="1"/>
  <c r="M56" i="86"/>
  <c r="K56" i="86"/>
  <c r="I56" i="86"/>
  <c r="F56" i="86" s="1"/>
  <c r="M55" i="86"/>
  <c r="K55" i="86"/>
  <c r="I55" i="86"/>
  <c r="F55" i="86" s="1"/>
  <c r="M54" i="86"/>
  <c r="I54" i="86"/>
  <c r="F54" i="86" s="1"/>
  <c r="M53" i="86"/>
  <c r="K53" i="86"/>
  <c r="I53" i="86"/>
  <c r="F53" i="86" s="1"/>
  <c r="M52" i="86"/>
  <c r="K52" i="86"/>
  <c r="I52" i="86"/>
  <c r="F52" i="86" s="1"/>
  <c r="O46" i="86"/>
  <c r="O45" i="86"/>
  <c r="M46" i="86"/>
  <c r="K46" i="86"/>
  <c r="I46" i="86"/>
  <c r="F46" i="86" s="1"/>
  <c r="M45" i="86"/>
  <c r="K45" i="86"/>
  <c r="I45" i="86"/>
  <c r="F45" i="86" s="1"/>
  <c r="O44" i="86"/>
  <c r="M44" i="86"/>
  <c r="K44" i="86"/>
  <c r="I44" i="86"/>
  <c r="F44" i="86" s="1"/>
  <c r="J59" i="86"/>
  <c r="J25" i="86"/>
  <c r="J35" i="86"/>
  <c r="J13" i="86"/>
  <c r="L59" i="86"/>
  <c r="L35" i="86"/>
  <c r="L25" i="86"/>
  <c r="L13" i="86"/>
  <c r="L50" i="228"/>
  <c r="L40" i="228"/>
  <c r="L30" i="228"/>
  <c r="L19" i="228"/>
  <c r="L27" i="225"/>
  <c r="L14" i="225"/>
  <c r="J48" i="225"/>
  <c r="J39" i="225"/>
  <c r="N39" i="225" s="1"/>
  <c r="J14" i="225"/>
  <c r="M35" i="240"/>
  <c r="M36" i="240"/>
  <c r="M37" i="240"/>
  <c r="M38" i="240"/>
  <c r="M39" i="240"/>
  <c r="M40" i="240"/>
  <c r="M41" i="240"/>
  <c r="M42" i="240"/>
  <c r="M43" i="240"/>
  <c r="M25" i="240"/>
  <c r="M26" i="240"/>
  <c r="M27" i="240"/>
  <c r="M28" i="240"/>
  <c r="M29" i="240"/>
  <c r="M30" i="240"/>
  <c r="M31" i="240"/>
  <c r="M32" i="240"/>
  <c r="M33" i="240"/>
  <c r="M15" i="240"/>
  <c r="M16" i="240"/>
  <c r="M17" i="240"/>
  <c r="M18" i="240"/>
  <c r="M19" i="240"/>
  <c r="M20" i="240"/>
  <c r="M21" i="240"/>
  <c r="M22" i="240"/>
  <c r="M23" i="240"/>
  <c r="M5" i="240"/>
  <c r="M6" i="240"/>
  <c r="M7" i="240"/>
  <c r="M8" i="240"/>
  <c r="M9" i="240"/>
  <c r="M10" i="240"/>
  <c r="M11" i="240"/>
  <c r="M12" i="240"/>
  <c r="M13" i="240"/>
  <c r="L35" i="23"/>
  <c r="K25" i="23"/>
  <c r="K26" i="23"/>
  <c r="K27" i="23"/>
  <c r="K28" i="23"/>
  <c r="K29" i="23"/>
  <c r="K30" i="23"/>
  <c r="K31" i="23"/>
  <c r="K32" i="23"/>
  <c r="K33" i="23"/>
  <c r="K34" i="23"/>
  <c r="J35" i="23"/>
  <c r="I25" i="23"/>
  <c r="F25" i="23" s="1"/>
  <c r="I26" i="23"/>
  <c r="F26" i="23" s="1"/>
  <c r="I27" i="23"/>
  <c r="F27" i="23" s="1"/>
  <c r="I28" i="23"/>
  <c r="F28" i="23" s="1"/>
  <c r="I29" i="23"/>
  <c r="F29" i="23" s="1"/>
  <c r="I30" i="23"/>
  <c r="F30" i="23" s="1"/>
  <c r="I31" i="23"/>
  <c r="F31" i="23" s="1"/>
  <c r="I32" i="23"/>
  <c r="F32" i="23" s="1"/>
  <c r="I33" i="23"/>
  <c r="F33" i="23" s="1"/>
  <c r="I34" i="23"/>
  <c r="F34" i="23" s="1"/>
  <c r="E35" i="23"/>
  <c r="H35" i="23"/>
  <c r="G35" i="23"/>
  <c r="O34" i="23"/>
  <c r="O25" i="23"/>
  <c r="O26" i="23"/>
  <c r="O27" i="23"/>
  <c r="O28" i="23"/>
  <c r="O29" i="23"/>
  <c r="O30" i="23"/>
  <c r="O31" i="23"/>
  <c r="O32" i="23"/>
  <c r="O33" i="23"/>
  <c r="O36" i="23"/>
  <c r="O37" i="23"/>
  <c r="O38" i="23"/>
  <c r="O39" i="23"/>
  <c r="O40" i="23"/>
  <c r="O41" i="23"/>
  <c r="O42" i="23"/>
  <c r="O43" i="23"/>
  <c r="O44" i="23"/>
  <c r="O15" i="23"/>
  <c r="O16" i="23"/>
  <c r="O17" i="23"/>
  <c r="O18" i="23"/>
  <c r="O19" i="23"/>
  <c r="O20" i="23"/>
  <c r="O21" i="23"/>
  <c r="O22" i="23"/>
  <c r="O23" i="23"/>
  <c r="O5" i="23"/>
  <c r="O6" i="23"/>
  <c r="O7" i="23"/>
  <c r="O8" i="23"/>
  <c r="O9" i="23"/>
  <c r="O10" i="23"/>
  <c r="O11" i="23"/>
  <c r="O12" i="23"/>
  <c r="O13" i="23"/>
  <c r="M34" i="23"/>
  <c r="M25" i="23"/>
  <c r="M26" i="23"/>
  <c r="M27" i="23"/>
  <c r="M28" i="23"/>
  <c r="M29" i="23"/>
  <c r="M30" i="23"/>
  <c r="M31" i="23"/>
  <c r="M32" i="23"/>
  <c r="M33" i="23"/>
  <c r="M36" i="23"/>
  <c r="M37" i="23"/>
  <c r="M38" i="23"/>
  <c r="M39" i="23"/>
  <c r="M40" i="23"/>
  <c r="M41" i="23"/>
  <c r="M42" i="23"/>
  <c r="M43" i="23"/>
  <c r="M44" i="23"/>
  <c r="M15" i="23"/>
  <c r="M16" i="23"/>
  <c r="M17" i="23"/>
  <c r="M18" i="23"/>
  <c r="M19" i="23"/>
  <c r="M20" i="23"/>
  <c r="M21" i="23"/>
  <c r="M22" i="23"/>
  <c r="M23" i="23"/>
  <c r="M5" i="23"/>
  <c r="M6" i="23"/>
  <c r="M7" i="23"/>
  <c r="M8" i="23"/>
  <c r="M9" i="23"/>
  <c r="M10" i="23"/>
  <c r="M11" i="23"/>
  <c r="M12" i="23"/>
  <c r="M13" i="23"/>
  <c r="L44" i="240"/>
  <c r="J44" i="240"/>
  <c r="H44" i="240"/>
  <c r="G44" i="240"/>
  <c r="E44" i="240"/>
  <c r="O43" i="240"/>
  <c r="K43" i="240"/>
  <c r="I43" i="240"/>
  <c r="F43" i="240" s="1"/>
  <c r="O42" i="240"/>
  <c r="K42" i="240"/>
  <c r="I42" i="240"/>
  <c r="F42" i="240" s="1"/>
  <c r="O41" i="240"/>
  <c r="K41" i="240"/>
  <c r="I41" i="240"/>
  <c r="F41" i="240" s="1"/>
  <c r="O40" i="240"/>
  <c r="K40" i="240"/>
  <c r="I40" i="240"/>
  <c r="F40" i="240" s="1"/>
  <c r="O39" i="240"/>
  <c r="K39" i="240"/>
  <c r="I39" i="240"/>
  <c r="F39" i="240" s="1"/>
  <c r="O38" i="240"/>
  <c r="K38" i="240"/>
  <c r="I38" i="240"/>
  <c r="F38" i="240" s="1"/>
  <c r="O37" i="240"/>
  <c r="K37" i="240"/>
  <c r="I37" i="240"/>
  <c r="O36" i="240"/>
  <c r="K36" i="240"/>
  <c r="I36" i="240"/>
  <c r="F36" i="240" s="1"/>
  <c r="O35" i="240"/>
  <c r="K35" i="240"/>
  <c r="I35" i="240"/>
  <c r="F35" i="240" s="1"/>
  <c r="L34" i="240"/>
  <c r="J34" i="240"/>
  <c r="H34" i="240"/>
  <c r="G34" i="240"/>
  <c r="E34" i="240"/>
  <c r="O33" i="240"/>
  <c r="K33" i="240"/>
  <c r="I33" i="240"/>
  <c r="F33" i="240" s="1"/>
  <c r="O32" i="240"/>
  <c r="K32" i="240"/>
  <c r="I32" i="240"/>
  <c r="O31" i="240"/>
  <c r="K31" i="240"/>
  <c r="I31" i="240"/>
  <c r="F31" i="240" s="1"/>
  <c r="O30" i="240"/>
  <c r="K30" i="240"/>
  <c r="I30" i="240"/>
  <c r="F30" i="240" s="1"/>
  <c r="O29" i="240"/>
  <c r="K29" i="240"/>
  <c r="I29" i="240"/>
  <c r="F29" i="240" s="1"/>
  <c r="O28" i="240"/>
  <c r="K28" i="240"/>
  <c r="I28" i="240"/>
  <c r="F28" i="240" s="1"/>
  <c r="O27" i="240"/>
  <c r="K27" i="240"/>
  <c r="I27" i="240"/>
  <c r="F27" i="240" s="1"/>
  <c r="O26" i="240"/>
  <c r="K26" i="240"/>
  <c r="I26" i="240"/>
  <c r="F26" i="240" s="1"/>
  <c r="O25" i="240"/>
  <c r="K25" i="240"/>
  <c r="I25" i="240"/>
  <c r="F25" i="240" s="1"/>
  <c r="L24" i="240"/>
  <c r="J24" i="240"/>
  <c r="H24" i="240"/>
  <c r="G24" i="240"/>
  <c r="E24" i="240"/>
  <c r="O23" i="240"/>
  <c r="K23" i="240"/>
  <c r="I23" i="240"/>
  <c r="F23" i="240" s="1"/>
  <c r="O22" i="240"/>
  <c r="K22" i="240"/>
  <c r="I22" i="240"/>
  <c r="F22" i="240" s="1"/>
  <c r="O21" i="240"/>
  <c r="K21" i="240"/>
  <c r="I21" i="240"/>
  <c r="F21" i="240" s="1"/>
  <c r="O20" i="240"/>
  <c r="K20" i="240"/>
  <c r="I20" i="240"/>
  <c r="O19" i="240"/>
  <c r="K19" i="240"/>
  <c r="I19" i="240"/>
  <c r="F19" i="240" s="1"/>
  <c r="O18" i="240"/>
  <c r="K18" i="240"/>
  <c r="I18" i="240"/>
  <c r="F18" i="240" s="1"/>
  <c r="O17" i="240"/>
  <c r="K17" i="240"/>
  <c r="I17" i="240"/>
  <c r="F17" i="240" s="1"/>
  <c r="O16" i="240"/>
  <c r="K16" i="240"/>
  <c r="I16" i="240"/>
  <c r="F16" i="240" s="1"/>
  <c r="O15" i="240"/>
  <c r="K15" i="240"/>
  <c r="I15" i="240"/>
  <c r="F15" i="240" s="1"/>
  <c r="L14" i="240"/>
  <c r="J14" i="240"/>
  <c r="H14" i="240"/>
  <c r="G14" i="240"/>
  <c r="E14" i="240"/>
  <c r="O13" i="240"/>
  <c r="K13" i="240"/>
  <c r="I13" i="240"/>
  <c r="F13" i="240" s="1"/>
  <c r="O12" i="240"/>
  <c r="K12" i="240"/>
  <c r="I12" i="240"/>
  <c r="F12" i="240" s="1"/>
  <c r="O11" i="240"/>
  <c r="K11" i="240"/>
  <c r="I11" i="240"/>
  <c r="F11" i="240" s="1"/>
  <c r="O10" i="240"/>
  <c r="K10" i="240"/>
  <c r="I10" i="240"/>
  <c r="O9" i="240"/>
  <c r="K9" i="240"/>
  <c r="I9" i="240"/>
  <c r="F9" i="240" s="1"/>
  <c r="O8" i="240"/>
  <c r="K8" i="240"/>
  <c r="I8" i="240"/>
  <c r="F8" i="240" s="1"/>
  <c r="O7" i="240"/>
  <c r="K7" i="240"/>
  <c r="I7" i="240"/>
  <c r="F7" i="240" s="1"/>
  <c r="O6" i="240"/>
  <c r="K6" i="240"/>
  <c r="I6" i="240"/>
  <c r="F6" i="240" s="1"/>
  <c r="O5" i="240"/>
  <c r="K5" i="240"/>
  <c r="I5" i="240"/>
  <c r="F5" i="240" s="1"/>
  <c r="O35" i="239"/>
  <c r="O36" i="239"/>
  <c r="O37" i="239"/>
  <c r="O38" i="239"/>
  <c r="O39" i="239"/>
  <c r="O40" i="239"/>
  <c r="O41" i="239"/>
  <c r="O42" i="239"/>
  <c r="O43" i="239"/>
  <c r="O25" i="239"/>
  <c r="O26" i="239"/>
  <c r="O27" i="239"/>
  <c r="O28" i="239"/>
  <c r="O29" i="239"/>
  <c r="O30" i="239"/>
  <c r="O31" i="239"/>
  <c r="O32" i="239"/>
  <c r="O33" i="239"/>
  <c r="O15" i="239"/>
  <c r="O16" i="239"/>
  <c r="O17" i="239"/>
  <c r="O18" i="239"/>
  <c r="O19" i="239"/>
  <c r="O20" i="239"/>
  <c r="O21" i="239"/>
  <c r="O22" i="239"/>
  <c r="O23" i="239"/>
  <c r="O5" i="239"/>
  <c r="O6" i="239"/>
  <c r="O7" i="239"/>
  <c r="O8" i="239"/>
  <c r="O9" i="239"/>
  <c r="O10" i="239"/>
  <c r="O11" i="239"/>
  <c r="O12" i="239"/>
  <c r="O13" i="239"/>
  <c r="L44" i="239"/>
  <c r="L34" i="239"/>
  <c r="J34" i="239"/>
  <c r="L24" i="239"/>
  <c r="L14" i="239"/>
  <c r="J44" i="239"/>
  <c r="J24" i="239"/>
  <c r="J14" i="239"/>
  <c r="M35" i="239"/>
  <c r="M36" i="239"/>
  <c r="M37" i="239"/>
  <c r="M38" i="239"/>
  <c r="M39" i="239"/>
  <c r="M40" i="239"/>
  <c r="M41" i="239"/>
  <c r="M42" i="239"/>
  <c r="M43" i="239"/>
  <c r="M25" i="239"/>
  <c r="M26" i="239"/>
  <c r="M27" i="239"/>
  <c r="M28" i="239"/>
  <c r="M29" i="239"/>
  <c r="M30" i="239"/>
  <c r="M31" i="239"/>
  <c r="M32" i="239"/>
  <c r="M33" i="239"/>
  <c r="M15" i="239"/>
  <c r="M16" i="239"/>
  <c r="M17" i="239"/>
  <c r="M18" i="239"/>
  <c r="M19" i="239"/>
  <c r="M20" i="239"/>
  <c r="M21" i="239"/>
  <c r="M22" i="239"/>
  <c r="M23" i="239"/>
  <c r="M5" i="239"/>
  <c r="M6" i="239"/>
  <c r="M7" i="239"/>
  <c r="M8" i="239"/>
  <c r="M9" i="239"/>
  <c r="M10" i="239"/>
  <c r="M11" i="239"/>
  <c r="M12" i="239"/>
  <c r="M13" i="239"/>
  <c r="K35" i="239"/>
  <c r="K36" i="239"/>
  <c r="K37" i="239"/>
  <c r="K38" i="239"/>
  <c r="K39" i="239"/>
  <c r="K40" i="239"/>
  <c r="K41" i="239"/>
  <c r="K42" i="239"/>
  <c r="K43" i="239"/>
  <c r="K25" i="239"/>
  <c r="K26" i="239"/>
  <c r="K27" i="239"/>
  <c r="K28" i="239"/>
  <c r="K29" i="239"/>
  <c r="K30" i="239"/>
  <c r="K31" i="239"/>
  <c r="K32" i="239"/>
  <c r="K33" i="239"/>
  <c r="K15" i="239"/>
  <c r="K16" i="239"/>
  <c r="K17" i="239"/>
  <c r="K18" i="239"/>
  <c r="K19" i="239"/>
  <c r="K20" i="239"/>
  <c r="K21" i="239"/>
  <c r="K22" i="239"/>
  <c r="K23" i="239"/>
  <c r="K5" i="239"/>
  <c r="K6" i="239"/>
  <c r="K7" i="239"/>
  <c r="K8" i="239"/>
  <c r="K9" i="239"/>
  <c r="K10" i="239"/>
  <c r="K11" i="239"/>
  <c r="K12" i="239"/>
  <c r="K13" i="239"/>
  <c r="I35" i="239"/>
  <c r="F35" i="239" s="1"/>
  <c r="I36" i="239"/>
  <c r="F36" i="239" s="1"/>
  <c r="I37" i="239"/>
  <c r="F37" i="239" s="1"/>
  <c r="I38" i="239"/>
  <c r="F38" i="239" s="1"/>
  <c r="I39" i="239"/>
  <c r="F39" i="239" s="1"/>
  <c r="I40" i="239"/>
  <c r="F40" i="239" s="1"/>
  <c r="I41" i="239"/>
  <c r="F41" i="239" s="1"/>
  <c r="I42" i="239"/>
  <c r="F42" i="239" s="1"/>
  <c r="I43" i="239"/>
  <c r="F43" i="239" s="1"/>
  <c r="I25" i="239"/>
  <c r="F25" i="239" s="1"/>
  <c r="I26" i="239"/>
  <c r="F26" i="239" s="1"/>
  <c r="I27" i="239"/>
  <c r="F27" i="239" s="1"/>
  <c r="I28" i="239"/>
  <c r="F28" i="239" s="1"/>
  <c r="I29" i="239"/>
  <c r="I30" i="239"/>
  <c r="F30" i="239" s="1"/>
  <c r="I31" i="239"/>
  <c r="F31" i="239" s="1"/>
  <c r="I32" i="239"/>
  <c r="F32" i="239" s="1"/>
  <c r="I33" i="239"/>
  <c r="F33" i="239" s="1"/>
  <c r="E34" i="239"/>
  <c r="I15" i="239"/>
  <c r="F15" i="239" s="1"/>
  <c r="I16" i="239"/>
  <c r="F16" i="239" s="1"/>
  <c r="I17" i="239"/>
  <c r="I18" i="239"/>
  <c r="F18" i="239" s="1"/>
  <c r="I19" i="239"/>
  <c r="F19" i="239" s="1"/>
  <c r="I20" i="239"/>
  <c r="F20" i="239" s="1"/>
  <c r="I21" i="239"/>
  <c r="F21" i="239" s="1"/>
  <c r="I22" i="239"/>
  <c r="F22" i="239" s="1"/>
  <c r="I23" i="239"/>
  <c r="F23" i="239" s="1"/>
  <c r="I5" i="239"/>
  <c r="F5" i="239" s="1"/>
  <c r="I6" i="239"/>
  <c r="F6" i="239" s="1"/>
  <c r="I7" i="239"/>
  <c r="F7" i="239" s="1"/>
  <c r="I8" i="239"/>
  <c r="F8" i="239" s="1"/>
  <c r="I9" i="239"/>
  <c r="F9" i="239" s="1"/>
  <c r="I10" i="239"/>
  <c r="F10" i="239" s="1"/>
  <c r="I11" i="239"/>
  <c r="F11" i="239" s="1"/>
  <c r="I12" i="239"/>
  <c r="F12" i="239" s="1"/>
  <c r="I13" i="239"/>
  <c r="F13" i="239" s="1"/>
  <c r="H44" i="239"/>
  <c r="H34" i="239"/>
  <c r="H24" i="239"/>
  <c r="H14" i="239"/>
  <c r="E44" i="239"/>
  <c r="G34" i="239"/>
  <c r="G24" i="239"/>
  <c r="G14" i="239"/>
  <c r="E24" i="239"/>
  <c r="E14" i="239"/>
  <c r="G44" i="239"/>
  <c r="O29" i="228"/>
  <c r="M29" i="228"/>
  <c r="K29" i="228"/>
  <c r="I29" i="228"/>
  <c r="F29" i="228" s="1"/>
  <c r="O37" i="238"/>
  <c r="O38" i="238"/>
  <c r="O39" i="238"/>
  <c r="O40" i="238"/>
  <c r="O41" i="238"/>
  <c r="O42" i="238"/>
  <c r="O43" i="238"/>
  <c r="O44" i="238"/>
  <c r="O45" i="238"/>
  <c r="O27" i="238"/>
  <c r="O28" i="238"/>
  <c r="O29" i="238"/>
  <c r="O30" i="238"/>
  <c r="O31" i="238"/>
  <c r="O32" i="238"/>
  <c r="O33" i="238"/>
  <c r="O34" i="238"/>
  <c r="O35" i="238"/>
  <c r="O15" i="238"/>
  <c r="O16" i="238"/>
  <c r="O17" i="238"/>
  <c r="O18" i="238"/>
  <c r="O19" i="238"/>
  <c r="O20" i="238"/>
  <c r="O21" i="238"/>
  <c r="O22" i="238"/>
  <c r="O23" i="238"/>
  <c r="O5" i="238"/>
  <c r="O6" i="238"/>
  <c r="O7" i="238"/>
  <c r="O8" i="238"/>
  <c r="O9" i="238"/>
  <c r="O10" i="238"/>
  <c r="O11" i="238"/>
  <c r="O12" i="238"/>
  <c r="O13" i="238"/>
  <c r="L36" i="238"/>
  <c r="L14" i="238"/>
  <c r="J26" i="238"/>
  <c r="J14" i="238"/>
  <c r="M37" i="238"/>
  <c r="M38" i="238"/>
  <c r="M39" i="238"/>
  <c r="M40" i="238"/>
  <c r="M41" i="238"/>
  <c r="M42" i="238"/>
  <c r="M43" i="238"/>
  <c r="M44" i="238"/>
  <c r="M45" i="238"/>
  <c r="M28" i="238"/>
  <c r="M30" i="238"/>
  <c r="M31" i="238"/>
  <c r="M32" i="238"/>
  <c r="M33" i="238"/>
  <c r="M34" i="238"/>
  <c r="M35" i="238"/>
  <c r="M15" i="238"/>
  <c r="M16" i="238"/>
  <c r="M17" i="238"/>
  <c r="M18" i="238"/>
  <c r="M19" i="238"/>
  <c r="M20" i="238"/>
  <c r="M21" i="238"/>
  <c r="M22" i="238"/>
  <c r="M23" i="238"/>
  <c r="M5" i="238"/>
  <c r="M6" i="238"/>
  <c r="M7" i="238"/>
  <c r="M8" i="238"/>
  <c r="M9" i="238"/>
  <c r="M10" i="238"/>
  <c r="M11" i="238"/>
  <c r="M12" i="238"/>
  <c r="M13" i="238"/>
  <c r="K37" i="238"/>
  <c r="K38" i="238"/>
  <c r="K39" i="238"/>
  <c r="K40" i="238"/>
  <c r="K41" i="238"/>
  <c r="K42" i="238"/>
  <c r="K43" i="238"/>
  <c r="K44" i="238"/>
  <c r="K45" i="238"/>
  <c r="K28" i="238"/>
  <c r="K29" i="238"/>
  <c r="K30" i="238"/>
  <c r="K31" i="238"/>
  <c r="K32" i="238"/>
  <c r="K33" i="238"/>
  <c r="K34" i="238"/>
  <c r="K35" i="238"/>
  <c r="K15" i="238"/>
  <c r="K16" i="238"/>
  <c r="K17" i="238"/>
  <c r="K18" i="238"/>
  <c r="K19" i="238"/>
  <c r="K20" i="238"/>
  <c r="K21" i="238"/>
  <c r="K22" i="238"/>
  <c r="K5" i="238"/>
  <c r="K6" i="238"/>
  <c r="K7" i="238"/>
  <c r="K8" i="238"/>
  <c r="K9" i="238"/>
  <c r="K10" i="238"/>
  <c r="K11" i="238"/>
  <c r="K12" i="238"/>
  <c r="K13" i="238"/>
  <c r="I37" i="238"/>
  <c r="I38" i="238"/>
  <c r="F38" i="238" s="1"/>
  <c r="I39" i="238"/>
  <c r="F39" i="238" s="1"/>
  <c r="I40" i="238"/>
  <c r="F40" i="238" s="1"/>
  <c r="I41" i="238"/>
  <c r="F41" i="238" s="1"/>
  <c r="I42" i="238"/>
  <c r="F42" i="238" s="1"/>
  <c r="I43" i="238"/>
  <c r="F43" i="238" s="1"/>
  <c r="I44" i="238"/>
  <c r="F44" i="238" s="1"/>
  <c r="I45" i="238"/>
  <c r="F45" i="238" s="1"/>
  <c r="I27" i="238"/>
  <c r="I28" i="238"/>
  <c r="F28" i="238" s="1"/>
  <c r="I29" i="238"/>
  <c r="F29" i="238" s="1"/>
  <c r="I30" i="238"/>
  <c r="F30" i="238" s="1"/>
  <c r="I31" i="238"/>
  <c r="F31" i="238" s="1"/>
  <c r="I32" i="238"/>
  <c r="F32" i="238" s="1"/>
  <c r="I33" i="238"/>
  <c r="I34" i="238"/>
  <c r="F34" i="238" s="1"/>
  <c r="I35" i="238"/>
  <c r="F35" i="238" s="1"/>
  <c r="E36" i="238"/>
  <c r="I15" i="238"/>
  <c r="F15" i="238" s="1"/>
  <c r="I16" i="238"/>
  <c r="F16" i="238" s="1"/>
  <c r="I17" i="238"/>
  <c r="F17" i="238" s="1"/>
  <c r="I18" i="238"/>
  <c r="F18" i="238" s="1"/>
  <c r="I19" i="238"/>
  <c r="F19" i="238" s="1"/>
  <c r="I20" i="238"/>
  <c r="F20" i="238" s="1"/>
  <c r="I21" i="238"/>
  <c r="F21" i="238" s="1"/>
  <c r="I22" i="238"/>
  <c r="F22" i="238" s="1"/>
  <c r="I23" i="238"/>
  <c r="F23" i="238" s="1"/>
  <c r="I5" i="238"/>
  <c r="F5" i="238" s="1"/>
  <c r="I6" i="238"/>
  <c r="F6" i="238" s="1"/>
  <c r="I7" i="238"/>
  <c r="F7" i="238" s="1"/>
  <c r="I8" i="238"/>
  <c r="F8" i="238" s="1"/>
  <c r="I9" i="238"/>
  <c r="F9" i="238" s="1"/>
  <c r="I10" i="238"/>
  <c r="F10" i="238" s="1"/>
  <c r="I11" i="238"/>
  <c r="I12" i="238"/>
  <c r="F12" i="238" s="1"/>
  <c r="I13" i="238"/>
  <c r="F13" i="238" s="1"/>
  <c r="H46" i="238"/>
  <c r="H36" i="238"/>
  <c r="H26" i="238"/>
  <c r="H14" i="238"/>
  <c r="E46" i="238"/>
  <c r="G36" i="238"/>
  <c r="G26" i="238"/>
  <c r="G14" i="238"/>
  <c r="E26" i="238"/>
  <c r="E14" i="238"/>
  <c r="G46" i="238"/>
  <c r="P9" i="219"/>
  <c r="N9" i="219"/>
  <c r="L9" i="219"/>
  <c r="I9" i="219"/>
  <c r="F9" i="219" s="1"/>
  <c r="P8" i="219"/>
  <c r="N8" i="219"/>
  <c r="L8" i="219"/>
  <c r="I8" i="219"/>
  <c r="F8" i="219" s="1"/>
  <c r="P20" i="219"/>
  <c r="N20" i="219"/>
  <c r="L20" i="219"/>
  <c r="I20" i="219"/>
  <c r="F20" i="219" s="1"/>
  <c r="P19" i="219"/>
  <c r="N19" i="219"/>
  <c r="L19" i="219"/>
  <c r="I19" i="219"/>
  <c r="F19" i="219" s="1"/>
  <c r="N18" i="219"/>
  <c r="L18" i="219"/>
  <c r="I18" i="219"/>
  <c r="F18" i="219" s="1"/>
  <c r="P17" i="219"/>
  <c r="N17" i="219"/>
  <c r="L17" i="219"/>
  <c r="I17" i="219"/>
  <c r="F17" i="219" s="1"/>
  <c r="P16" i="219"/>
  <c r="N16" i="219"/>
  <c r="L16" i="219"/>
  <c r="I97" i="219"/>
  <c r="F97" i="219" s="1"/>
  <c r="I96" i="219"/>
  <c r="F96" i="219" s="1"/>
  <c r="I95" i="219"/>
  <c r="F95" i="219" s="1"/>
  <c r="I94" i="219"/>
  <c r="F94" i="219" s="1"/>
  <c r="I93" i="219"/>
  <c r="F93" i="219" s="1"/>
  <c r="I92" i="219"/>
  <c r="F92" i="219" s="1"/>
  <c r="I91" i="219"/>
  <c r="F91" i="219" s="1"/>
  <c r="I90" i="219"/>
  <c r="F90" i="219" s="1"/>
  <c r="I89" i="219"/>
  <c r="F89" i="219" s="1"/>
  <c r="I88" i="219"/>
  <c r="F88" i="219" s="1"/>
  <c r="I87" i="219"/>
  <c r="F87" i="219" s="1"/>
  <c r="I85" i="219"/>
  <c r="F85" i="219" s="1"/>
  <c r="I84" i="219"/>
  <c r="F84" i="219" s="1"/>
  <c r="I82" i="219"/>
  <c r="F82" i="219" s="1"/>
  <c r="I80" i="219"/>
  <c r="F80" i="219" s="1"/>
  <c r="I79" i="219"/>
  <c r="F79" i="219" s="1"/>
  <c r="I78" i="219"/>
  <c r="I77" i="219"/>
  <c r="F77" i="219" s="1"/>
  <c r="I76" i="219"/>
  <c r="F76" i="219" s="1"/>
  <c r="P11" i="219"/>
  <c r="N11" i="219"/>
  <c r="L11" i="219"/>
  <c r="I11" i="219"/>
  <c r="F11" i="219" s="1"/>
  <c r="P10" i="219"/>
  <c r="N10" i="219"/>
  <c r="L10" i="219"/>
  <c r="I10" i="219"/>
  <c r="F10" i="219" s="1"/>
  <c r="P7" i="219"/>
  <c r="N7" i="219"/>
  <c r="L7" i="219"/>
  <c r="I7" i="219"/>
  <c r="F7" i="219" s="1"/>
  <c r="P6" i="219"/>
  <c r="N6" i="219"/>
  <c r="L6" i="219"/>
  <c r="I6" i="219"/>
  <c r="F6" i="219" s="1"/>
  <c r="I51" i="219"/>
  <c r="F51" i="219" s="1"/>
  <c r="I50" i="219"/>
  <c r="F50" i="219" s="1"/>
  <c r="I49" i="219"/>
  <c r="F49" i="219" s="1"/>
  <c r="I48" i="219"/>
  <c r="F48" i="219" s="1"/>
  <c r="I47" i="219"/>
  <c r="F47" i="219" s="1"/>
  <c r="I41" i="219"/>
  <c r="F41" i="219" s="1"/>
  <c r="I39" i="219"/>
  <c r="F39" i="219" s="1"/>
  <c r="I38" i="219"/>
  <c r="I31" i="219"/>
  <c r="F31" i="219" s="1"/>
  <c r="I30" i="219"/>
  <c r="F30" i="219" s="1"/>
  <c r="L44" i="237"/>
  <c r="J44" i="237"/>
  <c r="H44" i="237"/>
  <c r="G44" i="237"/>
  <c r="E44" i="237"/>
  <c r="O43" i="237"/>
  <c r="M43" i="237"/>
  <c r="K43" i="237"/>
  <c r="I43" i="237"/>
  <c r="F43" i="237" s="1"/>
  <c r="O42" i="237"/>
  <c r="M42" i="237"/>
  <c r="K42" i="237"/>
  <c r="I42" i="237"/>
  <c r="F42" i="237" s="1"/>
  <c r="O41" i="237"/>
  <c r="M41" i="237"/>
  <c r="K41" i="237"/>
  <c r="I41" i="237"/>
  <c r="F41" i="237" s="1"/>
  <c r="O40" i="237"/>
  <c r="M40" i="237"/>
  <c r="K40" i="237"/>
  <c r="I40" i="237"/>
  <c r="O39" i="237"/>
  <c r="M39" i="237"/>
  <c r="K39" i="237"/>
  <c r="I39" i="237"/>
  <c r="F39" i="237" s="1"/>
  <c r="O38" i="237"/>
  <c r="M38" i="237"/>
  <c r="K38" i="237"/>
  <c r="I38" i="237"/>
  <c r="F38" i="237" s="1"/>
  <c r="O37" i="237"/>
  <c r="M37" i="237"/>
  <c r="K37" i="237"/>
  <c r="I37" i="237"/>
  <c r="F37" i="237" s="1"/>
  <c r="O36" i="237"/>
  <c r="M36" i="237"/>
  <c r="M35" i="237"/>
  <c r="K36" i="237"/>
  <c r="I36" i="237"/>
  <c r="F36" i="237" s="1"/>
  <c r="O35" i="237"/>
  <c r="K35" i="237"/>
  <c r="I35" i="237"/>
  <c r="F35" i="237" s="1"/>
  <c r="L34" i="237"/>
  <c r="J34" i="237"/>
  <c r="H34" i="237"/>
  <c r="G34" i="237"/>
  <c r="E34" i="237"/>
  <c r="O33" i="237"/>
  <c r="M33" i="237"/>
  <c r="K33" i="237"/>
  <c r="I33" i="237"/>
  <c r="F33" i="237" s="1"/>
  <c r="O32" i="237"/>
  <c r="M32" i="237"/>
  <c r="K32" i="237"/>
  <c r="I32" i="237"/>
  <c r="F32" i="237" s="1"/>
  <c r="O31" i="237"/>
  <c r="M31" i="237"/>
  <c r="K31" i="237"/>
  <c r="I31" i="237"/>
  <c r="F31" i="237" s="1"/>
  <c r="O30" i="237"/>
  <c r="M30" i="237"/>
  <c r="K30" i="237"/>
  <c r="I30" i="237"/>
  <c r="F30" i="237" s="1"/>
  <c r="O29" i="237"/>
  <c r="M29" i="237"/>
  <c r="K29" i="237"/>
  <c r="I29" i="237"/>
  <c r="F29" i="237" s="1"/>
  <c r="O28" i="237"/>
  <c r="M28" i="237"/>
  <c r="K28" i="237"/>
  <c r="I28" i="237"/>
  <c r="F28" i="237" s="1"/>
  <c r="O27" i="237"/>
  <c r="M27" i="237"/>
  <c r="K27" i="237"/>
  <c r="I27" i="237"/>
  <c r="F27" i="237" s="1"/>
  <c r="O26" i="237"/>
  <c r="M26" i="237"/>
  <c r="K26" i="237"/>
  <c r="I26" i="237"/>
  <c r="F26" i="237" s="1"/>
  <c r="O25" i="237"/>
  <c r="M25" i="237"/>
  <c r="K25" i="237"/>
  <c r="I25" i="237"/>
  <c r="F25" i="237" s="1"/>
  <c r="L24" i="237"/>
  <c r="J24" i="237"/>
  <c r="H24" i="237"/>
  <c r="G24" i="237"/>
  <c r="E24" i="237"/>
  <c r="O23" i="237"/>
  <c r="M23" i="237"/>
  <c r="K23" i="237"/>
  <c r="I23" i="237"/>
  <c r="F23" i="237" s="1"/>
  <c r="O22" i="237"/>
  <c r="M22" i="237"/>
  <c r="K22" i="237"/>
  <c r="I22" i="237"/>
  <c r="F22" i="237" s="1"/>
  <c r="O21" i="237"/>
  <c r="M21" i="237"/>
  <c r="K21" i="237"/>
  <c r="I21" i="237"/>
  <c r="F21" i="237" s="1"/>
  <c r="O20" i="237"/>
  <c r="M20" i="237"/>
  <c r="K20" i="237"/>
  <c r="I20" i="237"/>
  <c r="F20" i="237" s="1"/>
  <c r="O19" i="237"/>
  <c r="M19" i="237"/>
  <c r="K19" i="237"/>
  <c r="I19" i="237"/>
  <c r="F19" i="237" s="1"/>
  <c r="O18" i="237"/>
  <c r="O15" i="237"/>
  <c r="O16" i="237"/>
  <c r="O17" i="237"/>
  <c r="M18" i="237"/>
  <c r="K18" i="237"/>
  <c r="I18" i="237"/>
  <c r="F18" i="237" s="1"/>
  <c r="M17" i="237"/>
  <c r="K17" i="237"/>
  <c r="I17" i="237"/>
  <c r="F17" i="237" s="1"/>
  <c r="M16" i="237"/>
  <c r="K16" i="237"/>
  <c r="I16" i="237"/>
  <c r="F16" i="237" s="1"/>
  <c r="M15" i="237"/>
  <c r="K15" i="237"/>
  <c r="I15" i="237"/>
  <c r="F15" i="237" s="1"/>
  <c r="L14" i="237"/>
  <c r="J14" i="237"/>
  <c r="H14" i="237"/>
  <c r="G14" i="237"/>
  <c r="E14" i="237"/>
  <c r="O13" i="237"/>
  <c r="M13" i="237"/>
  <c r="K13" i="237"/>
  <c r="I13" i="237"/>
  <c r="F13" i="237" s="1"/>
  <c r="O12" i="237"/>
  <c r="M12" i="237"/>
  <c r="K12" i="237"/>
  <c r="I12" i="237"/>
  <c r="F12" i="237" s="1"/>
  <c r="O11" i="237"/>
  <c r="M11" i="237"/>
  <c r="K11" i="237"/>
  <c r="I11" i="237"/>
  <c r="F11" i="237" s="1"/>
  <c r="O10" i="237"/>
  <c r="M10" i="237"/>
  <c r="K10" i="237"/>
  <c r="I10" i="237"/>
  <c r="F10" i="237" s="1"/>
  <c r="O9" i="237"/>
  <c r="M9" i="237"/>
  <c r="K9" i="237"/>
  <c r="I9" i="237"/>
  <c r="F9" i="237" s="1"/>
  <c r="O8" i="237"/>
  <c r="M8" i="237"/>
  <c r="K8" i="237"/>
  <c r="I8" i="237"/>
  <c r="F8" i="237" s="1"/>
  <c r="O7" i="237"/>
  <c r="M7" i="237"/>
  <c r="K7" i="237"/>
  <c r="I7" i="237"/>
  <c r="F7" i="237" s="1"/>
  <c r="O6" i="237"/>
  <c r="O5" i="237"/>
  <c r="M6" i="237"/>
  <c r="K6" i="237"/>
  <c r="I6" i="237"/>
  <c r="M5" i="237"/>
  <c r="K5" i="237"/>
  <c r="I5" i="237"/>
  <c r="F5" i="237" s="1"/>
  <c r="L44" i="236"/>
  <c r="J44" i="236"/>
  <c r="H44" i="236"/>
  <c r="G44" i="236"/>
  <c r="E44" i="236"/>
  <c r="O43" i="236"/>
  <c r="M43" i="236"/>
  <c r="K43" i="236"/>
  <c r="I43" i="236"/>
  <c r="F43" i="236" s="1"/>
  <c r="O42" i="236"/>
  <c r="M42" i="236"/>
  <c r="K42" i="236"/>
  <c r="I42" i="236"/>
  <c r="F42" i="236" s="1"/>
  <c r="O41" i="236"/>
  <c r="M41" i="236"/>
  <c r="K41" i="236"/>
  <c r="I41" i="236"/>
  <c r="F41" i="236" s="1"/>
  <c r="O40" i="236"/>
  <c r="M40" i="236"/>
  <c r="K40" i="236"/>
  <c r="I40" i="236"/>
  <c r="F40" i="236" s="1"/>
  <c r="O39" i="236"/>
  <c r="M39" i="236"/>
  <c r="K39" i="236"/>
  <c r="I39" i="236"/>
  <c r="F39" i="236" s="1"/>
  <c r="O38" i="236"/>
  <c r="M38" i="236"/>
  <c r="K38" i="236"/>
  <c r="I38" i="236"/>
  <c r="O37" i="236"/>
  <c r="M37" i="236"/>
  <c r="M35" i="236"/>
  <c r="M36" i="236"/>
  <c r="K37" i="236"/>
  <c r="I37" i="236"/>
  <c r="F37" i="236" s="1"/>
  <c r="O36" i="236"/>
  <c r="K36" i="236"/>
  <c r="I36" i="236"/>
  <c r="F36" i="236" s="1"/>
  <c r="O35" i="236"/>
  <c r="K35" i="236"/>
  <c r="I35" i="236"/>
  <c r="F35" i="236" s="1"/>
  <c r="L34" i="236"/>
  <c r="J34" i="236"/>
  <c r="L24" i="236"/>
  <c r="L14" i="236"/>
  <c r="H34" i="236"/>
  <c r="G34" i="236"/>
  <c r="E34" i="236"/>
  <c r="O33" i="236"/>
  <c r="M33" i="236"/>
  <c r="K33" i="236"/>
  <c r="I33" i="236"/>
  <c r="F33" i="236" s="1"/>
  <c r="O32" i="236"/>
  <c r="M32" i="236"/>
  <c r="K32" i="236"/>
  <c r="I32" i="236"/>
  <c r="F32" i="236" s="1"/>
  <c r="O31" i="236"/>
  <c r="M31" i="236"/>
  <c r="K31" i="236"/>
  <c r="I31" i="236"/>
  <c r="F31" i="236" s="1"/>
  <c r="O30" i="236"/>
  <c r="M30" i="236"/>
  <c r="K30" i="236"/>
  <c r="I30" i="236"/>
  <c r="F30" i="236" s="1"/>
  <c r="O29" i="236"/>
  <c r="M29" i="236"/>
  <c r="K29" i="236"/>
  <c r="I29" i="236"/>
  <c r="F29" i="236" s="1"/>
  <c r="O28" i="236"/>
  <c r="M28" i="236"/>
  <c r="K28" i="236"/>
  <c r="I28" i="236"/>
  <c r="F28" i="236" s="1"/>
  <c r="O27" i="236"/>
  <c r="M27" i="236"/>
  <c r="K27" i="236"/>
  <c r="I27" i="236"/>
  <c r="F27" i="236" s="1"/>
  <c r="O26" i="236"/>
  <c r="M26" i="236"/>
  <c r="K26" i="236"/>
  <c r="I26" i="236"/>
  <c r="F26" i="236" s="1"/>
  <c r="O25" i="236"/>
  <c r="M25" i="236"/>
  <c r="K25" i="236"/>
  <c r="I25" i="236"/>
  <c r="J24" i="236"/>
  <c r="H24" i="236"/>
  <c r="G24" i="236"/>
  <c r="E24" i="236"/>
  <c r="O23" i="236"/>
  <c r="M23" i="236"/>
  <c r="K23" i="236"/>
  <c r="I23" i="236"/>
  <c r="F23" i="236" s="1"/>
  <c r="O22" i="236"/>
  <c r="M22" i="236"/>
  <c r="K22" i="236"/>
  <c r="I22" i="236"/>
  <c r="F22" i="236" s="1"/>
  <c r="O21" i="236"/>
  <c r="M21" i="236"/>
  <c r="K21" i="236"/>
  <c r="I21" i="236"/>
  <c r="F21" i="236" s="1"/>
  <c r="O20" i="236"/>
  <c r="M20" i="236"/>
  <c r="K20" i="236"/>
  <c r="I20" i="236"/>
  <c r="F20" i="236" s="1"/>
  <c r="O19" i="236"/>
  <c r="O15" i="236"/>
  <c r="O16" i="236"/>
  <c r="O17" i="236"/>
  <c r="O18" i="236"/>
  <c r="M19" i="236"/>
  <c r="K19" i="236"/>
  <c r="I19" i="236"/>
  <c r="F19" i="236" s="1"/>
  <c r="M18" i="236"/>
  <c r="K18" i="236"/>
  <c r="I18" i="236"/>
  <c r="F18" i="236" s="1"/>
  <c r="M17" i="236"/>
  <c r="K17" i="236"/>
  <c r="I17" i="236"/>
  <c r="F17" i="236" s="1"/>
  <c r="M16" i="236"/>
  <c r="K16" i="236"/>
  <c r="I16" i="236"/>
  <c r="F16" i="236" s="1"/>
  <c r="M15" i="236"/>
  <c r="K15" i="236"/>
  <c r="I15" i="236"/>
  <c r="F15" i="236" s="1"/>
  <c r="J14" i="236"/>
  <c r="H14" i="236"/>
  <c r="G14" i="236"/>
  <c r="E14" i="236"/>
  <c r="O13" i="236"/>
  <c r="M13" i="236"/>
  <c r="K13" i="236"/>
  <c r="I13" i="236"/>
  <c r="F13" i="236" s="1"/>
  <c r="O12" i="236"/>
  <c r="M12" i="236"/>
  <c r="K12" i="236"/>
  <c r="I12" i="236"/>
  <c r="F12" i="236" s="1"/>
  <c r="O11" i="236"/>
  <c r="M11" i="236"/>
  <c r="K11" i="236"/>
  <c r="I11" i="236"/>
  <c r="F11" i="236" s="1"/>
  <c r="O10" i="236"/>
  <c r="M10" i="236"/>
  <c r="K10" i="236"/>
  <c r="I10" i="236"/>
  <c r="F10" i="236" s="1"/>
  <c r="O9" i="236"/>
  <c r="M9" i="236"/>
  <c r="K9" i="236"/>
  <c r="I9" i="236"/>
  <c r="F9" i="236" s="1"/>
  <c r="O8" i="236"/>
  <c r="M8" i="236"/>
  <c r="K8" i="236"/>
  <c r="I8" i="236"/>
  <c r="O7" i="236"/>
  <c r="M7" i="236"/>
  <c r="K7" i="236"/>
  <c r="I7" i="236"/>
  <c r="F7" i="236" s="1"/>
  <c r="O6" i="236"/>
  <c r="M6" i="236"/>
  <c r="K6" i="236"/>
  <c r="I6" i="236"/>
  <c r="F6" i="236" s="1"/>
  <c r="O5" i="236"/>
  <c r="M5" i="236"/>
  <c r="K5" i="236"/>
  <c r="I5" i="236"/>
  <c r="F5" i="236" s="1"/>
  <c r="L44" i="235"/>
  <c r="J44" i="235"/>
  <c r="H44" i="235"/>
  <c r="G44" i="235"/>
  <c r="E44" i="235"/>
  <c r="O43" i="235"/>
  <c r="M43" i="235"/>
  <c r="K43" i="235"/>
  <c r="I43" i="235"/>
  <c r="F43" i="235" s="1"/>
  <c r="O42" i="235"/>
  <c r="M42" i="235"/>
  <c r="K42" i="235"/>
  <c r="I42" i="235"/>
  <c r="F42" i="235" s="1"/>
  <c r="O41" i="235"/>
  <c r="M41" i="235"/>
  <c r="K41" i="235"/>
  <c r="I41" i="235"/>
  <c r="F41" i="235" s="1"/>
  <c r="O40" i="235"/>
  <c r="M40" i="235"/>
  <c r="K40" i="235"/>
  <c r="I40" i="235"/>
  <c r="F40" i="235" s="1"/>
  <c r="O39" i="235"/>
  <c r="M39" i="235"/>
  <c r="K39" i="235"/>
  <c r="I39" i="235"/>
  <c r="F39" i="235" s="1"/>
  <c r="O38" i="235"/>
  <c r="M38" i="235"/>
  <c r="K38" i="235"/>
  <c r="I38" i="235"/>
  <c r="F38" i="235" s="1"/>
  <c r="O37" i="235"/>
  <c r="M37" i="235"/>
  <c r="K37" i="235"/>
  <c r="I37" i="235"/>
  <c r="F37" i="235" s="1"/>
  <c r="O36" i="235"/>
  <c r="M36" i="235"/>
  <c r="K36" i="235"/>
  <c r="I36" i="235"/>
  <c r="F36" i="235" s="1"/>
  <c r="O35" i="235"/>
  <c r="M35" i="235"/>
  <c r="K35" i="235"/>
  <c r="I35" i="235"/>
  <c r="F35" i="235" s="1"/>
  <c r="L34" i="235"/>
  <c r="J34" i="235"/>
  <c r="H34" i="235"/>
  <c r="G34" i="235"/>
  <c r="E34" i="235"/>
  <c r="O33" i="235"/>
  <c r="M33" i="235"/>
  <c r="K33" i="235"/>
  <c r="I33" i="235"/>
  <c r="F33" i="235" s="1"/>
  <c r="O32" i="235"/>
  <c r="M32" i="235"/>
  <c r="K32" i="235"/>
  <c r="I32" i="235"/>
  <c r="F32" i="235" s="1"/>
  <c r="O31" i="235"/>
  <c r="M31" i="235"/>
  <c r="K31" i="235"/>
  <c r="I31" i="235"/>
  <c r="F31" i="235" s="1"/>
  <c r="O30" i="235"/>
  <c r="M30" i="235"/>
  <c r="K30" i="235"/>
  <c r="I30" i="235"/>
  <c r="F30" i="235" s="1"/>
  <c r="O29" i="235"/>
  <c r="M29" i="235"/>
  <c r="K29" i="235"/>
  <c r="I29" i="235"/>
  <c r="F29" i="235" s="1"/>
  <c r="O28" i="235"/>
  <c r="M28" i="235"/>
  <c r="K28" i="235"/>
  <c r="I28" i="235"/>
  <c r="F28" i="235" s="1"/>
  <c r="O27" i="235"/>
  <c r="M27" i="235"/>
  <c r="K27" i="235"/>
  <c r="I27" i="235"/>
  <c r="F27" i="235" s="1"/>
  <c r="O26" i="235"/>
  <c r="M26" i="235"/>
  <c r="K26" i="235"/>
  <c r="I26" i="235"/>
  <c r="F26" i="235" s="1"/>
  <c r="O25" i="235"/>
  <c r="M25" i="235"/>
  <c r="K25" i="235"/>
  <c r="I25" i="235"/>
  <c r="F25" i="235" s="1"/>
  <c r="L24" i="235"/>
  <c r="J24" i="235"/>
  <c r="H24" i="235"/>
  <c r="G24" i="235"/>
  <c r="E24" i="235"/>
  <c r="O23" i="235"/>
  <c r="M23" i="235"/>
  <c r="K23" i="235"/>
  <c r="I23" i="235"/>
  <c r="F23" i="235" s="1"/>
  <c r="O22" i="235"/>
  <c r="M22" i="235"/>
  <c r="K22" i="235"/>
  <c r="I22" i="235"/>
  <c r="F22" i="235" s="1"/>
  <c r="O21" i="235"/>
  <c r="M21" i="235"/>
  <c r="K21" i="235"/>
  <c r="I21" i="235"/>
  <c r="F21" i="235" s="1"/>
  <c r="O20" i="235"/>
  <c r="M20" i="235"/>
  <c r="K20" i="235"/>
  <c r="I20" i="235"/>
  <c r="F20" i="235" s="1"/>
  <c r="O19" i="235"/>
  <c r="M19" i="235"/>
  <c r="K19" i="235"/>
  <c r="I19" i="235"/>
  <c r="F19" i="235" s="1"/>
  <c r="O18" i="235"/>
  <c r="M18" i="235"/>
  <c r="K18" i="235"/>
  <c r="I18" i="235"/>
  <c r="F18" i="235" s="1"/>
  <c r="O17" i="235"/>
  <c r="M17" i="235"/>
  <c r="K17" i="235"/>
  <c r="I17" i="235"/>
  <c r="F17" i="235" s="1"/>
  <c r="O16" i="235"/>
  <c r="M16" i="235"/>
  <c r="K16" i="235"/>
  <c r="I16" i="235"/>
  <c r="F16" i="235" s="1"/>
  <c r="O15" i="235"/>
  <c r="M15" i="235"/>
  <c r="K15" i="235"/>
  <c r="I15" i="235"/>
  <c r="F15" i="235" s="1"/>
  <c r="L14" i="235"/>
  <c r="J14" i="235"/>
  <c r="H14" i="235"/>
  <c r="G14" i="235"/>
  <c r="E14" i="235"/>
  <c r="O13" i="235"/>
  <c r="M13" i="235"/>
  <c r="K13" i="235"/>
  <c r="I13" i="235"/>
  <c r="F13" i="235" s="1"/>
  <c r="O12" i="235"/>
  <c r="M12" i="235"/>
  <c r="K12" i="235"/>
  <c r="I12" i="235"/>
  <c r="F12" i="235" s="1"/>
  <c r="O11" i="235"/>
  <c r="M11" i="235"/>
  <c r="K11" i="235"/>
  <c r="I11" i="235"/>
  <c r="O10" i="235"/>
  <c r="M10" i="235"/>
  <c r="K10" i="235"/>
  <c r="I10" i="235"/>
  <c r="F10" i="235" s="1"/>
  <c r="O9" i="235"/>
  <c r="M9" i="235"/>
  <c r="K9" i="235"/>
  <c r="I9" i="235"/>
  <c r="F9" i="235" s="1"/>
  <c r="O8" i="235"/>
  <c r="M8" i="235"/>
  <c r="K8" i="235"/>
  <c r="I8" i="235"/>
  <c r="F8" i="235" s="1"/>
  <c r="O7" i="235"/>
  <c r="M7" i="235"/>
  <c r="K7" i="235"/>
  <c r="I7" i="235"/>
  <c r="F7" i="235" s="1"/>
  <c r="O6" i="235"/>
  <c r="M6" i="235"/>
  <c r="K6" i="235"/>
  <c r="I6" i="235"/>
  <c r="O5" i="235"/>
  <c r="M5" i="235"/>
  <c r="K5" i="235"/>
  <c r="I5" i="235"/>
  <c r="J14" i="20"/>
  <c r="J24" i="20"/>
  <c r="L24" i="20"/>
  <c r="J34" i="20"/>
  <c r="J44" i="20"/>
  <c r="L14" i="207"/>
  <c r="J14" i="207"/>
  <c r="O35" i="234"/>
  <c r="O36" i="234"/>
  <c r="O37" i="234"/>
  <c r="O38" i="234"/>
  <c r="O39" i="234"/>
  <c r="O40" i="234"/>
  <c r="O41" i="234"/>
  <c r="O42" i="234"/>
  <c r="O43" i="234"/>
  <c r="O25" i="234"/>
  <c r="O26" i="234"/>
  <c r="O27" i="234"/>
  <c r="O28" i="234"/>
  <c r="O29" i="234"/>
  <c r="O30" i="234"/>
  <c r="O31" i="234"/>
  <c r="O32" i="234"/>
  <c r="O33" i="234"/>
  <c r="O15" i="234"/>
  <c r="O16" i="234"/>
  <c r="O17" i="234"/>
  <c r="O18" i="234"/>
  <c r="O19" i="234"/>
  <c r="O20" i="234"/>
  <c r="O21" i="234"/>
  <c r="O22" i="234"/>
  <c r="O23" i="234"/>
  <c r="O5" i="234"/>
  <c r="O6" i="234"/>
  <c r="O7" i="234"/>
  <c r="O8" i="234"/>
  <c r="O9" i="234"/>
  <c r="O10" i="234"/>
  <c r="O11" i="234"/>
  <c r="O12" i="234"/>
  <c r="O13" i="234"/>
  <c r="L44" i="234"/>
  <c r="J44" i="234"/>
  <c r="J34" i="234"/>
  <c r="J24" i="234"/>
  <c r="M35" i="234"/>
  <c r="M36" i="234"/>
  <c r="M37" i="234"/>
  <c r="M38" i="234"/>
  <c r="M39" i="234"/>
  <c r="M40" i="234"/>
  <c r="M41" i="234"/>
  <c r="M42" i="234"/>
  <c r="M43" i="234"/>
  <c r="M25" i="234"/>
  <c r="M26" i="234"/>
  <c r="M27" i="234"/>
  <c r="M28" i="234"/>
  <c r="M29" i="234"/>
  <c r="M30" i="234"/>
  <c r="M31" i="234"/>
  <c r="M32" i="234"/>
  <c r="M33" i="234"/>
  <c r="M15" i="234"/>
  <c r="M16" i="234"/>
  <c r="M17" i="234"/>
  <c r="M18" i="234"/>
  <c r="M19" i="234"/>
  <c r="M20" i="234"/>
  <c r="M21" i="234"/>
  <c r="M22" i="234"/>
  <c r="M23" i="234"/>
  <c r="M6" i="234"/>
  <c r="M7" i="234"/>
  <c r="M8" i="234"/>
  <c r="M9" i="234"/>
  <c r="M10" i="234"/>
  <c r="M11" i="234"/>
  <c r="M12" i="234"/>
  <c r="M13" i="234"/>
  <c r="K35" i="234"/>
  <c r="K36" i="234"/>
  <c r="K37" i="234"/>
  <c r="K38" i="234"/>
  <c r="K39" i="234"/>
  <c r="K40" i="234"/>
  <c r="K41" i="234"/>
  <c r="K42" i="234"/>
  <c r="K43" i="234"/>
  <c r="K25" i="234"/>
  <c r="K26" i="234"/>
  <c r="K27" i="234"/>
  <c r="K28" i="234"/>
  <c r="K29" i="234"/>
  <c r="K30" i="234"/>
  <c r="K31" i="234"/>
  <c r="K32" i="234"/>
  <c r="K33" i="234"/>
  <c r="K15" i="234"/>
  <c r="K16" i="234"/>
  <c r="K17" i="234"/>
  <c r="K18" i="234"/>
  <c r="K19" i="234"/>
  <c r="K20" i="234"/>
  <c r="K21" i="234"/>
  <c r="K22" i="234"/>
  <c r="K23" i="234"/>
  <c r="K6" i="234"/>
  <c r="K7" i="234"/>
  <c r="K8" i="234"/>
  <c r="K9" i="234"/>
  <c r="K10" i="234"/>
  <c r="K11" i="234"/>
  <c r="K12" i="234"/>
  <c r="K13" i="234"/>
  <c r="I35" i="234"/>
  <c r="F35" i="234" s="1"/>
  <c r="I36" i="234"/>
  <c r="F36" i="234" s="1"/>
  <c r="I37" i="234"/>
  <c r="F37" i="234" s="1"/>
  <c r="I38" i="234"/>
  <c r="F38" i="234" s="1"/>
  <c r="I39" i="234"/>
  <c r="F39" i="234" s="1"/>
  <c r="I40" i="234"/>
  <c r="F40" i="234" s="1"/>
  <c r="I41" i="234"/>
  <c r="F41" i="234" s="1"/>
  <c r="I42" i="234"/>
  <c r="F42" i="234" s="1"/>
  <c r="I43" i="234"/>
  <c r="F43" i="234" s="1"/>
  <c r="I25" i="234"/>
  <c r="F25" i="234" s="1"/>
  <c r="I26" i="234"/>
  <c r="I27" i="234"/>
  <c r="F27" i="234" s="1"/>
  <c r="I28" i="234"/>
  <c r="F28" i="234" s="1"/>
  <c r="I29" i="234"/>
  <c r="F29" i="234" s="1"/>
  <c r="I30" i="234"/>
  <c r="F30" i="234" s="1"/>
  <c r="I31" i="234"/>
  <c r="F31" i="234" s="1"/>
  <c r="I32" i="234"/>
  <c r="F32" i="234" s="1"/>
  <c r="I33" i="234"/>
  <c r="F33" i="234" s="1"/>
  <c r="I15" i="234"/>
  <c r="F15" i="234" s="1"/>
  <c r="I16" i="234"/>
  <c r="F16" i="234" s="1"/>
  <c r="I17" i="234"/>
  <c r="F17" i="234" s="1"/>
  <c r="I18" i="234"/>
  <c r="F18" i="234" s="1"/>
  <c r="I19" i="234"/>
  <c r="F19" i="234" s="1"/>
  <c r="I20" i="234"/>
  <c r="F20" i="234" s="1"/>
  <c r="I21" i="234"/>
  <c r="F21" i="234" s="1"/>
  <c r="I22" i="234"/>
  <c r="F22" i="234" s="1"/>
  <c r="I23" i="234"/>
  <c r="F23" i="234" s="1"/>
  <c r="I6" i="234"/>
  <c r="F6" i="234" s="1"/>
  <c r="I7" i="234"/>
  <c r="F7" i="234" s="1"/>
  <c r="I8" i="234"/>
  <c r="F8" i="234" s="1"/>
  <c r="I9" i="234"/>
  <c r="F9" i="234" s="1"/>
  <c r="I10" i="234"/>
  <c r="F10" i="234" s="1"/>
  <c r="I11" i="234"/>
  <c r="F11" i="234" s="1"/>
  <c r="I12" i="234"/>
  <c r="F12" i="234" s="1"/>
  <c r="I13" i="234"/>
  <c r="F13" i="234" s="1"/>
  <c r="H44" i="234"/>
  <c r="H34" i="234"/>
  <c r="H24" i="234"/>
  <c r="H14" i="234"/>
  <c r="E44" i="234"/>
  <c r="G34" i="234"/>
  <c r="G24" i="234"/>
  <c r="G14" i="234"/>
  <c r="E34" i="234"/>
  <c r="E24" i="234"/>
  <c r="E14" i="234"/>
  <c r="G44" i="234"/>
  <c r="J15" i="206"/>
  <c r="J25" i="206"/>
  <c r="N25" i="206" s="1"/>
  <c r="J35" i="206"/>
  <c r="J45" i="206"/>
  <c r="L15" i="206"/>
  <c r="L46" i="206" s="1"/>
  <c r="J44" i="231"/>
  <c r="L34" i="231"/>
  <c r="L24" i="231"/>
  <c r="N24" i="231" s="1"/>
  <c r="L14" i="231"/>
  <c r="J34" i="231"/>
  <c r="J14" i="231"/>
  <c r="M44" i="177"/>
  <c r="K44" i="177"/>
  <c r="I44" i="177"/>
  <c r="F44" i="177" s="1"/>
  <c r="L47" i="233"/>
  <c r="J47" i="233"/>
  <c r="J34" i="233"/>
  <c r="J24" i="233"/>
  <c r="J14" i="233"/>
  <c r="H47" i="233"/>
  <c r="H34" i="233"/>
  <c r="H24" i="233"/>
  <c r="H14" i="233"/>
  <c r="G47" i="233"/>
  <c r="E47" i="233"/>
  <c r="G34" i="233"/>
  <c r="G24" i="233"/>
  <c r="G14" i="233"/>
  <c r="O46" i="233"/>
  <c r="M46" i="233"/>
  <c r="K46" i="233"/>
  <c r="I46" i="233"/>
  <c r="F46" i="233" s="1"/>
  <c r="O45" i="233"/>
  <c r="M45" i="233"/>
  <c r="K45" i="233"/>
  <c r="I45" i="233"/>
  <c r="F45" i="233" s="1"/>
  <c r="O41" i="233"/>
  <c r="M41" i="233"/>
  <c r="K41" i="233"/>
  <c r="I41" i="233"/>
  <c r="F41" i="233" s="1"/>
  <c r="O40" i="233"/>
  <c r="M40" i="233"/>
  <c r="K40" i="233"/>
  <c r="I40" i="233"/>
  <c r="F40" i="233" s="1"/>
  <c r="O39" i="233"/>
  <c r="M39" i="233"/>
  <c r="K39" i="233"/>
  <c r="I39" i="233"/>
  <c r="F39" i="233" s="1"/>
  <c r="O38" i="233"/>
  <c r="M38" i="233"/>
  <c r="K38" i="233"/>
  <c r="I38" i="233"/>
  <c r="F38" i="233" s="1"/>
  <c r="O37" i="233"/>
  <c r="M37" i="233"/>
  <c r="K37" i="233"/>
  <c r="I37" i="233"/>
  <c r="F37" i="233" s="1"/>
  <c r="O36" i="233"/>
  <c r="M36" i="233"/>
  <c r="K36" i="233"/>
  <c r="I36" i="233"/>
  <c r="F36" i="233" s="1"/>
  <c r="O35" i="233"/>
  <c r="M35" i="233"/>
  <c r="K35" i="233"/>
  <c r="I35" i="233"/>
  <c r="L34" i="233"/>
  <c r="N34" i="233" s="1"/>
  <c r="E34" i="233"/>
  <c r="E24" i="233"/>
  <c r="E14" i="233"/>
  <c r="O33" i="233"/>
  <c r="M33" i="233"/>
  <c r="K33" i="233"/>
  <c r="I33" i="233"/>
  <c r="F33" i="233" s="1"/>
  <c r="O32" i="233"/>
  <c r="M32" i="233"/>
  <c r="K32" i="233"/>
  <c r="I32" i="233"/>
  <c r="F32" i="233" s="1"/>
  <c r="O31" i="233"/>
  <c r="M31" i="233"/>
  <c r="K31" i="233"/>
  <c r="I31" i="233"/>
  <c r="F31" i="233" s="1"/>
  <c r="O30" i="233"/>
  <c r="M30" i="233"/>
  <c r="K30" i="233"/>
  <c r="I30" i="233"/>
  <c r="F30" i="233" s="1"/>
  <c r="O29" i="233"/>
  <c r="M29" i="233"/>
  <c r="K29" i="233"/>
  <c r="I29" i="233"/>
  <c r="F29" i="233" s="1"/>
  <c r="O28" i="233"/>
  <c r="M28" i="233"/>
  <c r="K28" i="233"/>
  <c r="I28" i="233"/>
  <c r="F28" i="233" s="1"/>
  <c r="O27" i="233"/>
  <c r="M27" i="233"/>
  <c r="K27" i="233"/>
  <c r="I27" i="233"/>
  <c r="F27" i="233" s="1"/>
  <c r="O26" i="233"/>
  <c r="M26" i="233"/>
  <c r="K26" i="233"/>
  <c r="I26" i="233"/>
  <c r="F26" i="233" s="1"/>
  <c r="O25" i="233"/>
  <c r="M25" i="233"/>
  <c r="K25" i="233"/>
  <c r="I25" i="233"/>
  <c r="F25" i="233" s="1"/>
  <c r="L24" i="233"/>
  <c r="O23" i="233"/>
  <c r="M23" i="233"/>
  <c r="K23" i="233"/>
  <c r="I23" i="233"/>
  <c r="F23" i="233" s="1"/>
  <c r="O22" i="233"/>
  <c r="M22" i="233"/>
  <c r="K22" i="233"/>
  <c r="I22" i="233"/>
  <c r="F22" i="233" s="1"/>
  <c r="O21" i="233"/>
  <c r="M21" i="233"/>
  <c r="K21" i="233"/>
  <c r="I21" i="233"/>
  <c r="F21" i="233" s="1"/>
  <c r="O20" i="233"/>
  <c r="M20" i="233"/>
  <c r="K20" i="233"/>
  <c r="I20" i="233"/>
  <c r="F20" i="233" s="1"/>
  <c r="O19" i="233"/>
  <c r="M19" i="233"/>
  <c r="K19" i="233"/>
  <c r="I19" i="233"/>
  <c r="F19" i="233" s="1"/>
  <c r="O18" i="233"/>
  <c r="M18" i="233"/>
  <c r="K18" i="233"/>
  <c r="I18" i="233"/>
  <c r="F18" i="233" s="1"/>
  <c r="O17" i="233"/>
  <c r="M17" i="233"/>
  <c r="K17" i="233"/>
  <c r="I17" i="233"/>
  <c r="F17" i="233" s="1"/>
  <c r="O16" i="233"/>
  <c r="M16" i="233"/>
  <c r="K16" i="233"/>
  <c r="I16" i="233"/>
  <c r="F16" i="233" s="1"/>
  <c r="O15" i="233"/>
  <c r="M15" i="233"/>
  <c r="K15" i="233"/>
  <c r="I15" i="233"/>
  <c r="F15" i="233" s="1"/>
  <c r="L14" i="233"/>
  <c r="O13" i="233"/>
  <c r="M13" i="233"/>
  <c r="K13" i="233"/>
  <c r="I13" i="233"/>
  <c r="F13" i="233" s="1"/>
  <c r="O12" i="233"/>
  <c r="M12" i="233"/>
  <c r="K12" i="233"/>
  <c r="I12" i="233"/>
  <c r="F12" i="233" s="1"/>
  <c r="O11" i="233"/>
  <c r="M11" i="233"/>
  <c r="K11" i="233"/>
  <c r="I11" i="233"/>
  <c r="F11" i="233" s="1"/>
  <c r="O10" i="233"/>
  <c r="M10" i="233"/>
  <c r="K10" i="233"/>
  <c r="I10" i="233"/>
  <c r="F10" i="233" s="1"/>
  <c r="O9" i="233"/>
  <c r="M9" i="233"/>
  <c r="K9" i="233"/>
  <c r="I9" i="233"/>
  <c r="F9" i="233" s="1"/>
  <c r="O8" i="233"/>
  <c r="M8" i="233"/>
  <c r="K8" i="233"/>
  <c r="I8" i="233"/>
  <c r="F8" i="233" s="1"/>
  <c r="O7" i="233"/>
  <c r="M7" i="233"/>
  <c r="K7" i="233"/>
  <c r="I7" i="233"/>
  <c r="F7" i="233" s="1"/>
  <c r="O6" i="233"/>
  <c r="M6" i="233"/>
  <c r="K6" i="233"/>
  <c r="I6" i="233"/>
  <c r="F6" i="233" s="1"/>
  <c r="O5" i="233"/>
  <c r="M5" i="233"/>
  <c r="K5" i="233"/>
  <c r="I5" i="233"/>
  <c r="F5" i="233" s="1"/>
  <c r="L44" i="221"/>
  <c r="L34" i="221"/>
  <c r="L24" i="221"/>
  <c r="L14" i="221"/>
  <c r="J14" i="221"/>
  <c r="J44" i="221"/>
  <c r="J34" i="221"/>
  <c r="J24" i="221"/>
  <c r="M43" i="177"/>
  <c r="K43" i="177"/>
  <c r="I43" i="177"/>
  <c r="F43" i="177" s="1"/>
  <c r="I5" i="231"/>
  <c r="F5" i="231" s="1"/>
  <c r="K5" i="231"/>
  <c r="M5" i="231"/>
  <c r="O5" i="231"/>
  <c r="I6" i="231"/>
  <c r="K6" i="231"/>
  <c r="M6" i="231"/>
  <c r="O6" i="231"/>
  <c r="I7" i="231"/>
  <c r="F7" i="231" s="1"/>
  <c r="K7" i="231"/>
  <c r="M7" i="231"/>
  <c r="O7" i="231"/>
  <c r="I8" i="231"/>
  <c r="F8" i="231" s="1"/>
  <c r="K8" i="231"/>
  <c r="M8" i="231"/>
  <c r="O8" i="231"/>
  <c r="I9" i="231"/>
  <c r="F9" i="231" s="1"/>
  <c r="K9" i="231"/>
  <c r="M9" i="231"/>
  <c r="O9" i="231"/>
  <c r="I10" i="231"/>
  <c r="F10" i="231" s="1"/>
  <c r="K10" i="231"/>
  <c r="M10" i="231"/>
  <c r="O10" i="231"/>
  <c r="I11" i="231"/>
  <c r="F11" i="231" s="1"/>
  <c r="K11" i="231"/>
  <c r="M11" i="231"/>
  <c r="O11" i="231"/>
  <c r="I12" i="231"/>
  <c r="F12" i="231" s="1"/>
  <c r="K12" i="231"/>
  <c r="M12" i="231"/>
  <c r="O12" i="231"/>
  <c r="I13" i="231"/>
  <c r="F13" i="231" s="1"/>
  <c r="K13" i="231"/>
  <c r="M13" i="231"/>
  <c r="O13" i="231"/>
  <c r="E14" i="231"/>
  <c r="G14" i="231"/>
  <c r="H14" i="231"/>
  <c r="I15" i="231"/>
  <c r="F15" i="231" s="1"/>
  <c r="K15" i="231"/>
  <c r="M15" i="231"/>
  <c r="O15" i="231"/>
  <c r="O16" i="231"/>
  <c r="O17" i="231"/>
  <c r="O18" i="231"/>
  <c r="O19" i="231"/>
  <c r="O20" i="231"/>
  <c r="O21" i="231"/>
  <c r="O22" i="231"/>
  <c r="O23" i="231"/>
  <c r="H44" i="231"/>
  <c r="G44" i="231"/>
  <c r="E44" i="231"/>
  <c r="O43" i="231"/>
  <c r="M43" i="231"/>
  <c r="K43" i="231"/>
  <c r="I43" i="231"/>
  <c r="F43" i="231" s="1"/>
  <c r="O42" i="231"/>
  <c r="M42" i="231"/>
  <c r="K42" i="231"/>
  <c r="I42" i="231"/>
  <c r="F42" i="231" s="1"/>
  <c r="O41" i="231"/>
  <c r="M41" i="231"/>
  <c r="K41" i="231"/>
  <c r="I41" i="231"/>
  <c r="F41" i="231" s="1"/>
  <c r="O40" i="231"/>
  <c r="M40" i="231"/>
  <c r="K40" i="231"/>
  <c r="I40" i="231"/>
  <c r="F40" i="231" s="1"/>
  <c r="O39" i="231"/>
  <c r="M39" i="231"/>
  <c r="K39" i="231"/>
  <c r="I39" i="231"/>
  <c r="F39" i="231" s="1"/>
  <c r="O38" i="231"/>
  <c r="M38" i="231"/>
  <c r="K38" i="231"/>
  <c r="I38" i="231"/>
  <c r="F38" i="231" s="1"/>
  <c r="O37" i="231"/>
  <c r="M37" i="231"/>
  <c r="K37" i="231"/>
  <c r="I37" i="231"/>
  <c r="F37" i="231" s="1"/>
  <c r="O36" i="231"/>
  <c r="M36" i="231"/>
  <c r="K36" i="231"/>
  <c r="I36" i="231"/>
  <c r="F36" i="231" s="1"/>
  <c r="O35" i="231"/>
  <c r="M35" i="231"/>
  <c r="K35" i="231"/>
  <c r="I35" i="231"/>
  <c r="F35" i="231" s="1"/>
  <c r="H34" i="231"/>
  <c r="G34" i="231"/>
  <c r="E34" i="231"/>
  <c r="O33" i="231"/>
  <c r="M33" i="231"/>
  <c r="K33" i="231"/>
  <c r="I33" i="231"/>
  <c r="F33" i="231" s="1"/>
  <c r="O32" i="231"/>
  <c r="M32" i="231"/>
  <c r="K32" i="231"/>
  <c r="I32" i="231"/>
  <c r="F32" i="231" s="1"/>
  <c r="O31" i="231"/>
  <c r="M31" i="231"/>
  <c r="K31" i="231"/>
  <c r="I31" i="231"/>
  <c r="F31" i="231" s="1"/>
  <c r="O30" i="231"/>
  <c r="M30" i="231"/>
  <c r="K30" i="231"/>
  <c r="I30" i="231"/>
  <c r="F30" i="231" s="1"/>
  <c r="O29" i="231"/>
  <c r="M29" i="231"/>
  <c r="K29" i="231"/>
  <c r="I29" i="231"/>
  <c r="F29" i="231" s="1"/>
  <c r="O28" i="231"/>
  <c r="M28" i="231"/>
  <c r="K28" i="231"/>
  <c r="I28" i="231"/>
  <c r="F28" i="231" s="1"/>
  <c r="O27" i="231"/>
  <c r="M27" i="231"/>
  <c r="K27" i="231"/>
  <c r="I27" i="231"/>
  <c r="F27" i="231" s="1"/>
  <c r="O26" i="231"/>
  <c r="M26" i="231"/>
  <c r="K26" i="231"/>
  <c r="I26" i="231"/>
  <c r="O25" i="231"/>
  <c r="M25" i="231"/>
  <c r="K25" i="231"/>
  <c r="I25" i="231"/>
  <c r="F25" i="231" s="1"/>
  <c r="H24" i="231"/>
  <c r="G24" i="231"/>
  <c r="E24" i="231"/>
  <c r="M23" i="231"/>
  <c r="K23" i="231"/>
  <c r="I23" i="231"/>
  <c r="F23" i="231" s="1"/>
  <c r="M22" i="231"/>
  <c r="K22" i="231"/>
  <c r="I22" i="231"/>
  <c r="F22" i="231" s="1"/>
  <c r="M21" i="231"/>
  <c r="K21" i="231"/>
  <c r="I21" i="231"/>
  <c r="F21" i="231" s="1"/>
  <c r="M20" i="231"/>
  <c r="K20" i="231"/>
  <c r="I20" i="231"/>
  <c r="F20" i="231" s="1"/>
  <c r="M19" i="231"/>
  <c r="I19" i="231"/>
  <c r="F19" i="231" s="1"/>
  <c r="M18" i="231"/>
  <c r="K18" i="231"/>
  <c r="I18" i="231"/>
  <c r="M17" i="231"/>
  <c r="K17" i="231"/>
  <c r="I17" i="231"/>
  <c r="F17" i="231" s="1"/>
  <c r="M16" i="231"/>
  <c r="K16" i="231"/>
  <c r="I16" i="231"/>
  <c r="F16" i="231" s="1"/>
  <c r="O34" i="223"/>
  <c r="M34" i="223"/>
  <c r="K34" i="223"/>
  <c r="I34" i="223"/>
  <c r="F34" i="223" s="1"/>
  <c r="I36" i="86"/>
  <c r="F36" i="86" s="1"/>
  <c r="Q6" i="213"/>
  <c r="L32" i="213"/>
  <c r="J32" i="213"/>
  <c r="L41" i="213"/>
  <c r="L12" i="213"/>
  <c r="J41" i="213"/>
  <c r="J22" i="213"/>
  <c r="J12" i="213"/>
  <c r="O31" i="225"/>
  <c r="M31" i="225"/>
  <c r="K31" i="225"/>
  <c r="I31" i="225"/>
  <c r="F31" i="225" s="1"/>
  <c r="O35" i="225"/>
  <c r="M35" i="225"/>
  <c r="K35" i="225"/>
  <c r="I35" i="225"/>
  <c r="F35" i="225" s="1"/>
  <c r="L44" i="230"/>
  <c r="J44" i="230"/>
  <c r="L34" i="230"/>
  <c r="L24" i="230"/>
  <c r="L14" i="230"/>
  <c r="H44" i="230"/>
  <c r="G44" i="230"/>
  <c r="E44" i="230"/>
  <c r="O43" i="230"/>
  <c r="M43" i="230"/>
  <c r="K43" i="230"/>
  <c r="I43" i="230"/>
  <c r="F43" i="230" s="1"/>
  <c r="O42" i="230"/>
  <c r="M42" i="230"/>
  <c r="K42" i="230"/>
  <c r="I42" i="230"/>
  <c r="F42" i="230" s="1"/>
  <c r="O41" i="230"/>
  <c r="M41" i="230"/>
  <c r="K41" i="230"/>
  <c r="I41" i="230"/>
  <c r="F41" i="230" s="1"/>
  <c r="O40" i="230"/>
  <c r="M40" i="230"/>
  <c r="K40" i="230"/>
  <c r="I40" i="230"/>
  <c r="F40" i="230" s="1"/>
  <c r="O39" i="230"/>
  <c r="M39" i="230"/>
  <c r="K39" i="230"/>
  <c r="I39" i="230"/>
  <c r="F39" i="230" s="1"/>
  <c r="O38" i="230"/>
  <c r="M38" i="230"/>
  <c r="K38" i="230"/>
  <c r="I38" i="230"/>
  <c r="F38" i="230" s="1"/>
  <c r="O37" i="230"/>
  <c r="M37" i="230"/>
  <c r="K37" i="230"/>
  <c r="I37" i="230"/>
  <c r="F37" i="230" s="1"/>
  <c r="O36" i="230"/>
  <c r="M36" i="230"/>
  <c r="K36" i="230"/>
  <c r="I36" i="230"/>
  <c r="F36" i="230" s="1"/>
  <c r="O35" i="230"/>
  <c r="M35" i="230"/>
  <c r="K35" i="230"/>
  <c r="I35" i="230"/>
  <c r="F35" i="230" s="1"/>
  <c r="J34" i="230"/>
  <c r="H34" i="230"/>
  <c r="G34" i="230"/>
  <c r="G24" i="230"/>
  <c r="G14" i="230"/>
  <c r="E34" i="230"/>
  <c r="O33" i="230"/>
  <c r="M33" i="230"/>
  <c r="K33" i="230"/>
  <c r="I33" i="230"/>
  <c r="F33" i="230" s="1"/>
  <c r="O32" i="230"/>
  <c r="M32" i="230"/>
  <c r="K32" i="230"/>
  <c r="I32" i="230"/>
  <c r="F32" i="230" s="1"/>
  <c r="O31" i="230"/>
  <c r="M31" i="230"/>
  <c r="K31" i="230"/>
  <c r="I31" i="230"/>
  <c r="F31" i="230" s="1"/>
  <c r="O30" i="230"/>
  <c r="M30" i="230"/>
  <c r="K30" i="230"/>
  <c r="I30" i="230"/>
  <c r="F30" i="230" s="1"/>
  <c r="O29" i="230"/>
  <c r="M29" i="230"/>
  <c r="K29" i="230"/>
  <c r="O28" i="230"/>
  <c r="M28" i="230"/>
  <c r="K28" i="230"/>
  <c r="I28" i="230"/>
  <c r="F28" i="230" s="1"/>
  <c r="O27" i="230"/>
  <c r="M27" i="230"/>
  <c r="K27" i="230"/>
  <c r="I27" i="230"/>
  <c r="F27" i="230" s="1"/>
  <c r="O26" i="230"/>
  <c r="M26" i="230"/>
  <c r="K26" i="230"/>
  <c r="I26" i="230"/>
  <c r="F26" i="230" s="1"/>
  <c r="O25" i="230"/>
  <c r="M25" i="230"/>
  <c r="K25" i="230"/>
  <c r="I25" i="230"/>
  <c r="F25" i="230" s="1"/>
  <c r="J24" i="230"/>
  <c r="J14" i="230"/>
  <c r="H24" i="230"/>
  <c r="E24" i="230"/>
  <c r="O23" i="230"/>
  <c r="M23" i="230"/>
  <c r="K23" i="230"/>
  <c r="I23" i="230"/>
  <c r="F23" i="230" s="1"/>
  <c r="O22" i="230"/>
  <c r="M22" i="230"/>
  <c r="K22" i="230"/>
  <c r="I22" i="230"/>
  <c r="F22" i="230" s="1"/>
  <c r="O21" i="230"/>
  <c r="M21" i="230"/>
  <c r="K21" i="230"/>
  <c r="I21" i="230"/>
  <c r="O20" i="230"/>
  <c r="M20" i="230"/>
  <c r="K20" i="230"/>
  <c r="I20" i="230"/>
  <c r="F20" i="230" s="1"/>
  <c r="O19" i="230"/>
  <c r="M19" i="230"/>
  <c r="K19" i="230"/>
  <c r="I19" i="230"/>
  <c r="F19" i="230" s="1"/>
  <c r="O18" i="230"/>
  <c r="M18" i="230"/>
  <c r="K18" i="230"/>
  <c r="I18" i="230"/>
  <c r="F18" i="230" s="1"/>
  <c r="O17" i="230"/>
  <c r="M17" i="230"/>
  <c r="K17" i="230"/>
  <c r="I17" i="230"/>
  <c r="F17" i="230" s="1"/>
  <c r="O16" i="230"/>
  <c r="M16" i="230"/>
  <c r="K16" i="230"/>
  <c r="I16" i="230"/>
  <c r="F16" i="230" s="1"/>
  <c r="O15" i="230"/>
  <c r="M15" i="230"/>
  <c r="K15" i="230"/>
  <c r="I15" i="230"/>
  <c r="H14" i="230"/>
  <c r="E14" i="230"/>
  <c r="O13" i="230"/>
  <c r="M13" i="230"/>
  <c r="K13" i="230"/>
  <c r="I13" i="230"/>
  <c r="F13" i="230" s="1"/>
  <c r="O12" i="230"/>
  <c r="M12" i="230"/>
  <c r="K12" i="230"/>
  <c r="I12" i="230"/>
  <c r="F12" i="230" s="1"/>
  <c r="O11" i="230"/>
  <c r="M11" i="230"/>
  <c r="K11" i="230"/>
  <c r="I11" i="230"/>
  <c r="F11" i="230" s="1"/>
  <c r="O10" i="230"/>
  <c r="M10" i="230"/>
  <c r="K10" i="230"/>
  <c r="I10" i="230"/>
  <c r="F10" i="230" s="1"/>
  <c r="O9" i="230"/>
  <c r="M9" i="230"/>
  <c r="K9" i="230"/>
  <c r="I9" i="230"/>
  <c r="F9" i="230" s="1"/>
  <c r="O8" i="230"/>
  <c r="M8" i="230"/>
  <c r="K8" i="230"/>
  <c r="I8" i="230"/>
  <c r="F8" i="230" s="1"/>
  <c r="O7" i="230"/>
  <c r="M7" i="230"/>
  <c r="K7" i="230"/>
  <c r="I7" i="230"/>
  <c r="F7" i="230" s="1"/>
  <c r="O6" i="230"/>
  <c r="M6" i="230"/>
  <c r="K6" i="230"/>
  <c r="I6" i="230"/>
  <c r="F6" i="230" s="1"/>
  <c r="O5" i="230"/>
  <c r="M5" i="230"/>
  <c r="K5" i="230"/>
  <c r="I5" i="230"/>
  <c r="F5" i="230" s="1"/>
  <c r="L44" i="229"/>
  <c r="J44" i="229"/>
  <c r="H44" i="229"/>
  <c r="G44" i="229"/>
  <c r="E44" i="229"/>
  <c r="O43" i="229"/>
  <c r="M43" i="229"/>
  <c r="K43" i="229"/>
  <c r="I43" i="229"/>
  <c r="F43" i="229" s="1"/>
  <c r="O42" i="229"/>
  <c r="M42" i="229"/>
  <c r="K42" i="229"/>
  <c r="I42" i="229"/>
  <c r="O41" i="229"/>
  <c r="M41" i="229"/>
  <c r="K41" i="229"/>
  <c r="I41" i="229"/>
  <c r="F41" i="229" s="1"/>
  <c r="O40" i="229"/>
  <c r="M40" i="229"/>
  <c r="K40" i="229"/>
  <c r="I40" i="229"/>
  <c r="F40" i="229" s="1"/>
  <c r="O39" i="229"/>
  <c r="M39" i="229"/>
  <c r="K39" i="229"/>
  <c r="I39" i="229"/>
  <c r="F39" i="229" s="1"/>
  <c r="O38" i="229"/>
  <c r="M38" i="229"/>
  <c r="K38" i="229"/>
  <c r="I38" i="229"/>
  <c r="F38" i="229" s="1"/>
  <c r="O37" i="229"/>
  <c r="M37" i="229"/>
  <c r="K37" i="229"/>
  <c r="I37" i="229"/>
  <c r="F37" i="229" s="1"/>
  <c r="O36" i="229"/>
  <c r="M36" i="229"/>
  <c r="K36" i="229"/>
  <c r="I36" i="229"/>
  <c r="F36" i="229" s="1"/>
  <c r="O35" i="229"/>
  <c r="M35" i="229"/>
  <c r="K35" i="229"/>
  <c r="I35" i="229"/>
  <c r="F35" i="229" s="1"/>
  <c r="L34" i="229"/>
  <c r="J34" i="229"/>
  <c r="J24" i="229"/>
  <c r="J14" i="229"/>
  <c r="H34" i="229"/>
  <c r="G34" i="229"/>
  <c r="E34" i="229"/>
  <c r="E24" i="229"/>
  <c r="E14" i="229"/>
  <c r="O33" i="229"/>
  <c r="M33" i="229"/>
  <c r="K33" i="229"/>
  <c r="I33" i="229"/>
  <c r="F33" i="229" s="1"/>
  <c r="O32" i="229"/>
  <c r="M32" i="229"/>
  <c r="K32" i="229"/>
  <c r="I32" i="229"/>
  <c r="F32" i="229" s="1"/>
  <c r="O31" i="229"/>
  <c r="M31" i="229"/>
  <c r="K31" i="229"/>
  <c r="I31" i="229"/>
  <c r="F31" i="229" s="1"/>
  <c r="O30" i="229"/>
  <c r="M30" i="229"/>
  <c r="K30" i="229"/>
  <c r="I30" i="229"/>
  <c r="F30" i="229" s="1"/>
  <c r="O29" i="229"/>
  <c r="M29" i="229"/>
  <c r="K29" i="229"/>
  <c r="I29" i="229"/>
  <c r="F29" i="229" s="1"/>
  <c r="O28" i="229"/>
  <c r="M28" i="229"/>
  <c r="K28" i="229"/>
  <c r="I28" i="229"/>
  <c r="F28" i="229" s="1"/>
  <c r="O27" i="229"/>
  <c r="M27" i="229"/>
  <c r="K27" i="229"/>
  <c r="I27" i="229"/>
  <c r="F27" i="229" s="1"/>
  <c r="O26" i="229"/>
  <c r="M26" i="229"/>
  <c r="K26" i="229"/>
  <c r="I26" i="229"/>
  <c r="O25" i="229"/>
  <c r="M25" i="229"/>
  <c r="K25" i="229"/>
  <c r="I25" i="229"/>
  <c r="F25" i="229" s="1"/>
  <c r="L24" i="229"/>
  <c r="H24" i="229"/>
  <c r="G24" i="229"/>
  <c r="O23" i="229"/>
  <c r="M23" i="229"/>
  <c r="K23" i="229"/>
  <c r="I23" i="229"/>
  <c r="F23" i="229" s="1"/>
  <c r="O22" i="229"/>
  <c r="M22" i="229"/>
  <c r="K22" i="229"/>
  <c r="I22" i="229"/>
  <c r="F22" i="229" s="1"/>
  <c r="O21" i="229"/>
  <c r="M21" i="229"/>
  <c r="K21" i="229"/>
  <c r="I21" i="229"/>
  <c r="F21" i="229" s="1"/>
  <c r="O20" i="229"/>
  <c r="M20" i="229"/>
  <c r="K20" i="229"/>
  <c r="I20" i="229"/>
  <c r="F20" i="229" s="1"/>
  <c r="O19" i="229"/>
  <c r="M19" i="229"/>
  <c r="K19" i="229"/>
  <c r="I19" i="229"/>
  <c r="F19" i="229" s="1"/>
  <c r="O18" i="229"/>
  <c r="M18" i="229"/>
  <c r="K18" i="229"/>
  <c r="I18" i="229"/>
  <c r="F18" i="229" s="1"/>
  <c r="O17" i="229"/>
  <c r="M17" i="229"/>
  <c r="K17" i="229"/>
  <c r="I17" i="229"/>
  <c r="F17" i="229" s="1"/>
  <c r="O16" i="229"/>
  <c r="M16" i="229"/>
  <c r="K16" i="229"/>
  <c r="I16" i="229"/>
  <c r="F16" i="229" s="1"/>
  <c r="O15" i="229"/>
  <c r="M15" i="229"/>
  <c r="K15" i="229"/>
  <c r="I15" i="229"/>
  <c r="F15" i="229" s="1"/>
  <c r="L14" i="229"/>
  <c r="H14" i="229"/>
  <c r="G14" i="229"/>
  <c r="O13" i="229"/>
  <c r="M13" i="229"/>
  <c r="K13" i="229"/>
  <c r="I13" i="229"/>
  <c r="F13" i="229" s="1"/>
  <c r="O12" i="229"/>
  <c r="M12" i="229"/>
  <c r="K12" i="229"/>
  <c r="I12" i="229"/>
  <c r="F12" i="229" s="1"/>
  <c r="O11" i="229"/>
  <c r="M11" i="229"/>
  <c r="K11" i="229"/>
  <c r="I11" i="229"/>
  <c r="F11" i="229" s="1"/>
  <c r="O10" i="229"/>
  <c r="M10" i="229"/>
  <c r="K10" i="229"/>
  <c r="I10" i="229"/>
  <c r="F10" i="229" s="1"/>
  <c r="O9" i="229"/>
  <c r="M9" i="229"/>
  <c r="K9" i="229"/>
  <c r="I9" i="229"/>
  <c r="F9" i="229" s="1"/>
  <c r="O8" i="229"/>
  <c r="M8" i="229"/>
  <c r="K8" i="229"/>
  <c r="I8" i="229"/>
  <c r="F8" i="229" s="1"/>
  <c r="O7" i="229"/>
  <c r="M7" i="229"/>
  <c r="K7" i="229"/>
  <c r="I7" i="229"/>
  <c r="F7" i="229" s="1"/>
  <c r="O6" i="229"/>
  <c r="M6" i="229"/>
  <c r="K6" i="229"/>
  <c r="I6" i="229"/>
  <c r="F6" i="229" s="1"/>
  <c r="O5" i="229"/>
  <c r="M5" i="229"/>
  <c r="K5" i="229"/>
  <c r="I5" i="229"/>
  <c r="F5" i="229" s="1"/>
  <c r="J50" i="228"/>
  <c r="H50" i="228"/>
  <c r="G50" i="228"/>
  <c r="E50" i="228"/>
  <c r="O49" i="228"/>
  <c r="M49" i="228"/>
  <c r="K49" i="228"/>
  <c r="I49" i="228"/>
  <c r="F49" i="228" s="1"/>
  <c r="O48" i="228"/>
  <c r="M48" i="228"/>
  <c r="K48" i="228"/>
  <c r="I48" i="228"/>
  <c r="F48" i="228" s="1"/>
  <c r="O47" i="228"/>
  <c r="M47" i="228"/>
  <c r="K47" i="228"/>
  <c r="I47" i="228"/>
  <c r="F47" i="228" s="1"/>
  <c r="O46" i="228"/>
  <c r="M46" i="228"/>
  <c r="K46" i="228"/>
  <c r="I46" i="228"/>
  <c r="F46" i="228" s="1"/>
  <c r="O45" i="228"/>
  <c r="M45" i="228"/>
  <c r="K45" i="228"/>
  <c r="I45" i="228"/>
  <c r="F45" i="228" s="1"/>
  <c r="O44" i="228"/>
  <c r="M44" i="228"/>
  <c r="K44" i="228"/>
  <c r="I44" i="228"/>
  <c r="F44" i="228" s="1"/>
  <c r="O43" i="228"/>
  <c r="M43" i="228"/>
  <c r="K43" i="228"/>
  <c r="I43" i="228"/>
  <c r="F43" i="228" s="1"/>
  <c r="O42" i="228"/>
  <c r="K42" i="228"/>
  <c r="I42" i="228"/>
  <c r="F42" i="228" s="1"/>
  <c r="O41" i="228"/>
  <c r="M41" i="228"/>
  <c r="K41" i="228"/>
  <c r="I41" i="228"/>
  <c r="F41" i="228" s="1"/>
  <c r="J40" i="228"/>
  <c r="H40" i="228"/>
  <c r="G40" i="228"/>
  <c r="E40" i="228"/>
  <c r="O39" i="228"/>
  <c r="O31" i="228"/>
  <c r="O32" i="228"/>
  <c r="O33" i="228"/>
  <c r="O34" i="228"/>
  <c r="O35" i="228"/>
  <c r="O36" i="228"/>
  <c r="O37" i="228"/>
  <c r="O38" i="228"/>
  <c r="O20" i="228"/>
  <c r="O21" i="228"/>
  <c r="O22" i="228"/>
  <c r="O23" i="228"/>
  <c r="O24" i="228"/>
  <c r="O25" i="228"/>
  <c r="O26" i="228"/>
  <c r="O27" i="228"/>
  <c r="O28" i="228"/>
  <c r="O5" i="228"/>
  <c r="O6" i="228"/>
  <c r="O13" i="228"/>
  <c r="O14" i="228"/>
  <c r="O7" i="228"/>
  <c r="O8" i="228"/>
  <c r="O10" i="228"/>
  <c r="O12" i="228"/>
  <c r="O18" i="228"/>
  <c r="M39" i="228"/>
  <c r="K39" i="228"/>
  <c r="I39" i="228"/>
  <c r="F39" i="228" s="1"/>
  <c r="M38" i="228"/>
  <c r="K38" i="228"/>
  <c r="I38" i="228"/>
  <c r="M37" i="228"/>
  <c r="K37" i="228"/>
  <c r="I37" i="228"/>
  <c r="M36" i="228"/>
  <c r="K36" i="228"/>
  <c r="I36" i="228"/>
  <c r="M35" i="228"/>
  <c r="K35" i="228"/>
  <c r="I35" i="228"/>
  <c r="M34" i="228"/>
  <c r="K34" i="228"/>
  <c r="I34" i="228"/>
  <c r="M33" i="228"/>
  <c r="K33" i="228"/>
  <c r="I33" i="228"/>
  <c r="F33" i="228" s="1"/>
  <c r="M32" i="228"/>
  <c r="K32" i="228"/>
  <c r="I32" i="228"/>
  <c r="F32" i="228" s="1"/>
  <c r="M31" i="228"/>
  <c r="K31" i="228"/>
  <c r="I31" i="228"/>
  <c r="F31" i="228" s="1"/>
  <c r="J30" i="228"/>
  <c r="H30" i="228"/>
  <c r="G30" i="228"/>
  <c r="E30" i="228"/>
  <c r="M28" i="228"/>
  <c r="K28" i="228"/>
  <c r="I28" i="228"/>
  <c r="F28" i="228" s="1"/>
  <c r="M27" i="228"/>
  <c r="K27" i="228"/>
  <c r="I27" i="228"/>
  <c r="F27" i="228" s="1"/>
  <c r="M26" i="228"/>
  <c r="K26" i="228"/>
  <c r="I26" i="228"/>
  <c r="F26" i="228" s="1"/>
  <c r="M25" i="228"/>
  <c r="K25" i="228"/>
  <c r="I25" i="228"/>
  <c r="F25" i="228" s="1"/>
  <c r="M24" i="228"/>
  <c r="K24" i="228"/>
  <c r="I24" i="228"/>
  <c r="M23" i="228"/>
  <c r="K23" i="228"/>
  <c r="I23" i="228"/>
  <c r="F23" i="228" s="1"/>
  <c r="M22" i="228"/>
  <c r="K22" i="228"/>
  <c r="I22" i="228"/>
  <c r="F22" i="228" s="1"/>
  <c r="M21" i="228"/>
  <c r="K21" i="228"/>
  <c r="I21" i="228"/>
  <c r="F21" i="228" s="1"/>
  <c r="M20" i="228"/>
  <c r="K20" i="228"/>
  <c r="I20" i="228"/>
  <c r="F20" i="228" s="1"/>
  <c r="J19" i="228"/>
  <c r="H19" i="228"/>
  <c r="G19" i="228"/>
  <c r="E19" i="228"/>
  <c r="M18" i="228"/>
  <c r="K18" i="228"/>
  <c r="I18" i="228"/>
  <c r="F18" i="228" s="1"/>
  <c r="M14" i="228"/>
  <c r="K14" i="228"/>
  <c r="I14" i="228"/>
  <c r="F14" i="228" s="1"/>
  <c r="M13" i="228"/>
  <c r="K13" i="228"/>
  <c r="I13" i="228"/>
  <c r="F13" i="228" s="1"/>
  <c r="M12" i="228"/>
  <c r="K12" i="228"/>
  <c r="I12" i="228"/>
  <c r="F12" i="228" s="1"/>
  <c r="M10" i="228"/>
  <c r="K10" i="228"/>
  <c r="I10" i="228"/>
  <c r="F10" i="228" s="1"/>
  <c r="M8" i="228"/>
  <c r="K8" i="228"/>
  <c r="I8" i="228"/>
  <c r="F8" i="228" s="1"/>
  <c r="M7" i="228"/>
  <c r="K7" i="228"/>
  <c r="I7" i="228"/>
  <c r="F7" i="228" s="1"/>
  <c r="M6" i="228"/>
  <c r="K6" i="228"/>
  <c r="I6" i="228"/>
  <c r="F6" i="228" s="1"/>
  <c r="M5" i="228"/>
  <c r="K5" i="228"/>
  <c r="I5" i="228"/>
  <c r="F5" i="228" s="1"/>
  <c r="O25" i="225"/>
  <c r="K25" i="225"/>
  <c r="I25" i="225"/>
  <c r="F25" i="225" s="1"/>
  <c r="O35" i="226"/>
  <c r="O36" i="226"/>
  <c r="O37" i="226"/>
  <c r="O38" i="226"/>
  <c r="O39" i="226"/>
  <c r="O40" i="226"/>
  <c r="O41" i="226"/>
  <c r="O42" i="226"/>
  <c r="O43" i="226"/>
  <c r="O25" i="226"/>
  <c r="O26" i="226"/>
  <c r="O27" i="226"/>
  <c r="O28" i="226"/>
  <c r="O29" i="226"/>
  <c r="O30" i="226"/>
  <c r="O31" i="226"/>
  <c r="O32" i="226"/>
  <c r="O33" i="226"/>
  <c r="O15" i="226"/>
  <c r="O16" i="226"/>
  <c r="O17" i="226"/>
  <c r="O18" i="226"/>
  <c r="O19" i="226"/>
  <c r="O20" i="226"/>
  <c r="O21" i="226"/>
  <c r="O22" i="226"/>
  <c r="O23" i="226"/>
  <c r="O5" i="226"/>
  <c r="O6" i="226"/>
  <c r="O7" i="226"/>
  <c r="O8" i="226"/>
  <c r="O9" i="226"/>
  <c r="O10" i="226"/>
  <c r="O11" i="226"/>
  <c r="O12" i="226"/>
  <c r="O13" i="226"/>
  <c r="L44" i="226"/>
  <c r="L34" i="226"/>
  <c r="L24" i="226"/>
  <c r="L14" i="226"/>
  <c r="J44" i="226"/>
  <c r="J34" i="226"/>
  <c r="J24" i="226"/>
  <c r="J14" i="226"/>
  <c r="M35" i="226"/>
  <c r="M36" i="226"/>
  <c r="M37" i="226"/>
  <c r="M38" i="226"/>
  <c r="M39" i="226"/>
  <c r="M40" i="226"/>
  <c r="M41" i="226"/>
  <c r="M42" i="226"/>
  <c r="M43" i="226"/>
  <c r="M25" i="226"/>
  <c r="M26" i="226"/>
  <c r="M27" i="226"/>
  <c r="M28" i="226"/>
  <c r="M29" i="226"/>
  <c r="M30" i="226"/>
  <c r="M31" i="226"/>
  <c r="M32" i="226"/>
  <c r="M33" i="226"/>
  <c r="M15" i="226"/>
  <c r="M16" i="226"/>
  <c r="M17" i="226"/>
  <c r="M18" i="226"/>
  <c r="M19" i="226"/>
  <c r="M20" i="226"/>
  <c r="M21" i="226"/>
  <c r="M22" i="226"/>
  <c r="M23" i="226"/>
  <c r="M5" i="226"/>
  <c r="M6" i="226"/>
  <c r="M7" i="226"/>
  <c r="M8" i="226"/>
  <c r="M9" i="226"/>
  <c r="M10" i="226"/>
  <c r="M11" i="226"/>
  <c r="M12" i="226"/>
  <c r="M13" i="226"/>
  <c r="K35" i="226"/>
  <c r="K36" i="226"/>
  <c r="K37" i="226"/>
  <c r="K38" i="226"/>
  <c r="K39" i="226"/>
  <c r="K40" i="226"/>
  <c r="K41" i="226"/>
  <c r="K42" i="226"/>
  <c r="K43" i="226"/>
  <c r="K25" i="226"/>
  <c r="K26" i="226"/>
  <c r="K27" i="226"/>
  <c r="K28" i="226"/>
  <c r="K29" i="226"/>
  <c r="K30" i="226"/>
  <c r="K31" i="226"/>
  <c r="K32" i="226"/>
  <c r="K33" i="226"/>
  <c r="K15" i="226"/>
  <c r="K16" i="226"/>
  <c r="K17" i="226"/>
  <c r="K18" i="226"/>
  <c r="K19" i="226"/>
  <c r="K20" i="226"/>
  <c r="K21" i="226"/>
  <c r="K22" i="226"/>
  <c r="K23" i="226"/>
  <c r="K5" i="226"/>
  <c r="K6" i="226"/>
  <c r="K7" i="226"/>
  <c r="K8" i="226"/>
  <c r="K9" i="226"/>
  <c r="K10" i="226"/>
  <c r="K11" i="226"/>
  <c r="K12" i="226"/>
  <c r="K13" i="226"/>
  <c r="I35" i="226"/>
  <c r="F35" i="226" s="1"/>
  <c r="I36" i="226"/>
  <c r="F36" i="226" s="1"/>
  <c r="I37" i="226"/>
  <c r="F37" i="226" s="1"/>
  <c r="I38" i="226"/>
  <c r="F38" i="226" s="1"/>
  <c r="I39" i="226"/>
  <c r="F39" i="226" s="1"/>
  <c r="I40" i="226"/>
  <c r="F40" i="226" s="1"/>
  <c r="I41" i="226"/>
  <c r="F41" i="226" s="1"/>
  <c r="I42" i="226"/>
  <c r="F42" i="226" s="1"/>
  <c r="I43" i="226"/>
  <c r="F43" i="226" s="1"/>
  <c r="I25" i="226"/>
  <c r="F25" i="226" s="1"/>
  <c r="I26" i="226"/>
  <c r="F26" i="226" s="1"/>
  <c r="I27" i="226"/>
  <c r="F27" i="226" s="1"/>
  <c r="I28" i="226"/>
  <c r="F28" i="226" s="1"/>
  <c r="I29" i="226"/>
  <c r="F29" i="226" s="1"/>
  <c r="I30" i="226"/>
  <c r="I31" i="226"/>
  <c r="F31" i="226" s="1"/>
  <c r="I32" i="226"/>
  <c r="F32" i="226" s="1"/>
  <c r="I33" i="226"/>
  <c r="F33" i="226" s="1"/>
  <c r="I15" i="226"/>
  <c r="F15" i="226" s="1"/>
  <c r="I16" i="226"/>
  <c r="F16" i="226" s="1"/>
  <c r="I17" i="226"/>
  <c r="F17" i="226" s="1"/>
  <c r="I18" i="226"/>
  <c r="I19" i="226"/>
  <c r="F19" i="226" s="1"/>
  <c r="I20" i="226"/>
  <c r="F20" i="226" s="1"/>
  <c r="I21" i="226"/>
  <c r="F21" i="226" s="1"/>
  <c r="I22" i="226"/>
  <c r="F22" i="226" s="1"/>
  <c r="I23" i="226"/>
  <c r="F23" i="226" s="1"/>
  <c r="I5" i="226"/>
  <c r="F5" i="226" s="1"/>
  <c r="I6" i="226"/>
  <c r="I7" i="226"/>
  <c r="F7" i="226" s="1"/>
  <c r="I8" i="226"/>
  <c r="F8" i="226" s="1"/>
  <c r="I9" i="226"/>
  <c r="F9" i="226" s="1"/>
  <c r="I10" i="226"/>
  <c r="F10" i="226" s="1"/>
  <c r="I11" i="226"/>
  <c r="F11" i="226" s="1"/>
  <c r="I12" i="226"/>
  <c r="F12" i="226" s="1"/>
  <c r="I13" i="226"/>
  <c r="F13" i="226" s="1"/>
  <c r="H44" i="226"/>
  <c r="H34" i="226"/>
  <c r="H24" i="226"/>
  <c r="H14" i="226"/>
  <c r="E44" i="226"/>
  <c r="G34" i="226"/>
  <c r="G24" i="226"/>
  <c r="G14" i="226"/>
  <c r="E34" i="226"/>
  <c r="E24" i="226"/>
  <c r="E14" i="226"/>
  <c r="G44" i="226"/>
  <c r="O24" i="225"/>
  <c r="I24" i="225"/>
  <c r="F24" i="225" s="1"/>
  <c r="J24" i="222"/>
  <c r="J44" i="222"/>
  <c r="J34" i="222"/>
  <c r="J14" i="222"/>
  <c r="L44" i="222"/>
  <c r="L34" i="222"/>
  <c r="L24" i="222"/>
  <c r="L14" i="222"/>
  <c r="L44" i="224"/>
  <c r="L34" i="224"/>
  <c r="L24" i="224"/>
  <c r="L14" i="224"/>
  <c r="J44" i="224"/>
  <c r="J34" i="224"/>
  <c r="J24" i="224"/>
  <c r="J14" i="224"/>
  <c r="O40" i="225"/>
  <c r="O41" i="225"/>
  <c r="O42" i="225"/>
  <c r="O43" i="225"/>
  <c r="O44" i="225"/>
  <c r="O45" i="225"/>
  <c r="O46" i="225"/>
  <c r="O47" i="225"/>
  <c r="O28" i="225"/>
  <c r="O29" i="225"/>
  <c r="O30" i="225"/>
  <c r="O32" i="225"/>
  <c r="O33" i="225"/>
  <c r="O34" i="225"/>
  <c r="O36" i="225"/>
  <c r="O37" i="225"/>
  <c r="O38" i="225"/>
  <c r="O15" i="225"/>
  <c r="O16" i="225"/>
  <c r="O17" i="225"/>
  <c r="O18" i="225"/>
  <c r="O19" i="225"/>
  <c r="O20" i="225"/>
  <c r="O21" i="225"/>
  <c r="O22" i="225"/>
  <c r="O23" i="225"/>
  <c r="O5" i="225"/>
  <c r="O6" i="225"/>
  <c r="O7" i="225"/>
  <c r="O8" i="225"/>
  <c r="O9" i="225"/>
  <c r="O10" i="225"/>
  <c r="O11" i="225"/>
  <c r="O12" i="225"/>
  <c r="O13" i="225"/>
  <c r="M40" i="225"/>
  <c r="M41" i="225"/>
  <c r="M42" i="225"/>
  <c r="M43" i="225"/>
  <c r="M44" i="225"/>
  <c r="M45" i="225"/>
  <c r="M46" i="225"/>
  <c r="M47" i="225"/>
  <c r="M28" i="225"/>
  <c r="M29" i="225"/>
  <c r="M30" i="225"/>
  <c r="M32" i="225"/>
  <c r="M33" i="225"/>
  <c r="M34" i="225"/>
  <c r="M36" i="225"/>
  <c r="M37" i="225"/>
  <c r="M38" i="225"/>
  <c r="M15" i="225"/>
  <c r="M16" i="225"/>
  <c r="M17" i="225"/>
  <c r="M18" i="225"/>
  <c r="M19" i="225"/>
  <c r="M20" i="225"/>
  <c r="M21" i="225"/>
  <c r="M22" i="225"/>
  <c r="M23" i="225"/>
  <c r="M5" i="225"/>
  <c r="M6" i="225"/>
  <c r="M7" i="225"/>
  <c r="M8" i="225"/>
  <c r="M9" i="225"/>
  <c r="M10" i="225"/>
  <c r="M11" i="225"/>
  <c r="M12" i="225"/>
  <c r="M13" i="225"/>
  <c r="K40" i="225"/>
  <c r="K41" i="225"/>
  <c r="K42" i="225"/>
  <c r="K43" i="225"/>
  <c r="K44" i="225"/>
  <c r="K45" i="225"/>
  <c r="K46" i="225"/>
  <c r="K47" i="225"/>
  <c r="K28" i="225"/>
  <c r="K29" i="225"/>
  <c r="K30" i="225"/>
  <c r="K32" i="225"/>
  <c r="K33" i="225"/>
  <c r="K34" i="225"/>
  <c r="K36" i="225"/>
  <c r="K37" i="225"/>
  <c r="K38" i="225"/>
  <c r="K15" i="225"/>
  <c r="K16" i="225"/>
  <c r="K17" i="225"/>
  <c r="K18" i="225"/>
  <c r="K19" i="225"/>
  <c r="K20" i="225"/>
  <c r="K21" i="225"/>
  <c r="K22" i="225"/>
  <c r="K23" i="225"/>
  <c r="K5" i="225"/>
  <c r="K6" i="225"/>
  <c r="K7" i="225"/>
  <c r="K8" i="225"/>
  <c r="K9" i="225"/>
  <c r="K10" i="225"/>
  <c r="K11" i="225"/>
  <c r="K12" i="225"/>
  <c r="K13" i="225"/>
  <c r="I40" i="225"/>
  <c r="F40" i="225" s="1"/>
  <c r="I41" i="225"/>
  <c r="F41" i="225" s="1"/>
  <c r="I42" i="225"/>
  <c r="F42" i="225" s="1"/>
  <c r="I43" i="225"/>
  <c r="F43" i="225" s="1"/>
  <c r="I44" i="225"/>
  <c r="F44" i="225" s="1"/>
  <c r="I45" i="225"/>
  <c r="F45" i="225" s="1"/>
  <c r="I46" i="225"/>
  <c r="F46" i="225" s="1"/>
  <c r="I47" i="225"/>
  <c r="I28" i="225"/>
  <c r="F28" i="225" s="1"/>
  <c r="I29" i="225"/>
  <c r="F29" i="225" s="1"/>
  <c r="I30" i="225"/>
  <c r="F30" i="225" s="1"/>
  <c r="I32" i="225"/>
  <c r="F32" i="225" s="1"/>
  <c r="I33" i="225"/>
  <c r="F33" i="225" s="1"/>
  <c r="I34" i="225"/>
  <c r="F34" i="225" s="1"/>
  <c r="I36" i="225"/>
  <c r="F36" i="225" s="1"/>
  <c r="I37" i="225"/>
  <c r="I38" i="225"/>
  <c r="F38" i="225" s="1"/>
  <c r="I15" i="225"/>
  <c r="F15" i="225" s="1"/>
  <c r="I16" i="225"/>
  <c r="F16" i="225" s="1"/>
  <c r="I17" i="225"/>
  <c r="F17" i="225" s="1"/>
  <c r="I18" i="225"/>
  <c r="F18" i="225" s="1"/>
  <c r="I19" i="225"/>
  <c r="F19" i="225" s="1"/>
  <c r="I20" i="225"/>
  <c r="I21" i="225"/>
  <c r="F21" i="225" s="1"/>
  <c r="I22" i="225"/>
  <c r="F22" i="225" s="1"/>
  <c r="I23" i="225"/>
  <c r="F23" i="225" s="1"/>
  <c r="I5" i="225"/>
  <c r="F5" i="225" s="1"/>
  <c r="I6" i="225"/>
  <c r="F6" i="225" s="1"/>
  <c r="I7" i="225"/>
  <c r="F7" i="225" s="1"/>
  <c r="I8" i="225"/>
  <c r="F8" i="225" s="1"/>
  <c r="I9" i="225"/>
  <c r="I10" i="225"/>
  <c r="F10" i="225" s="1"/>
  <c r="I11" i="225"/>
  <c r="F11" i="225" s="1"/>
  <c r="I12" i="225"/>
  <c r="F12" i="225" s="1"/>
  <c r="I13" i="225"/>
  <c r="F13" i="225" s="1"/>
  <c r="H48" i="225"/>
  <c r="H39" i="225"/>
  <c r="H27" i="225"/>
  <c r="H14" i="225"/>
  <c r="E48" i="225"/>
  <c r="G39" i="225"/>
  <c r="G27" i="225"/>
  <c r="G14" i="225"/>
  <c r="E39" i="225"/>
  <c r="E27" i="225"/>
  <c r="E14" i="225"/>
  <c r="G48" i="225"/>
  <c r="I5" i="224"/>
  <c r="F5" i="224" s="1"/>
  <c r="K5" i="224"/>
  <c r="M5" i="224"/>
  <c r="O5" i="224"/>
  <c r="I6" i="224"/>
  <c r="F6" i="224" s="1"/>
  <c r="K6" i="224"/>
  <c r="M6" i="224"/>
  <c r="O6" i="224"/>
  <c r="I7" i="224"/>
  <c r="F7" i="224" s="1"/>
  <c r="K7" i="224"/>
  <c r="M7" i="224"/>
  <c r="O7" i="224"/>
  <c r="I8" i="224"/>
  <c r="F8" i="224" s="1"/>
  <c r="K8" i="224"/>
  <c r="M8" i="224"/>
  <c r="M9" i="224"/>
  <c r="M10" i="224"/>
  <c r="M11" i="224"/>
  <c r="M12" i="224"/>
  <c r="M13" i="224"/>
  <c r="O8" i="224"/>
  <c r="I9" i="224"/>
  <c r="F9" i="224" s="1"/>
  <c r="K9" i="224"/>
  <c r="O9" i="224"/>
  <c r="I10" i="224"/>
  <c r="F10" i="224" s="1"/>
  <c r="K10" i="224"/>
  <c r="O10" i="224"/>
  <c r="I11" i="224"/>
  <c r="F11" i="224" s="1"/>
  <c r="K11" i="224"/>
  <c r="O11" i="224"/>
  <c r="I12" i="224"/>
  <c r="F12" i="224" s="1"/>
  <c r="K12" i="224"/>
  <c r="O12" i="224"/>
  <c r="I13" i="224"/>
  <c r="F13" i="224" s="1"/>
  <c r="K13" i="224"/>
  <c r="O13" i="224"/>
  <c r="O35" i="224"/>
  <c r="O36" i="224"/>
  <c r="O37" i="224"/>
  <c r="O38" i="224"/>
  <c r="O39" i="224"/>
  <c r="O40" i="224"/>
  <c r="O41" i="224"/>
  <c r="O42" i="224"/>
  <c r="O43" i="224"/>
  <c r="O25" i="224"/>
  <c r="O26" i="224"/>
  <c r="O27" i="224"/>
  <c r="O28" i="224"/>
  <c r="O29" i="224"/>
  <c r="O30" i="224"/>
  <c r="O31" i="224"/>
  <c r="O32" i="224"/>
  <c r="O33" i="224"/>
  <c r="O15" i="224"/>
  <c r="O16" i="224"/>
  <c r="O17" i="224"/>
  <c r="O18" i="224"/>
  <c r="O19" i="224"/>
  <c r="O20" i="224"/>
  <c r="O21" i="224"/>
  <c r="O22" i="224"/>
  <c r="O23" i="224"/>
  <c r="M35" i="224"/>
  <c r="M36" i="224"/>
  <c r="M37" i="224"/>
  <c r="M38" i="224"/>
  <c r="M39" i="224"/>
  <c r="M40" i="224"/>
  <c r="M41" i="224"/>
  <c r="M42" i="224"/>
  <c r="M43" i="224"/>
  <c r="M25" i="224"/>
  <c r="M26" i="224"/>
  <c r="M27" i="224"/>
  <c r="M28" i="224"/>
  <c r="M29" i="224"/>
  <c r="M30" i="224"/>
  <c r="M31" i="224"/>
  <c r="M32" i="224"/>
  <c r="M33" i="224"/>
  <c r="M15" i="224"/>
  <c r="M16" i="224"/>
  <c r="M17" i="224"/>
  <c r="M18" i="224"/>
  <c r="M19" i="224"/>
  <c r="M20" i="224"/>
  <c r="M21" i="224"/>
  <c r="M22" i="224"/>
  <c r="M23" i="224"/>
  <c r="K35" i="224"/>
  <c r="K36" i="224"/>
  <c r="K37" i="224"/>
  <c r="K38" i="224"/>
  <c r="K39" i="224"/>
  <c r="K40" i="224"/>
  <c r="K41" i="224"/>
  <c r="K42" i="224"/>
  <c r="K43" i="224"/>
  <c r="K25" i="224"/>
  <c r="K26" i="224"/>
  <c r="K27" i="224"/>
  <c r="K28" i="224"/>
  <c r="K29" i="224"/>
  <c r="K30" i="224"/>
  <c r="K31" i="224"/>
  <c r="K32" i="224"/>
  <c r="K33" i="224"/>
  <c r="K15" i="224"/>
  <c r="K16" i="224"/>
  <c r="K17" i="224"/>
  <c r="K18" i="224"/>
  <c r="K19" i="224"/>
  <c r="K20" i="224"/>
  <c r="K21" i="224"/>
  <c r="K22" i="224"/>
  <c r="K23" i="224"/>
  <c r="I35" i="224"/>
  <c r="F35" i="224" s="1"/>
  <c r="I36" i="224"/>
  <c r="F36" i="224" s="1"/>
  <c r="I37" i="224"/>
  <c r="I38" i="224"/>
  <c r="F38" i="224" s="1"/>
  <c r="I39" i="224"/>
  <c r="F39" i="224" s="1"/>
  <c r="I40" i="224"/>
  <c r="F40" i="224" s="1"/>
  <c r="I41" i="224"/>
  <c r="F41" i="224" s="1"/>
  <c r="I42" i="224"/>
  <c r="F42" i="224" s="1"/>
  <c r="I43" i="224"/>
  <c r="F43" i="224" s="1"/>
  <c r="I25" i="224"/>
  <c r="F25" i="224" s="1"/>
  <c r="I26" i="224"/>
  <c r="I27" i="224"/>
  <c r="F27" i="224" s="1"/>
  <c r="I28" i="224"/>
  <c r="F28" i="224" s="1"/>
  <c r="I29" i="224"/>
  <c r="F29" i="224" s="1"/>
  <c r="I30" i="224"/>
  <c r="F30" i="224" s="1"/>
  <c r="I31" i="224"/>
  <c r="F31" i="224" s="1"/>
  <c r="I32" i="224"/>
  <c r="F32" i="224" s="1"/>
  <c r="I33" i="224"/>
  <c r="F33" i="224" s="1"/>
  <c r="I15" i="224"/>
  <c r="F15" i="224" s="1"/>
  <c r="I16" i="224"/>
  <c r="F16" i="224" s="1"/>
  <c r="I17" i="224"/>
  <c r="F17" i="224" s="1"/>
  <c r="I18" i="224"/>
  <c r="F18" i="224" s="1"/>
  <c r="I19" i="224"/>
  <c r="F19" i="224" s="1"/>
  <c r="I20" i="224"/>
  <c r="F20" i="224" s="1"/>
  <c r="I21" i="224"/>
  <c r="F21" i="224" s="1"/>
  <c r="I22" i="224"/>
  <c r="F22" i="224" s="1"/>
  <c r="I23" i="224"/>
  <c r="F23" i="224" s="1"/>
  <c r="H44" i="224"/>
  <c r="H34" i="224"/>
  <c r="H24" i="224"/>
  <c r="H14" i="224"/>
  <c r="E44" i="224"/>
  <c r="G34" i="224"/>
  <c r="G24" i="224"/>
  <c r="G14" i="224"/>
  <c r="E34" i="224"/>
  <c r="E24" i="224"/>
  <c r="E14" i="224"/>
  <c r="G44" i="224"/>
  <c r="O33" i="223"/>
  <c r="O35" i="223"/>
  <c r="O36" i="223"/>
  <c r="O37" i="223"/>
  <c r="O38" i="223"/>
  <c r="O39" i="223"/>
  <c r="O40" i="223"/>
  <c r="O41" i="223"/>
  <c r="O42" i="223"/>
  <c r="O25" i="223"/>
  <c r="O26" i="223"/>
  <c r="O27" i="223"/>
  <c r="O28" i="223"/>
  <c r="O29" i="223"/>
  <c r="O30" i="223"/>
  <c r="O31" i="223"/>
  <c r="O15" i="223"/>
  <c r="O16" i="223"/>
  <c r="O17" i="223"/>
  <c r="O18" i="223"/>
  <c r="O19" i="223"/>
  <c r="O20" i="223"/>
  <c r="O21" i="223"/>
  <c r="O22" i="223"/>
  <c r="O23" i="223"/>
  <c r="O5" i="223"/>
  <c r="O6" i="223"/>
  <c r="O7" i="223"/>
  <c r="O8" i="223"/>
  <c r="O9" i="223"/>
  <c r="O10" i="223"/>
  <c r="O11" i="223"/>
  <c r="O12" i="223"/>
  <c r="O13" i="223"/>
  <c r="L46" i="223"/>
  <c r="L32" i="223"/>
  <c r="L24" i="223"/>
  <c r="L14" i="223"/>
  <c r="J46" i="223"/>
  <c r="J32" i="223"/>
  <c r="J24" i="223"/>
  <c r="J14" i="223"/>
  <c r="M33" i="223"/>
  <c r="M35" i="223"/>
  <c r="M36" i="223"/>
  <c r="M37" i="223"/>
  <c r="M38" i="223"/>
  <c r="M39" i="223"/>
  <c r="M40" i="223"/>
  <c r="M41" i="223"/>
  <c r="M42" i="223"/>
  <c r="M25" i="223"/>
  <c r="M26" i="223"/>
  <c r="M27" i="223"/>
  <c r="M28" i="223"/>
  <c r="M29" i="223"/>
  <c r="M30" i="223"/>
  <c r="M31" i="223"/>
  <c r="M15" i="223"/>
  <c r="M16" i="223"/>
  <c r="M17" i="223"/>
  <c r="M18" i="223"/>
  <c r="M19" i="223"/>
  <c r="M20" i="223"/>
  <c r="M21" i="223"/>
  <c r="M22" i="223"/>
  <c r="M23" i="223"/>
  <c r="M5" i="223"/>
  <c r="M6" i="223"/>
  <c r="M7" i="223"/>
  <c r="M8" i="223"/>
  <c r="M9" i="223"/>
  <c r="M10" i="223"/>
  <c r="M11" i="223"/>
  <c r="M12" i="223"/>
  <c r="M13" i="223"/>
  <c r="K33" i="223"/>
  <c r="K35" i="223"/>
  <c r="K36" i="223"/>
  <c r="K37" i="223"/>
  <c r="K38" i="223"/>
  <c r="K39" i="223"/>
  <c r="K40" i="223"/>
  <c r="K41" i="223"/>
  <c r="K42" i="223"/>
  <c r="K25" i="223"/>
  <c r="K26" i="223"/>
  <c r="K27" i="223"/>
  <c r="K28" i="223"/>
  <c r="K29" i="223"/>
  <c r="K30" i="223"/>
  <c r="K31" i="223"/>
  <c r="K15" i="223"/>
  <c r="K16" i="223"/>
  <c r="K17" i="223"/>
  <c r="K18" i="223"/>
  <c r="K19" i="223"/>
  <c r="K20" i="223"/>
  <c r="K21" i="223"/>
  <c r="K22" i="223"/>
  <c r="K23" i="223"/>
  <c r="K5" i="223"/>
  <c r="K6" i="223"/>
  <c r="K7" i="223"/>
  <c r="K8" i="223"/>
  <c r="K9" i="223"/>
  <c r="K10" i="223"/>
  <c r="K11" i="223"/>
  <c r="K12" i="223"/>
  <c r="K13" i="223"/>
  <c r="I33" i="223"/>
  <c r="F33" i="223" s="1"/>
  <c r="I35" i="223"/>
  <c r="F35" i="223" s="1"/>
  <c r="I36" i="223"/>
  <c r="F36" i="223" s="1"/>
  <c r="I37" i="223"/>
  <c r="F37" i="223" s="1"/>
  <c r="I38" i="223"/>
  <c r="F38" i="223" s="1"/>
  <c r="I39" i="223"/>
  <c r="I40" i="223"/>
  <c r="F40" i="223" s="1"/>
  <c r="I41" i="223"/>
  <c r="F41" i="223" s="1"/>
  <c r="I42" i="223"/>
  <c r="F42" i="223" s="1"/>
  <c r="I25" i="223"/>
  <c r="F25" i="223" s="1"/>
  <c r="I26" i="223"/>
  <c r="F26" i="223" s="1"/>
  <c r="I27" i="223"/>
  <c r="F27" i="223" s="1"/>
  <c r="I28" i="223"/>
  <c r="F28" i="223" s="1"/>
  <c r="I29" i="223"/>
  <c r="F29" i="223" s="1"/>
  <c r="I30" i="223"/>
  <c r="F30" i="223" s="1"/>
  <c r="I31" i="223"/>
  <c r="F31" i="223" s="1"/>
  <c r="I15" i="223"/>
  <c r="F15" i="223" s="1"/>
  <c r="I16" i="223"/>
  <c r="F16" i="223" s="1"/>
  <c r="I17" i="223"/>
  <c r="F17" i="223" s="1"/>
  <c r="I18" i="223"/>
  <c r="F18" i="223" s="1"/>
  <c r="I19" i="223"/>
  <c r="F19" i="223" s="1"/>
  <c r="I20" i="223"/>
  <c r="F20" i="223" s="1"/>
  <c r="I21" i="223"/>
  <c r="I22" i="223"/>
  <c r="F22" i="223" s="1"/>
  <c r="I23" i="223"/>
  <c r="F23" i="223" s="1"/>
  <c r="I5" i="223"/>
  <c r="I6" i="223"/>
  <c r="F6" i="223" s="1"/>
  <c r="I7" i="223"/>
  <c r="F7" i="223" s="1"/>
  <c r="I8" i="223"/>
  <c r="I9" i="223"/>
  <c r="F9" i="223" s="1"/>
  <c r="I10" i="223"/>
  <c r="F10" i="223" s="1"/>
  <c r="I11" i="223"/>
  <c r="F11" i="223" s="1"/>
  <c r="I12" i="223"/>
  <c r="F12" i="223" s="1"/>
  <c r="I13" i="223"/>
  <c r="F13" i="223" s="1"/>
  <c r="H46" i="223"/>
  <c r="H32" i="223"/>
  <c r="H24" i="223"/>
  <c r="H14" i="223"/>
  <c r="E46" i="223"/>
  <c r="G32" i="223"/>
  <c r="G24" i="223"/>
  <c r="G14" i="223"/>
  <c r="E32" i="223"/>
  <c r="E24" i="223"/>
  <c r="E14" i="223"/>
  <c r="G46" i="223"/>
  <c r="O45" i="223"/>
  <c r="M45" i="223"/>
  <c r="K45" i="223"/>
  <c r="I45" i="223"/>
  <c r="F45" i="223" s="1"/>
  <c r="O44" i="223"/>
  <c r="M44" i="223"/>
  <c r="K44" i="223"/>
  <c r="I44" i="223"/>
  <c r="F44" i="223" s="1"/>
  <c r="O43" i="223"/>
  <c r="M43" i="223"/>
  <c r="K43" i="223"/>
  <c r="I43" i="223"/>
  <c r="F43" i="223" s="1"/>
  <c r="H44" i="222"/>
  <c r="G44" i="222"/>
  <c r="E44" i="222"/>
  <c r="O43" i="222"/>
  <c r="M43" i="222"/>
  <c r="K43" i="222"/>
  <c r="I43" i="222"/>
  <c r="F43" i="222" s="1"/>
  <c r="O42" i="222"/>
  <c r="M42" i="222"/>
  <c r="K42" i="222"/>
  <c r="I42" i="222"/>
  <c r="F42" i="222" s="1"/>
  <c r="O41" i="222"/>
  <c r="M41" i="222"/>
  <c r="K41" i="222"/>
  <c r="I41" i="222"/>
  <c r="F41" i="222" s="1"/>
  <c r="O40" i="222"/>
  <c r="M40" i="222"/>
  <c r="K40" i="222"/>
  <c r="K35" i="222"/>
  <c r="K36" i="222"/>
  <c r="K37" i="222"/>
  <c r="K38" i="222"/>
  <c r="K39" i="222"/>
  <c r="I40" i="222"/>
  <c r="F40" i="222" s="1"/>
  <c r="O39" i="222"/>
  <c r="M39" i="222"/>
  <c r="I39" i="222"/>
  <c r="F39" i="222" s="1"/>
  <c r="O38" i="222"/>
  <c r="M38" i="222"/>
  <c r="I38" i="222"/>
  <c r="F38" i="222" s="1"/>
  <c r="O37" i="222"/>
  <c r="M37" i="222"/>
  <c r="I37" i="222"/>
  <c r="F37" i="222" s="1"/>
  <c r="O36" i="222"/>
  <c r="M36" i="222"/>
  <c r="I36" i="222"/>
  <c r="F36" i="222" s="1"/>
  <c r="O35" i="222"/>
  <c r="M35" i="222"/>
  <c r="I35" i="222"/>
  <c r="F35" i="222" s="1"/>
  <c r="H34" i="222"/>
  <c r="G34" i="222"/>
  <c r="E34" i="222"/>
  <c r="O33" i="222"/>
  <c r="M33" i="222"/>
  <c r="K33" i="222"/>
  <c r="I33" i="222"/>
  <c r="F33" i="222" s="1"/>
  <c r="O32" i="222"/>
  <c r="M32" i="222"/>
  <c r="K32" i="222"/>
  <c r="I32" i="222"/>
  <c r="F32" i="222" s="1"/>
  <c r="O31" i="222"/>
  <c r="M31" i="222"/>
  <c r="K31" i="222"/>
  <c r="I31" i="222"/>
  <c r="F31" i="222" s="1"/>
  <c r="O30" i="222"/>
  <c r="M30" i="222"/>
  <c r="K30" i="222"/>
  <c r="I30" i="222"/>
  <c r="F30" i="222" s="1"/>
  <c r="O29" i="222"/>
  <c r="M29" i="222"/>
  <c r="K29" i="222"/>
  <c r="I29" i="222"/>
  <c r="F29" i="222" s="1"/>
  <c r="O28" i="222"/>
  <c r="M28" i="222"/>
  <c r="K28" i="222"/>
  <c r="I28" i="222"/>
  <c r="F28" i="222" s="1"/>
  <c r="O27" i="222"/>
  <c r="M27" i="222"/>
  <c r="K27" i="222"/>
  <c r="I27" i="222"/>
  <c r="F27" i="222" s="1"/>
  <c r="O26" i="222"/>
  <c r="M26" i="222"/>
  <c r="K26" i="222"/>
  <c r="I26" i="222"/>
  <c r="O25" i="222"/>
  <c r="M25" i="222"/>
  <c r="K25" i="222"/>
  <c r="I25" i="222"/>
  <c r="F25" i="222" s="1"/>
  <c r="H24" i="222"/>
  <c r="G24" i="222"/>
  <c r="E24" i="222"/>
  <c r="E14" i="222"/>
  <c r="O23" i="222"/>
  <c r="M23" i="222"/>
  <c r="K23" i="222"/>
  <c r="K15" i="222"/>
  <c r="K16" i="222"/>
  <c r="K17" i="222"/>
  <c r="K18" i="222"/>
  <c r="K19" i="222"/>
  <c r="K20" i="222"/>
  <c r="K21" i="222"/>
  <c r="K22" i="222"/>
  <c r="I23" i="222"/>
  <c r="F23" i="222" s="1"/>
  <c r="O22" i="222"/>
  <c r="M22" i="222"/>
  <c r="I22" i="222"/>
  <c r="F22" i="222" s="1"/>
  <c r="O21" i="222"/>
  <c r="M21" i="222"/>
  <c r="I21" i="222"/>
  <c r="F21" i="222" s="1"/>
  <c r="O20" i="222"/>
  <c r="M20" i="222"/>
  <c r="I20" i="222"/>
  <c r="F20" i="222" s="1"/>
  <c r="O19" i="222"/>
  <c r="M19" i="222"/>
  <c r="I19" i="222"/>
  <c r="F19" i="222" s="1"/>
  <c r="O18" i="222"/>
  <c r="M18" i="222"/>
  <c r="I18" i="222"/>
  <c r="F18" i="222" s="1"/>
  <c r="O17" i="222"/>
  <c r="M17" i="222"/>
  <c r="I17" i="222"/>
  <c r="F17" i="222" s="1"/>
  <c r="O16" i="222"/>
  <c r="M16" i="222"/>
  <c r="I16" i="222"/>
  <c r="F16" i="222" s="1"/>
  <c r="O15" i="222"/>
  <c r="M15" i="222"/>
  <c r="I15" i="222"/>
  <c r="H14" i="222"/>
  <c r="G14" i="222"/>
  <c r="O13" i="222"/>
  <c r="M13" i="222"/>
  <c r="K13" i="222"/>
  <c r="I13" i="222"/>
  <c r="F13" i="222" s="1"/>
  <c r="O12" i="222"/>
  <c r="M12" i="222"/>
  <c r="K12" i="222"/>
  <c r="I12" i="222"/>
  <c r="F12" i="222" s="1"/>
  <c r="O11" i="222"/>
  <c r="M11" i="222"/>
  <c r="K11" i="222"/>
  <c r="I11" i="222"/>
  <c r="F11" i="222" s="1"/>
  <c r="O10" i="222"/>
  <c r="M10" i="222"/>
  <c r="K10" i="222"/>
  <c r="I10" i="222"/>
  <c r="F10" i="222" s="1"/>
  <c r="O9" i="222"/>
  <c r="O5" i="222"/>
  <c r="O6" i="222"/>
  <c r="O7" i="222"/>
  <c r="O8" i="222"/>
  <c r="M9" i="222"/>
  <c r="K9" i="222"/>
  <c r="I9" i="222"/>
  <c r="F9" i="222" s="1"/>
  <c r="M8" i="222"/>
  <c r="K8" i="222"/>
  <c r="I8" i="222"/>
  <c r="F8" i="222" s="1"/>
  <c r="I5" i="222"/>
  <c r="F5" i="222" s="1"/>
  <c r="I6" i="222"/>
  <c r="I7" i="222"/>
  <c r="F7" i="222" s="1"/>
  <c r="M7" i="222"/>
  <c r="K7" i="222"/>
  <c r="M6" i="222"/>
  <c r="K6" i="222"/>
  <c r="M5" i="222"/>
  <c r="K5" i="222"/>
  <c r="K41" i="86"/>
  <c r="K40" i="86"/>
  <c r="K39" i="86"/>
  <c r="L44" i="110"/>
  <c r="L14" i="110"/>
  <c r="L34" i="110"/>
  <c r="L24" i="110"/>
  <c r="L45" i="23"/>
  <c r="L24" i="23"/>
  <c r="J24" i="23"/>
  <c r="L14" i="23"/>
  <c r="J45" i="23"/>
  <c r="J14" i="23"/>
  <c r="L44" i="216"/>
  <c r="L34" i="216"/>
  <c r="L24" i="216"/>
  <c r="L14" i="216"/>
  <c r="L42" i="218"/>
  <c r="L32" i="218"/>
  <c r="L22" i="218"/>
  <c r="L14" i="218"/>
  <c r="J34" i="208"/>
  <c r="L45" i="161"/>
  <c r="L35" i="161"/>
  <c r="L25" i="161"/>
  <c r="L15" i="161"/>
  <c r="J15" i="161"/>
  <c r="J45" i="161"/>
  <c r="J35" i="161"/>
  <c r="J25" i="161"/>
  <c r="N96" i="219"/>
  <c r="P96" i="219"/>
  <c r="N95" i="219"/>
  <c r="P95" i="219"/>
  <c r="N94" i="219"/>
  <c r="P94" i="219"/>
  <c r="L96" i="219"/>
  <c r="L95" i="219"/>
  <c r="L94" i="219"/>
  <c r="O42" i="212"/>
  <c r="M42" i="212"/>
  <c r="K42" i="212"/>
  <c r="I42" i="212"/>
  <c r="F42" i="212" s="1"/>
  <c r="O44" i="212"/>
  <c r="M44" i="212"/>
  <c r="K44" i="212"/>
  <c r="I44" i="212"/>
  <c r="F44" i="212" s="1"/>
  <c r="O43" i="212"/>
  <c r="M43" i="212"/>
  <c r="K43" i="212"/>
  <c r="I43" i="212"/>
  <c r="F43" i="212" s="1"/>
  <c r="P97" i="219"/>
  <c r="N97" i="219"/>
  <c r="L97" i="219"/>
  <c r="P90" i="219"/>
  <c r="N90" i="219"/>
  <c r="L90" i="219"/>
  <c r="P92" i="219"/>
  <c r="N92" i="219"/>
  <c r="L92" i="219"/>
  <c r="I5" i="221"/>
  <c r="F5" i="221" s="1"/>
  <c r="K5" i="221"/>
  <c r="M5" i="221"/>
  <c r="O5" i="221"/>
  <c r="I6" i="221"/>
  <c r="F6" i="221" s="1"/>
  <c r="K6" i="221"/>
  <c r="M6" i="221"/>
  <c r="O6" i="221"/>
  <c r="I7" i="221"/>
  <c r="F7" i="221" s="1"/>
  <c r="K7" i="221"/>
  <c r="M7" i="221"/>
  <c r="O7" i="221"/>
  <c r="I8" i="221"/>
  <c r="F8" i="221" s="1"/>
  <c r="K8" i="221"/>
  <c r="M8" i="221"/>
  <c r="O8" i="221"/>
  <c r="I9" i="221"/>
  <c r="F9" i="221" s="1"/>
  <c r="K9" i="221"/>
  <c r="M9" i="221"/>
  <c r="O9" i="221"/>
  <c r="I10" i="221"/>
  <c r="F10" i="221" s="1"/>
  <c r="K10" i="221"/>
  <c r="M10" i="221"/>
  <c r="O10" i="221"/>
  <c r="I11" i="221"/>
  <c r="F11" i="221" s="1"/>
  <c r="K11" i="221"/>
  <c r="M11" i="221"/>
  <c r="O11" i="221"/>
  <c r="I12" i="221"/>
  <c r="F12" i="221" s="1"/>
  <c r="K12" i="221"/>
  <c r="M12" i="221"/>
  <c r="O12" i="221"/>
  <c r="I13" i="221"/>
  <c r="F13" i="221" s="1"/>
  <c r="K13" i="221"/>
  <c r="M13" i="221"/>
  <c r="O13" i="221"/>
  <c r="E14" i="221"/>
  <c r="G14" i="221"/>
  <c r="H14" i="221"/>
  <c r="I15" i="221"/>
  <c r="F15" i="221" s="1"/>
  <c r="K15" i="221"/>
  <c r="M15" i="221"/>
  <c r="O15" i="221"/>
  <c r="I16" i="221"/>
  <c r="F16" i="221" s="1"/>
  <c r="K16" i="221"/>
  <c r="M16" i="221"/>
  <c r="O16" i="221"/>
  <c r="I17" i="221"/>
  <c r="F17" i="221" s="1"/>
  <c r="K17" i="221"/>
  <c r="M17" i="221"/>
  <c r="O17" i="221"/>
  <c r="I18" i="221"/>
  <c r="F18" i="221" s="1"/>
  <c r="K18" i="221"/>
  <c r="M18" i="221"/>
  <c r="O18" i="221"/>
  <c r="I19" i="221"/>
  <c r="F19" i="221" s="1"/>
  <c r="K19" i="221"/>
  <c r="M19" i="221"/>
  <c r="O19" i="221"/>
  <c r="I20" i="221"/>
  <c r="F20" i="221" s="1"/>
  <c r="K20" i="221"/>
  <c r="M20" i="221"/>
  <c r="O20" i="221"/>
  <c r="I21" i="221"/>
  <c r="F21" i="221" s="1"/>
  <c r="K21" i="221"/>
  <c r="M21" i="221"/>
  <c r="O21" i="221"/>
  <c r="I22" i="221"/>
  <c r="F22" i="221" s="1"/>
  <c r="K22" i="221"/>
  <c r="M22" i="221"/>
  <c r="O22" i="221"/>
  <c r="I23" i="221"/>
  <c r="F23" i="221" s="1"/>
  <c r="K23" i="221"/>
  <c r="M23" i="221"/>
  <c r="O23" i="221"/>
  <c r="E24" i="221"/>
  <c r="E34" i="221"/>
  <c r="G24" i="221"/>
  <c r="H24" i="221"/>
  <c r="O35" i="221"/>
  <c r="O36" i="221"/>
  <c r="O37" i="221"/>
  <c r="O38" i="221"/>
  <c r="O39" i="221"/>
  <c r="O40" i="221"/>
  <c r="O41" i="221"/>
  <c r="O42" i="221"/>
  <c r="O43" i="221"/>
  <c r="O25" i="221"/>
  <c r="O26" i="221"/>
  <c r="O27" i="221"/>
  <c r="O28" i="221"/>
  <c r="O29" i="221"/>
  <c r="O30" i="221"/>
  <c r="O31" i="221"/>
  <c r="O32" i="221"/>
  <c r="O33" i="221"/>
  <c r="M35" i="221"/>
  <c r="M36" i="221"/>
  <c r="M37" i="221"/>
  <c r="M38" i="221"/>
  <c r="M39" i="221"/>
  <c r="M40" i="221"/>
  <c r="M41" i="221"/>
  <c r="M42" i="221"/>
  <c r="M43" i="221"/>
  <c r="M25" i="221"/>
  <c r="M26" i="221"/>
  <c r="M27" i="221"/>
  <c r="M28" i="221"/>
  <c r="M29" i="221"/>
  <c r="M30" i="221"/>
  <c r="M31" i="221"/>
  <c r="M32" i="221"/>
  <c r="M33" i="221"/>
  <c r="K35" i="221"/>
  <c r="K36" i="221"/>
  <c r="K37" i="221"/>
  <c r="K38" i="221"/>
  <c r="K39" i="221"/>
  <c r="K40" i="221"/>
  <c r="K41" i="221"/>
  <c r="K42" i="221"/>
  <c r="K43" i="221"/>
  <c r="K25" i="221"/>
  <c r="K26" i="221"/>
  <c r="K27" i="221"/>
  <c r="K28" i="221"/>
  <c r="K29" i="221"/>
  <c r="K30" i="221"/>
  <c r="K31" i="221"/>
  <c r="K32" i="221"/>
  <c r="K33" i="221"/>
  <c r="I35" i="221"/>
  <c r="F35" i="221" s="1"/>
  <c r="I36" i="221"/>
  <c r="F36" i="221" s="1"/>
  <c r="I37" i="221"/>
  <c r="F37" i="221" s="1"/>
  <c r="I38" i="221"/>
  <c r="F38" i="221" s="1"/>
  <c r="I39" i="221"/>
  <c r="F39" i="221" s="1"/>
  <c r="I40" i="221"/>
  <c r="F40" i="221" s="1"/>
  <c r="I41" i="221"/>
  <c r="I42" i="221"/>
  <c r="F42" i="221" s="1"/>
  <c r="I43" i="221"/>
  <c r="F43" i="221" s="1"/>
  <c r="I25" i="221"/>
  <c r="F25" i="221" s="1"/>
  <c r="I26" i="221"/>
  <c r="F26" i="221" s="1"/>
  <c r="I27" i="221"/>
  <c r="F27" i="221" s="1"/>
  <c r="I28" i="221"/>
  <c r="F28" i="221" s="1"/>
  <c r="I29" i="221"/>
  <c r="F29" i="221" s="1"/>
  <c r="I30" i="221"/>
  <c r="F30" i="221" s="1"/>
  <c r="I31" i="221"/>
  <c r="F31" i="221" s="1"/>
  <c r="I32" i="221"/>
  <c r="F32" i="221" s="1"/>
  <c r="I33" i="221"/>
  <c r="F33" i="221" s="1"/>
  <c r="H44" i="221"/>
  <c r="H34" i="221"/>
  <c r="E44" i="221"/>
  <c r="G34" i="221"/>
  <c r="G44" i="221"/>
  <c r="O38" i="210"/>
  <c r="M38" i="210"/>
  <c r="K38" i="210"/>
  <c r="I38" i="210"/>
  <c r="O40" i="210"/>
  <c r="M40" i="210"/>
  <c r="K40" i="210"/>
  <c r="I40" i="210"/>
  <c r="O39" i="210"/>
  <c r="M39" i="210"/>
  <c r="K39" i="210"/>
  <c r="I39" i="210"/>
  <c r="I5" i="219"/>
  <c r="F5" i="219" s="1"/>
  <c r="L5" i="219"/>
  <c r="N5" i="219"/>
  <c r="P5" i="219"/>
  <c r="I12" i="219"/>
  <c r="F12" i="219" s="1"/>
  <c r="L12" i="219"/>
  <c r="N12" i="219"/>
  <c r="P12" i="219"/>
  <c r="I13" i="219"/>
  <c r="F13" i="219" s="1"/>
  <c r="L13" i="219"/>
  <c r="N13" i="219"/>
  <c r="P13" i="219"/>
  <c r="I14" i="219"/>
  <c r="F14" i="219" s="1"/>
  <c r="I15" i="219"/>
  <c r="F15" i="219" s="1"/>
  <c r="L14" i="219"/>
  <c r="N14" i="219"/>
  <c r="P14" i="219"/>
  <c r="L15" i="219"/>
  <c r="N15" i="219"/>
  <c r="P15" i="219"/>
  <c r="G28" i="219"/>
  <c r="H28" i="219"/>
  <c r="M28" i="219"/>
  <c r="I29" i="219"/>
  <c r="F29" i="219" s="1"/>
  <c r="L29" i="219"/>
  <c r="N29" i="219"/>
  <c r="N30" i="219"/>
  <c r="N31" i="219"/>
  <c r="N38" i="219"/>
  <c r="N39" i="219"/>
  <c r="N41" i="219"/>
  <c r="N47" i="219"/>
  <c r="N48" i="219"/>
  <c r="N49" i="219"/>
  <c r="N50" i="219"/>
  <c r="N51" i="219"/>
  <c r="P29" i="219"/>
  <c r="L30" i="219"/>
  <c r="P30" i="219"/>
  <c r="L31" i="219"/>
  <c r="L38" i="219"/>
  <c r="L39" i="219"/>
  <c r="L41" i="219"/>
  <c r="L47" i="219"/>
  <c r="P47" i="219"/>
  <c r="L48" i="219"/>
  <c r="P48" i="219"/>
  <c r="L49" i="219"/>
  <c r="P49" i="219"/>
  <c r="L50" i="219"/>
  <c r="P50" i="219"/>
  <c r="L51" i="219"/>
  <c r="P51" i="219"/>
  <c r="E54" i="219"/>
  <c r="H54" i="219"/>
  <c r="M54" i="219"/>
  <c r="I55" i="219"/>
  <c r="F55" i="219" s="1"/>
  <c r="L55" i="219"/>
  <c r="N55" i="219"/>
  <c r="P55" i="219"/>
  <c r="I56" i="219"/>
  <c r="F56" i="219" s="1"/>
  <c r="L56" i="219"/>
  <c r="N56" i="219"/>
  <c r="P56" i="219"/>
  <c r="I57" i="219"/>
  <c r="F57" i="219" s="1"/>
  <c r="L57" i="219"/>
  <c r="N57" i="219"/>
  <c r="P57" i="219"/>
  <c r="I58" i="219"/>
  <c r="F58" i="219" s="1"/>
  <c r="L58" i="219"/>
  <c r="N58" i="219"/>
  <c r="P58" i="219"/>
  <c r="I59" i="219"/>
  <c r="F59" i="219" s="1"/>
  <c r="L59" i="219"/>
  <c r="N59" i="219"/>
  <c r="P59" i="219"/>
  <c r="I60" i="219"/>
  <c r="F60" i="219" s="1"/>
  <c r="L60" i="219"/>
  <c r="N60" i="219"/>
  <c r="P60" i="219"/>
  <c r="I62" i="219"/>
  <c r="F62" i="219" s="1"/>
  <c r="L62" i="219"/>
  <c r="N62" i="219"/>
  <c r="P62" i="219"/>
  <c r="P64" i="219"/>
  <c r="P66" i="219"/>
  <c r="P67" i="219"/>
  <c r="P68" i="219"/>
  <c r="P69" i="219"/>
  <c r="P70" i="219"/>
  <c r="P71" i="219"/>
  <c r="P72" i="219"/>
  <c r="P73" i="219"/>
  <c r="P74" i="219"/>
  <c r="P76" i="219"/>
  <c r="P77" i="219"/>
  <c r="P78" i="219"/>
  <c r="P79" i="219"/>
  <c r="P80" i="219"/>
  <c r="P81" i="219"/>
  <c r="P82" i="219"/>
  <c r="P84" i="219"/>
  <c r="P87" i="219"/>
  <c r="P88" i="219"/>
  <c r="P89" i="219"/>
  <c r="P93" i="219"/>
  <c r="I64" i="219"/>
  <c r="F64" i="219" s="1"/>
  <c r="L64" i="219"/>
  <c r="N64" i="219"/>
  <c r="I66" i="219"/>
  <c r="F66" i="219" s="1"/>
  <c r="L66" i="219"/>
  <c r="N66" i="219"/>
  <c r="I67" i="219"/>
  <c r="F67" i="219" s="1"/>
  <c r="L67" i="219"/>
  <c r="N67" i="219"/>
  <c r="I68" i="219"/>
  <c r="F68" i="219" s="1"/>
  <c r="L68" i="219"/>
  <c r="N68" i="219"/>
  <c r="I69" i="219"/>
  <c r="F69" i="219" s="1"/>
  <c r="L69" i="219"/>
  <c r="N69" i="219"/>
  <c r="I70" i="219"/>
  <c r="F70" i="219" s="1"/>
  <c r="L70" i="219"/>
  <c r="N70" i="219"/>
  <c r="I71" i="219"/>
  <c r="F71" i="219" s="1"/>
  <c r="L71" i="219"/>
  <c r="N71" i="219"/>
  <c r="I72" i="219"/>
  <c r="F72" i="219" s="1"/>
  <c r="L72" i="219"/>
  <c r="N72" i="219"/>
  <c r="I73" i="219"/>
  <c r="F73" i="219" s="1"/>
  <c r="L73" i="219"/>
  <c r="N73" i="219"/>
  <c r="I74" i="219"/>
  <c r="F74" i="219" s="1"/>
  <c r="L74" i="219"/>
  <c r="N74" i="219"/>
  <c r="E75" i="219"/>
  <c r="G75" i="219"/>
  <c r="H75" i="219"/>
  <c r="M75" i="219"/>
  <c r="L76" i="219"/>
  <c r="N76" i="219"/>
  <c r="L77" i="219"/>
  <c r="N77" i="219"/>
  <c r="L78" i="219"/>
  <c r="N78" i="219"/>
  <c r="L79" i="219"/>
  <c r="N79" i="219"/>
  <c r="L80" i="219"/>
  <c r="N80" i="219"/>
  <c r="I81" i="219"/>
  <c r="F81" i="219" s="1"/>
  <c r="L81" i="219"/>
  <c r="N81" i="219"/>
  <c r="L82" i="219"/>
  <c r="N82" i="219"/>
  <c r="L84" i="219"/>
  <c r="N84" i="219"/>
  <c r="L85" i="219"/>
  <c r="N85" i="219"/>
  <c r="L86" i="219"/>
  <c r="N86" i="219"/>
  <c r="L87" i="219"/>
  <c r="N87" i="219"/>
  <c r="L88" i="219"/>
  <c r="N88" i="219"/>
  <c r="L89" i="219"/>
  <c r="N89" i="219"/>
  <c r="L91" i="219"/>
  <c r="N91" i="219"/>
  <c r="L93" i="219"/>
  <c r="N93" i="219"/>
  <c r="H98" i="219"/>
  <c r="M98" i="219"/>
  <c r="O33" i="218"/>
  <c r="O34" i="218"/>
  <c r="O35" i="218"/>
  <c r="O36" i="218"/>
  <c r="O37" i="218"/>
  <c r="O38" i="218"/>
  <c r="O39" i="218"/>
  <c r="O40" i="218"/>
  <c r="O41" i="218"/>
  <c r="O23" i="218"/>
  <c r="O24" i="218"/>
  <c r="O25" i="218"/>
  <c r="O26" i="218"/>
  <c r="O27" i="218"/>
  <c r="O28" i="218"/>
  <c r="O29" i="218"/>
  <c r="O30" i="218"/>
  <c r="O31" i="218"/>
  <c r="O15" i="218"/>
  <c r="O16" i="218"/>
  <c r="O17" i="218"/>
  <c r="O18" i="218"/>
  <c r="O19" i="218"/>
  <c r="O20" i="218"/>
  <c r="O21" i="218"/>
  <c r="O5" i="218"/>
  <c r="O6" i="218"/>
  <c r="O7" i="218"/>
  <c r="O8" i="218"/>
  <c r="O9" i="218"/>
  <c r="O10" i="218"/>
  <c r="O11" i="218"/>
  <c r="O12" i="218"/>
  <c r="O13" i="218"/>
  <c r="J42" i="218"/>
  <c r="J32" i="218"/>
  <c r="J22" i="218"/>
  <c r="J14" i="218"/>
  <c r="M33" i="218"/>
  <c r="M34" i="218"/>
  <c r="M35" i="218"/>
  <c r="M36" i="218"/>
  <c r="M37" i="218"/>
  <c r="M38" i="218"/>
  <c r="M39" i="218"/>
  <c r="M40" i="218"/>
  <c r="M41" i="218"/>
  <c r="M23" i="218"/>
  <c r="M24" i="218"/>
  <c r="M25" i="218"/>
  <c r="M26" i="218"/>
  <c r="M27" i="218"/>
  <c r="M28" i="218"/>
  <c r="M29" i="218"/>
  <c r="M30" i="218"/>
  <c r="M31" i="218"/>
  <c r="M15" i="218"/>
  <c r="M16" i="218"/>
  <c r="M17" i="218"/>
  <c r="M18" i="218"/>
  <c r="M19" i="218"/>
  <c r="M20" i="218"/>
  <c r="M21" i="218"/>
  <c r="M5" i="218"/>
  <c r="M6" i="218"/>
  <c r="M7" i="218"/>
  <c r="M8" i="218"/>
  <c r="M9" i="218"/>
  <c r="M10" i="218"/>
  <c r="M11" i="218"/>
  <c r="M12" i="218"/>
  <c r="M13" i="218"/>
  <c r="K33" i="218"/>
  <c r="K34" i="218"/>
  <c r="K35" i="218"/>
  <c r="K36" i="218"/>
  <c r="K37" i="218"/>
  <c r="K38" i="218"/>
  <c r="K39" i="218"/>
  <c r="K40" i="218"/>
  <c r="K41" i="218"/>
  <c r="K23" i="218"/>
  <c r="K24" i="218"/>
  <c r="K25" i="218"/>
  <c r="K26" i="218"/>
  <c r="K27" i="218"/>
  <c r="K28" i="218"/>
  <c r="K29" i="218"/>
  <c r="K30" i="218"/>
  <c r="K31" i="218"/>
  <c r="K15" i="218"/>
  <c r="K16" i="218"/>
  <c r="K17" i="218"/>
  <c r="K18" i="218"/>
  <c r="K19" i="218"/>
  <c r="K20" i="218"/>
  <c r="K21" i="218"/>
  <c r="K5" i="218"/>
  <c r="K6" i="218"/>
  <c r="K7" i="218"/>
  <c r="K8" i="218"/>
  <c r="K9" i="218"/>
  <c r="K10" i="218"/>
  <c r="K11" i="218"/>
  <c r="K12" i="218"/>
  <c r="K13" i="218"/>
  <c r="I33" i="218"/>
  <c r="F33" i="218" s="1"/>
  <c r="I34" i="218"/>
  <c r="F34" i="218" s="1"/>
  <c r="I35" i="218"/>
  <c r="F35" i="218" s="1"/>
  <c r="I36" i="218"/>
  <c r="F36" i="218" s="1"/>
  <c r="I37" i="218"/>
  <c r="F37" i="218" s="1"/>
  <c r="I38" i="218"/>
  <c r="F38" i="218" s="1"/>
  <c r="I39" i="218"/>
  <c r="F39" i="218" s="1"/>
  <c r="I40" i="218"/>
  <c r="F40" i="218" s="1"/>
  <c r="I41" i="218"/>
  <c r="F41" i="218" s="1"/>
  <c r="I23" i="218"/>
  <c r="F23" i="218" s="1"/>
  <c r="I24" i="218"/>
  <c r="F24" i="218" s="1"/>
  <c r="I25" i="218"/>
  <c r="F25" i="218" s="1"/>
  <c r="I26" i="218"/>
  <c r="I27" i="218"/>
  <c r="F27" i="218" s="1"/>
  <c r="I28" i="218"/>
  <c r="F28" i="218" s="1"/>
  <c r="I29" i="218"/>
  <c r="F29" i="218" s="1"/>
  <c r="I30" i="218"/>
  <c r="F30" i="218" s="1"/>
  <c r="I31" i="218"/>
  <c r="F31" i="218" s="1"/>
  <c r="I15" i="218"/>
  <c r="F15" i="218" s="1"/>
  <c r="I16" i="218"/>
  <c r="I17" i="218"/>
  <c r="F17" i="218" s="1"/>
  <c r="I18" i="218"/>
  <c r="F18" i="218" s="1"/>
  <c r="I19" i="218"/>
  <c r="F19" i="218" s="1"/>
  <c r="I20" i="218"/>
  <c r="F20" i="218" s="1"/>
  <c r="I21" i="218"/>
  <c r="F21" i="218" s="1"/>
  <c r="I5" i="218"/>
  <c r="F5" i="218" s="1"/>
  <c r="I6" i="218"/>
  <c r="F6" i="218" s="1"/>
  <c r="I7" i="218"/>
  <c r="F7" i="218" s="1"/>
  <c r="I8" i="218"/>
  <c r="F8" i="218" s="1"/>
  <c r="I9" i="218"/>
  <c r="F9" i="218" s="1"/>
  <c r="I10" i="218"/>
  <c r="F10" i="218" s="1"/>
  <c r="I11" i="218"/>
  <c r="F11" i="218" s="1"/>
  <c r="I12" i="218"/>
  <c r="F12" i="218" s="1"/>
  <c r="I13" i="218"/>
  <c r="F13" i="218" s="1"/>
  <c r="H42" i="218"/>
  <c r="H32" i="218"/>
  <c r="H22" i="218"/>
  <c r="H14" i="218"/>
  <c r="E42" i="218"/>
  <c r="G32" i="218"/>
  <c r="G22" i="218"/>
  <c r="G14" i="218"/>
  <c r="E32" i="218"/>
  <c r="E22" i="218"/>
  <c r="E14" i="218"/>
  <c r="G42" i="218"/>
  <c r="O35" i="216"/>
  <c r="O36" i="216"/>
  <c r="O37" i="216"/>
  <c r="O38" i="216"/>
  <c r="O39" i="216"/>
  <c r="O40" i="216"/>
  <c r="O41" i="216"/>
  <c r="O42" i="216"/>
  <c r="O43" i="216"/>
  <c r="O25" i="216"/>
  <c r="O26" i="216"/>
  <c r="O27" i="216"/>
  <c r="O28" i="216"/>
  <c r="O29" i="216"/>
  <c r="O30" i="216"/>
  <c r="O31" i="216"/>
  <c r="O32" i="216"/>
  <c r="O33" i="216"/>
  <c r="O15" i="216"/>
  <c r="O16" i="216"/>
  <c r="O17" i="216"/>
  <c r="O18" i="216"/>
  <c r="O19" i="216"/>
  <c r="O20" i="216"/>
  <c r="O21" i="216"/>
  <c r="O22" i="216"/>
  <c r="O23" i="216"/>
  <c r="O5" i="216"/>
  <c r="O6" i="216"/>
  <c r="O7" i="216"/>
  <c r="O8" i="216"/>
  <c r="O9" i="216"/>
  <c r="O10" i="216"/>
  <c r="O11" i="216"/>
  <c r="O12" i="216"/>
  <c r="O13" i="216"/>
  <c r="J44" i="216"/>
  <c r="J34" i="216"/>
  <c r="J24" i="216"/>
  <c r="J14" i="216"/>
  <c r="M35" i="216"/>
  <c r="M36" i="216"/>
  <c r="M37" i="216"/>
  <c r="M38" i="216"/>
  <c r="M39" i="216"/>
  <c r="M40" i="216"/>
  <c r="M41" i="216"/>
  <c r="M42" i="216"/>
  <c r="M43" i="216"/>
  <c r="M25" i="216"/>
  <c r="M26" i="216"/>
  <c r="M27" i="216"/>
  <c r="M28" i="216"/>
  <c r="M29" i="216"/>
  <c r="M30" i="216"/>
  <c r="M31" i="216"/>
  <c r="M32" i="216"/>
  <c r="M33" i="216"/>
  <c r="M15" i="216"/>
  <c r="M16" i="216"/>
  <c r="M17" i="216"/>
  <c r="M18" i="216"/>
  <c r="M19" i="216"/>
  <c r="M20" i="216"/>
  <c r="M21" i="216"/>
  <c r="M22" i="216"/>
  <c r="M23" i="216"/>
  <c r="M5" i="216"/>
  <c r="M6" i="216"/>
  <c r="M7" i="216"/>
  <c r="M8" i="216"/>
  <c r="M9" i="216"/>
  <c r="M10" i="216"/>
  <c r="M11" i="216"/>
  <c r="M12" i="216"/>
  <c r="M13" i="216"/>
  <c r="K35" i="216"/>
  <c r="K36" i="216"/>
  <c r="K37" i="216"/>
  <c r="K38" i="216"/>
  <c r="K39" i="216"/>
  <c r="K40" i="216"/>
  <c r="K41" i="216"/>
  <c r="K42" i="216"/>
  <c r="K43" i="216"/>
  <c r="K25" i="216"/>
  <c r="K26" i="216"/>
  <c r="K27" i="216"/>
  <c r="K28" i="216"/>
  <c r="K29" i="216"/>
  <c r="K30" i="216"/>
  <c r="K31" i="216"/>
  <c r="K32" i="216"/>
  <c r="K33" i="216"/>
  <c r="K15" i="216"/>
  <c r="K16" i="216"/>
  <c r="K17" i="216"/>
  <c r="K18" i="216"/>
  <c r="K19" i="216"/>
  <c r="K20" i="216"/>
  <c r="K21" i="216"/>
  <c r="K22" i="216"/>
  <c r="K23" i="216"/>
  <c r="K5" i="216"/>
  <c r="K6" i="216"/>
  <c r="K7" i="216"/>
  <c r="K8" i="216"/>
  <c r="K9" i="216"/>
  <c r="K10" i="216"/>
  <c r="K11" i="216"/>
  <c r="K12" i="216"/>
  <c r="K13" i="216"/>
  <c r="I35" i="216"/>
  <c r="F35" i="216" s="1"/>
  <c r="I36" i="216"/>
  <c r="F36" i="216" s="1"/>
  <c r="I37" i="216"/>
  <c r="F37" i="216" s="1"/>
  <c r="I38" i="216"/>
  <c r="F38" i="216" s="1"/>
  <c r="I39" i="216"/>
  <c r="F39" i="216" s="1"/>
  <c r="I40" i="216"/>
  <c r="F40" i="216" s="1"/>
  <c r="I41" i="216"/>
  <c r="F41" i="216" s="1"/>
  <c r="I42" i="216"/>
  <c r="F42" i="216" s="1"/>
  <c r="I43" i="216"/>
  <c r="I25" i="216"/>
  <c r="F25" i="216" s="1"/>
  <c r="I26" i="216"/>
  <c r="F26" i="216" s="1"/>
  <c r="I27" i="216"/>
  <c r="F27" i="216" s="1"/>
  <c r="I28" i="216"/>
  <c r="F28" i="216" s="1"/>
  <c r="I29" i="216"/>
  <c r="F29" i="216" s="1"/>
  <c r="I30" i="216"/>
  <c r="F30" i="216" s="1"/>
  <c r="I31" i="216"/>
  <c r="F31" i="216" s="1"/>
  <c r="I32" i="216"/>
  <c r="F32" i="216" s="1"/>
  <c r="I33" i="216"/>
  <c r="F33" i="216" s="1"/>
  <c r="I15" i="216"/>
  <c r="F15" i="216" s="1"/>
  <c r="I16" i="216"/>
  <c r="F16" i="216" s="1"/>
  <c r="I17" i="216"/>
  <c r="F17" i="216" s="1"/>
  <c r="I18" i="216"/>
  <c r="F18" i="216" s="1"/>
  <c r="I19" i="216"/>
  <c r="F19" i="216" s="1"/>
  <c r="I20" i="216"/>
  <c r="F20" i="216" s="1"/>
  <c r="I21" i="216"/>
  <c r="F21" i="216" s="1"/>
  <c r="I22" i="216"/>
  <c r="F22" i="216" s="1"/>
  <c r="I23" i="216"/>
  <c r="F23" i="216" s="1"/>
  <c r="I5" i="216"/>
  <c r="F5" i="216" s="1"/>
  <c r="I6" i="216"/>
  <c r="F6" i="216" s="1"/>
  <c r="I7" i="216"/>
  <c r="F7" i="216" s="1"/>
  <c r="I8" i="216"/>
  <c r="I9" i="216"/>
  <c r="F9" i="216" s="1"/>
  <c r="I10" i="216"/>
  <c r="F10" i="216" s="1"/>
  <c r="I11" i="216"/>
  <c r="F11" i="216" s="1"/>
  <c r="I12" i="216"/>
  <c r="F12" i="216" s="1"/>
  <c r="I13" i="216"/>
  <c r="F13" i="216" s="1"/>
  <c r="H44" i="216"/>
  <c r="H34" i="216"/>
  <c r="H24" i="216"/>
  <c r="H14" i="216"/>
  <c r="E44" i="216"/>
  <c r="G34" i="216"/>
  <c r="G24" i="216"/>
  <c r="G14" i="216"/>
  <c r="E34" i="216"/>
  <c r="E24" i="216"/>
  <c r="E14" i="216"/>
  <c r="G44" i="216"/>
  <c r="O35" i="215"/>
  <c r="O36" i="215"/>
  <c r="O37" i="215"/>
  <c r="O38" i="215"/>
  <c r="O39" i="215"/>
  <c r="O40" i="215"/>
  <c r="O41" i="215"/>
  <c r="O42" i="215"/>
  <c r="O43" i="215"/>
  <c r="O25" i="215"/>
  <c r="O26" i="215"/>
  <c r="O27" i="215"/>
  <c r="O28" i="215"/>
  <c r="O29" i="215"/>
  <c r="O30" i="215"/>
  <c r="O31" i="215"/>
  <c r="O32" i="215"/>
  <c r="O33" i="215"/>
  <c r="O15" i="215"/>
  <c r="O16" i="215"/>
  <c r="O17" i="215"/>
  <c r="O18" i="215"/>
  <c r="O19" i="215"/>
  <c r="O20" i="215"/>
  <c r="O21" i="215"/>
  <c r="O22" i="215"/>
  <c r="O23" i="215"/>
  <c r="O5" i="215"/>
  <c r="O6" i="215"/>
  <c r="O7" i="215"/>
  <c r="O8" i="215"/>
  <c r="O9" i="215"/>
  <c r="O10" i="215"/>
  <c r="O11" i="215"/>
  <c r="O12" i="215"/>
  <c r="O13" i="215"/>
  <c r="L44" i="215"/>
  <c r="L34" i="215"/>
  <c r="L24" i="215"/>
  <c r="L14" i="215"/>
  <c r="J44" i="215"/>
  <c r="J34" i="215"/>
  <c r="J24" i="215"/>
  <c r="J14" i="215"/>
  <c r="M35" i="215"/>
  <c r="M36" i="215"/>
  <c r="M37" i="215"/>
  <c r="M38" i="215"/>
  <c r="M39" i="215"/>
  <c r="M40" i="215"/>
  <c r="M41" i="215"/>
  <c r="M42" i="215"/>
  <c r="M43" i="215"/>
  <c r="M25" i="215"/>
  <c r="M26" i="215"/>
  <c r="M27" i="215"/>
  <c r="M28" i="215"/>
  <c r="M29" i="215"/>
  <c r="M30" i="215"/>
  <c r="M31" i="215"/>
  <c r="M32" i="215"/>
  <c r="M33" i="215"/>
  <c r="M15" i="215"/>
  <c r="M16" i="215"/>
  <c r="M17" i="215"/>
  <c r="M18" i="215"/>
  <c r="M19" i="215"/>
  <c r="M20" i="215"/>
  <c r="M21" i="215"/>
  <c r="M22" i="215"/>
  <c r="M23" i="215"/>
  <c r="M5" i="215"/>
  <c r="M6" i="215"/>
  <c r="M7" i="215"/>
  <c r="M8" i="215"/>
  <c r="M9" i="215"/>
  <c r="M10" i="215"/>
  <c r="M11" i="215"/>
  <c r="M12" i="215"/>
  <c r="M13" i="215"/>
  <c r="K35" i="215"/>
  <c r="K36" i="215"/>
  <c r="K37" i="215"/>
  <c r="K38" i="215"/>
  <c r="K39" i="215"/>
  <c r="K40" i="215"/>
  <c r="K41" i="215"/>
  <c r="K42" i="215"/>
  <c r="K43" i="215"/>
  <c r="K25" i="215"/>
  <c r="K26" i="215"/>
  <c r="K27" i="215"/>
  <c r="K28" i="215"/>
  <c r="K29" i="215"/>
  <c r="K30" i="215"/>
  <c r="K31" i="215"/>
  <c r="K32" i="215"/>
  <c r="K33" i="215"/>
  <c r="K15" i="215"/>
  <c r="K16" i="215"/>
  <c r="K17" i="215"/>
  <c r="K18" i="215"/>
  <c r="K19" i="215"/>
  <c r="K20" i="215"/>
  <c r="K21" i="215"/>
  <c r="K22" i="215"/>
  <c r="K23" i="215"/>
  <c r="K5" i="215"/>
  <c r="K6" i="215"/>
  <c r="K7" i="215"/>
  <c r="K8" i="215"/>
  <c r="K9" i="215"/>
  <c r="K10" i="215"/>
  <c r="K11" i="215"/>
  <c r="K12" i="215"/>
  <c r="K13" i="215"/>
  <c r="I35" i="215"/>
  <c r="F35" i="215" s="1"/>
  <c r="I36" i="215"/>
  <c r="F36" i="215" s="1"/>
  <c r="I37" i="215"/>
  <c r="F37" i="215" s="1"/>
  <c r="I38" i="215"/>
  <c r="F38" i="215" s="1"/>
  <c r="I39" i="215"/>
  <c r="F39" i="215" s="1"/>
  <c r="I40" i="215"/>
  <c r="F40" i="215" s="1"/>
  <c r="I41" i="215"/>
  <c r="F41" i="215" s="1"/>
  <c r="I42" i="215"/>
  <c r="F42" i="215" s="1"/>
  <c r="I43" i="215"/>
  <c r="F43" i="215" s="1"/>
  <c r="I25" i="215"/>
  <c r="F25" i="215" s="1"/>
  <c r="I26" i="215"/>
  <c r="F26" i="215" s="1"/>
  <c r="I27" i="215"/>
  <c r="F27" i="215" s="1"/>
  <c r="I28" i="215"/>
  <c r="F28" i="215" s="1"/>
  <c r="I29" i="215"/>
  <c r="F29" i="215" s="1"/>
  <c r="I30" i="215"/>
  <c r="F30" i="215" s="1"/>
  <c r="I31" i="215"/>
  <c r="F31" i="215" s="1"/>
  <c r="I32" i="215"/>
  <c r="F32" i="215" s="1"/>
  <c r="I33" i="215"/>
  <c r="F33" i="215" s="1"/>
  <c r="I15" i="215"/>
  <c r="F15" i="215" s="1"/>
  <c r="I16" i="215"/>
  <c r="F16" i="215" s="1"/>
  <c r="I17" i="215"/>
  <c r="F17" i="215" s="1"/>
  <c r="I18" i="215"/>
  <c r="I19" i="215"/>
  <c r="F19" i="215" s="1"/>
  <c r="I20" i="215"/>
  <c r="F20" i="215" s="1"/>
  <c r="I21" i="215"/>
  <c r="F21" i="215" s="1"/>
  <c r="I22" i="215"/>
  <c r="F22" i="215" s="1"/>
  <c r="I23" i="215"/>
  <c r="F23" i="215" s="1"/>
  <c r="I5" i="215"/>
  <c r="F5" i="215" s="1"/>
  <c r="I6" i="215"/>
  <c r="F6" i="215" s="1"/>
  <c r="I7" i="215"/>
  <c r="F7" i="215" s="1"/>
  <c r="I8" i="215"/>
  <c r="F8" i="215" s="1"/>
  <c r="I9" i="215"/>
  <c r="F9" i="215" s="1"/>
  <c r="I10" i="215"/>
  <c r="F10" i="215" s="1"/>
  <c r="I11" i="215"/>
  <c r="F11" i="215" s="1"/>
  <c r="I12" i="215"/>
  <c r="F12" i="215" s="1"/>
  <c r="I13" i="215"/>
  <c r="F13" i="215" s="1"/>
  <c r="H44" i="215"/>
  <c r="H34" i="215"/>
  <c r="H24" i="215"/>
  <c r="H14" i="215"/>
  <c r="E44" i="215"/>
  <c r="G34" i="215"/>
  <c r="G24" i="215"/>
  <c r="G14" i="215"/>
  <c r="E34" i="215"/>
  <c r="E24" i="215"/>
  <c r="E14" i="215"/>
  <c r="G44" i="215"/>
  <c r="L50" i="196"/>
  <c r="L40" i="196"/>
  <c r="L30" i="196"/>
  <c r="L17" i="196"/>
  <c r="J30" i="196"/>
  <c r="J50" i="196"/>
  <c r="J40" i="196"/>
  <c r="J17" i="196"/>
  <c r="L24" i="43"/>
  <c r="L44" i="43"/>
  <c r="L34" i="43"/>
  <c r="L14" i="43"/>
  <c r="J34" i="43"/>
  <c r="J44" i="43"/>
  <c r="J24" i="43"/>
  <c r="J14" i="43"/>
  <c r="O10" i="48"/>
  <c r="M10" i="48"/>
  <c r="K10" i="48"/>
  <c r="I10" i="48"/>
  <c r="F10" i="48" s="1"/>
  <c r="L14" i="70"/>
  <c r="J14" i="70"/>
  <c r="L44" i="70"/>
  <c r="L34" i="70"/>
  <c r="J34" i="70"/>
  <c r="L24" i="70"/>
  <c r="J44" i="70"/>
  <c r="J24" i="70"/>
  <c r="J14" i="78"/>
  <c r="L14" i="78"/>
  <c r="L44" i="78"/>
  <c r="J44" i="78"/>
  <c r="L34" i="78"/>
  <c r="L24" i="78"/>
  <c r="L13" i="66"/>
  <c r="J13" i="66"/>
  <c r="L43" i="66"/>
  <c r="L33" i="66"/>
  <c r="L23" i="66"/>
  <c r="J23" i="66"/>
  <c r="J43" i="66"/>
  <c r="J33" i="66"/>
  <c r="J14" i="125"/>
  <c r="J26" i="125"/>
  <c r="N26" i="125" s="1"/>
  <c r="J36" i="125"/>
  <c r="L36" i="125"/>
  <c r="J46" i="125"/>
  <c r="L14" i="125"/>
  <c r="J14" i="40"/>
  <c r="J33" i="40"/>
  <c r="L14" i="40"/>
  <c r="J14" i="110"/>
  <c r="J44" i="110"/>
  <c r="J34" i="110"/>
  <c r="L42" i="210"/>
  <c r="J42" i="210"/>
  <c r="H42" i="210"/>
  <c r="G42" i="210"/>
  <c r="E42" i="210"/>
  <c r="O41" i="210"/>
  <c r="M41" i="210"/>
  <c r="K41" i="210"/>
  <c r="I41" i="210"/>
  <c r="F41" i="210" s="1"/>
  <c r="O37" i="210"/>
  <c r="M37" i="210"/>
  <c r="K37" i="210"/>
  <c r="I37" i="210"/>
  <c r="O36" i="210"/>
  <c r="M36" i="210"/>
  <c r="K36" i="210"/>
  <c r="I36" i="210"/>
  <c r="O35" i="210"/>
  <c r="M35" i="210"/>
  <c r="K35" i="210"/>
  <c r="I35" i="210"/>
  <c r="O34" i="210"/>
  <c r="M34" i="210"/>
  <c r="K34" i="210"/>
  <c r="I34" i="210"/>
  <c r="L33" i="210"/>
  <c r="L23" i="210"/>
  <c r="L13" i="210"/>
  <c r="J33" i="210"/>
  <c r="H33" i="210"/>
  <c r="H23" i="210"/>
  <c r="H13" i="210"/>
  <c r="G33" i="210"/>
  <c r="E33" i="210"/>
  <c r="O32" i="210"/>
  <c r="M32" i="210"/>
  <c r="K32" i="210"/>
  <c r="I32" i="210"/>
  <c r="F32" i="210" s="1"/>
  <c r="O31" i="210"/>
  <c r="M31" i="210"/>
  <c r="K31" i="210"/>
  <c r="I31" i="210"/>
  <c r="F31" i="210" s="1"/>
  <c r="O30" i="210"/>
  <c r="M30" i="210"/>
  <c r="K30" i="210"/>
  <c r="O29" i="210"/>
  <c r="M29" i="210"/>
  <c r="K29" i="210"/>
  <c r="K24" i="210"/>
  <c r="K25" i="210"/>
  <c r="K26" i="210"/>
  <c r="K27" i="210"/>
  <c r="K28" i="210"/>
  <c r="K14" i="210"/>
  <c r="K15" i="210"/>
  <c r="K16" i="210"/>
  <c r="K17" i="210"/>
  <c r="K18" i="210"/>
  <c r="K19" i="210"/>
  <c r="K20" i="210"/>
  <c r="K21" i="210"/>
  <c r="K22" i="210"/>
  <c r="K5" i="210"/>
  <c r="K6" i="210"/>
  <c r="K7" i="210"/>
  <c r="K8" i="210"/>
  <c r="K9" i="210"/>
  <c r="K10" i="210"/>
  <c r="K11" i="210"/>
  <c r="K12" i="210"/>
  <c r="I29" i="210"/>
  <c r="F29" i="210" s="1"/>
  <c r="O28" i="210"/>
  <c r="M28" i="210"/>
  <c r="I28" i="210"/>
  <c r="F28" i="210" s="1"/>
  <c r="O27" i="210"/>
  <c r="M27" i="210"/>
  <c r="M24" i="210"/>
  <c r="M25" i="210"/>
  <c r="M26" i="210"/>
  <c r="I27" i="210"/>
  <c r="F27" i="210" s="1"/>
  <c r="O26" i="210"/>
  <c r="I26" i="210"/>
  <c r="F26" i="210" s="1"/>
  <c r="O25" i="210"/>
  <c r="I25" i="210"/>
  <c r="F25" i="210" s="1"/>
  <c r="O24" i="210"/>
  <c r="I24" i="210"/>
  <c r="F24" i="210" s="1"/>
  <c r="J23" i="210"/>
  <c r="G23" i="210"/>
  <c r="G13" i="210"/>
  <c r="E23" i="210"/>
  <c r="O22" i="210"/>
  <c r="M22" i="210"/>
  <c r="I22" i="210"/>
  <c r="F22" i="210" s="1"/>
  <c r="O21" i="210"/>
  <c r="M21" i="210"/>
  <c r="I21" i="210"/>
  <c r="F21" i="210" s="1"/>
  <c r="O20" i="210"/>
  <c r="M20" i="210"/>
  <c r="I20" i="210"/>
  <c r="F20" i="210" s="1"/>
  <c r="O19" i="210"/>
  <c r="M19" i="210"/>
  <c r="I19" i="210"/>
  <c r="F19" i="210" s="1"/>
  <c r="O18" i="210"/>
  <c r="O14" i="210"/>
  <c r="O15" i="210"/>
  <c r="O16" i="210"/>
  <c r="O17" i="210"/>
  <c r="M18" i="210"/>
  <c r="I18" i="210"/>
  <c r="F18" i="210" s="1"/>
  <c r="M17" i="210"/>
  <c r="I17" i="210"/>
  <c r="M16" i="210"/>
  <c r="I16" i="210"/>
  <c r="M15" i="210"/>
  <c r="I15" i="210"/>
  <c r="M14" i="210"/>
  <c r="I14" i="210"/>
  <c r="I5" i="210"/>
  <c r="F5" i="210" s="1"/>
  <c r="I6" i="210"/>
  <c r="F6" i="210" s="1"/>
  <c r="I7" i="210"/>
  <c r="F7" i="210" s="1"/>
  <c r="I8" i="210"/>
  <c r="F8" i="210" s="1"/>
  <c r="I9" i="210"/>
  <c r="F9" i="210" s="1"/>
  <c r="I10" i="210"/>
  <c r="F10" i="210" s="1"/>
  <c r="I11" i="210"/>
  <c r="F11" i="210" s="1"/>
  <c r="I12" i="210"/>
  <c r="F12" i="210" s="1"/>
  <c r="J13" i="210"/>
  <c r="E13" i="210"/>
  <c r="O12" i="210"/>
  <c r="M12" i="210"/>
  <c r="O11" i="210"/>
  <c r="M11" i="210"/>
  <c r="O10" i="210"/>
  <c r="M10" i="210"/>
  <c r="O9" i="210"/>
  <c r="M9" i="210"/>
  <c r="O8" i="210"/>
  <c r="M8" i="210"/>
  <c r="O7" i="210"/>
  <c r="M7" i="210"/>
  <c r="O6" i="210"/>
  <c r="O5" i="210"/>
  <c r="M6" i="210"/>
  <c r="M5" i="210"/>
  <c r="L44" i="61"/>
  <c r="J44" i="61"/>
  <c r="H44" i="61"/>
  <c r="G44" i="61"/>
  <c r="E44" i="61"/>
  <c r="O43" i="61"/>
  <c r="M43" i="61"/>
  <c r="K43" i="61"/>
  <c r="I43" i="61"/>
  <c r="F43" i="61" s="1"/>
  <c r="O42" i="61"/>
  <c r="M42" i="61"/>
  <c r="K42" i="61"/>
  <c r="K35" i="61"/>
  <c r="K36" i="61"/>
  <c r="K37" i="61"/>
  <c r="K38" i="61"/>
  <c r="K39" i="61"/>
  <c r="K40" i="61"/>
  <c r="K41" i="61"/>
  <c r="I42" i="61"/>
  <c r="F42" i="61" s="1"/>
  <c r="O41" i="61"/>
  <c r="M41" i="61"/>
  <c r="I41" i="61"/>
  <c r="F41" i="61" s="1"/>
  <c r="O40" i="61"/>
  <c r="M40" i="61"/>
  <c r="I40" i="61"/>
  <c r="F40" i="61" s="1"/>
  <c r="O39" i="61"/>
  <c r="M39" i="61"/>
  <c r="I39" i="61"/>
  <c r="F39" i="61" s="1"/>
  <c r="O38" i="61"/>
  <c r="M38" i="61"/>
  <c r="I38" i="61"/>
  <c r="F38" i="61" s="1"/>
  <c r="O37" i="61"/>
  <c r="O35" i="61"/>
  <c r="O36" i="61"/>
  <c r="M37" i="61"/>
  <c r="I37" i="61"/>
  <c r="F37" i="61" s="1"/>
  <c r="M36" i="61"/>
  <c r="I36" i="61"/>
  <c r="F36" i="61" s="1"/>
  <c r="M35" i="61"/>
  <c r="I35" i="61"/>
  <c r="F35" i="61" s="1"/>
  <c r="L34" i="61"/>
  <c r="J34" i="61"/>
  <c r="H34" i="61"/>
  <c r="H24" i="61"/>
  <c r="H14" i="61"/>
  <c r="G34" i="61"/>
  <c r="E34" i="61"/>
  <c r="O33" i="61"/>
  <c r="M33" i="61"/>
  <c r="K33" i="61"/>
  <c r="I33" i="61"/>
  <c r="F33" i="61" s="1"/>
  <c r="O32" i="61"/>
  <c r="M32" i="61"/>
  <c r="K32" i="61"/>
  <c r="K25" i="61"/>
  <c r="K26" i="61"/>
  <c r="K27" i="61"/>
  <c r="K28" i="61"/>
  <c r="K29" i="61"/>
  <c r="K30" i="61"/>
  <c r="K31" i="61"/>
  <c r="I32" i="61"/>
  <c r="F32" i="61" s="1"/>
  <c r="O31" i="61"/>
  <c r="M31" i="61"/>
  <c r="I31" i="61"/>
  <c r="F31" i="61" s="1"/>
  <c r="O30" i="61"/>
  <c r="M30" i="61"/>
  <c r="I30" i="61"/>
  <c r="F30" i="61" s="1"/>
  <c r="O29" i="61"/>
  <c r="O25" i="61"/>
  <c r="O26" i="61"/>
  <c r="O27" i="61"/>
  <c r="O28" i="61"/>
  <c r="M29" i="61"/>
  <c r="M25" i="61"/>
  <c r="M26" i="61"/>
  <c r="M27" i="61"/>
  <c r="M28" i="61"/>
  <c r="M15" i="61"/>
  <c r="M16" i="61"/>
  <c r="M17" i="61"/>
  <c r="M18" i="61"/>
  <c r="M19" i="61"/>
  <c r="M20" i="61"/>
  <c r="M21" i="61"/>
  <c r="M22" i="61"/>
  <c r="M23" i="61"/>
  <c r="M5" i="61"/>
  <c r="M6" i="61"/>
  <c r="M7" i="61"/>
  <c r="M8" i="61"/>
  <c r="M9" i="61"/>
  <c r="M10" i="61"/>
  <c r="M11" i="61"/>
  <c r="M12" i="61"/>
  <c r="M13" i="61"/>
  <c r="I29" i="61"/>
  <c r="F29" i="61" s="1"/>
  <c r="I28" i="61"/>
  <c r="F28" i="61" s="1"/>
  <c r="I27" i="61"/>
  <c r="F27" i="61" s="1"/>
  <c r="I26" i="61"/>
  <c r="F26" i="61" s="1"/>
  <c r="I25" i="61"/>
  <c r="F25" i="61" s="1"/>
  <c r="L24" i="61"/>
  <c r="J24" i="61"/>
  <c r="G24" i="61"/>
  <c r="E24" i="61"/>
  <c r="O23" i="61"/>
  <c r="K23" i="61"/>
  <c r="I23" i="61"/>
  <c r="F23" i="61" s="1"/>
  <c r="O22" i="61"/>
  <c r="K22" i="61"/>
  <c r="I22" i="61"/>
  <c r="O21" i="61"/>
  <c r="O15" i="61"/>
  <c r="O16" i="61"/>
  <c r="O17" i="61"/>
  <c r="O18" i="61"/>
  <c r="O19" i="61"/>
  <c r="O20" i="61"/>
  <c r="K21" i="61"/>
  <c r="K20" i="61"/>
  <c r="I20" i="61"/>
  <c r="F20" i="61" s="1"/>
  <c r="K19" i="61"/>
  <c r="I19" i="61"/>
  <c r="F19" i="61" s="1"/>
  <c r="K18" i="61"/>
  <c r="I18" i="61"/>
  <c r="F18" i="61" s="1"/>
  <c r="K17" i="61"/>
  <c r="I17" i="61"/>
  <c r="F17" i="61" s="1"/>
  <c r="K16" i="61"/>
  <c r="I16" i="61"/>
  <c r="F16" i="61" s="1"/>
  <c r="K15" i="61"/>
  <c r="I15" i="61"/>
  <c r="F15" i="61" s="1"/>
  <c r="L14" i="61"/>
  <c r="J14" i="61"/>
  <c r="G14" i="61"/>
  <c r="E14" i="61"/>
  <c r="O13" i="61"/>
  <c r="K13" i="61"/>
  <c r="I13" i="61"/>
  <c r="F13" i="61" s="1"/>
  <c r="O12" i="61"/>
  <c r="K12" i="61"/>
  <c r="I12" i="61"/>
  <c r="F12" i="61" s="1"/>
  <c r="O11" i="61"/>
  <c r="K11" i="61"/>
  <c r="I11" i="61"/>
  <c r="F11" i="61" s="1"/>
  <c r="O10" i="61"/>
  <c r="K10" i="61"/>
  <c r="I10" i="61"/>
  <c r="F10" i="61" s="1"/>
  <c r="O9" i="61"/>
  <c r="K9" i="61"/>
  <c r="I9" i="61"/>
  <c r="F9" i="61" s="1"/>
  <c r="O8" i="61"/>
  <c r="K8" i="61"/>
  <c r="I8" i="61"/>
  <c r="F8" i="61" s="1"/>
  <c r="O7" i="61"/>
  <c r="K7" i="61"/>
  <c r="I7" i="61"/>
  <c r="F7" i="61" s="1"/>
  <c r="O6" i="61"/>
  <c r="K6" i="61"/>
  <c r="I6" i="61"/>
  <c r="F6" i="61" s="1"/>
  <c r="O5" i="61"/>
  <c r="K5" i="61"/>
  <c r="I5" i="61"/>
  <c r="H50" i="196"/>
  <c r="G50" i="196"/>
  <c r="E50" i="196"/>
  <c r="G40" i="196"/>
  <c r="G30" i="196"/>
  <c r="G17" i="196"/>
  <c r="O49" i="196"/>
  <c r="M49" i="196"/>
  <c r="K49" i="196"/>
  <c r="I49" i="196"/>
  <c r="F49" i="196" s="1"/>
  <c r="O48" i="196"/>
  <c r="M48" i="196"/>
  <c r="K48" i="196"/>
  <c r="K41" i="196"/>
  <c r="K42" i="196"/>
  <c r="K43" i="196"/>
  <c r="K44" i="196"/>
  <c r="K45" i="196"/>
  <c r="K46" i="196"/>
  <c r="K47" i="196"/>
  <c r="K31" i="196"/>
  <c r="K32" i="196"/>
  <c r="K33" i="196"/>
  <c r="K34" i="196"/>
  <c r="K35" i="196"/>
  <c r="K36" i="196"/>
  <c r="K37" i="196"/>
  <c r="K38" i="196"/>
  <c r="K39" i="196"/>
  <c r="K18" i="196"/>
  <c r="K19" i="196"/>
  <c r="K20" i="196"/>
  <c r="K21" i="196"/>
  <c r="K22" i="196"/>
  <c r="K23" i="196"/>
  <c r="K24" i="196"/>
  <c r="K25" i="196"/>
  <c r="K26" i="196"/>
  <c r="K27" i="196"/>
  <c r="K28" i="196"/>
  <c r="K29" i="196"/>
  <c r="K5" i="196"/>
  <c r="K6" i="196"/>
  <c r="K7" i="196"/>
  <c r="K8" i="196"/>
  <c r="K9" i="196"/>
  <c r="K10" i="196"/>
  <c r="K11" i="196"/>
  <c r="K12" i="196"/>
  <c r="K13" i="196"/>
  <c r="K14" i="196"/>
  <c r="K15" i="196"/>
  <c r="K16" i="196"/>
  <c r="I48" i="196"/>
  <c r="F48" i="196" s="1"/>
  <c r="O47" i="196"/>
  <c r="M47" i="196"/>
  <c r="I47" i="196"/>
  <c r="F47" i="196" s="1"/>
  <c r="O46" i="196"/>
  <c r="M46" i="196"/>
  <c r="I46" i="196"/>
  <c r="F46" i="196" s="1"/>
  <c r="O45" i="196"/>
  <c r="M45" i="196"/>
  <c r="I45" i="196"/>
  <c r="F45" i="196" s="1"/>
  <c r="O44" i="196"/>
  <c r="M44" i="196"/>
  <c r="M41" i="196"/>
  <c r="M42" i="196"/>
  <c r="M43" i="196"/>
  <c r="I44" i="196"/>
  <c r="O43" i="196"/>
  <c r="I43" i="196"/>
  <c r="O42" i="196"/>
  <c r="I42" i="196"/>
  <c r="F42" i="196" s="1"/>
  <c r="O41" i="196"/>
  <c r="O31" i="196"/>
  <c r="O32" i="196"/>
  <c r="O33" i="196"/>
  <c r="O34" i="196"/>
  <c r="O35" i="196"/>
  <c r="O36" i="196"/>
  <c r="O37" i="196"/>
  <c r="O38" i="196"/>
  <c r="O39" i="196"/>
  <c r="O18" i="196"/>
  <c r="O19" i="196"/>
  <c r="O20" i="196"/>
  <c r="O21" i="196"/>
  <c r="O22" i="196"/>
  <c r="O23" i="196"/>
  <c r="O24" i="196"/>
  <c r="O25" i="196"/>
  <c r="O26" i="196"/>
  <c r="O27" i="196"/>
  <c r="O28" i="196"/>
  <c r="O29" i="196"/>
  <c r="O5" i="196"/>
  <c r="O6" i="196"/>
  <c r="O7" i="196"/>
  <c r="O8" i="196"/>
  <c r="O9" i="196"/>
  <c r="O10" i="196"/>
  <c r="O11" i="196"/>
  <c r="O12" i="196"/>
  <c r="O13" i="196"/>
  <c r="O14" i="196"/>
  <c r="O15" i="196"/>
  <c r="O16" i="196"/>
  <c r="I41" i="196"/>
  <c r="H40" i="196"/>
  <c r="E40" i="196"/>
  <c r="E30" i="196"/>
  <c r="E17" i="196"/>
  <c r="M39" i="196"/>
  <c r="I39" i="196"/>
  <c r="F39" i="196" s="1"/>
  <c r="M38" i="196"/>
  <c r="I38" i="196"/>
  <c r="F38" i="196" s="1"/>
  <c r="M37" i="196"/>
  <c r="I37" i="196"/>
  <c r="F37" i="196" s="1"/>
  <c r="M36" i="196"/>
  <c r="I36" i="196"/>
  <c r="F36" i="196" s="1"/>
  <c r="M35" i="196"/>
  <c r="I35" i="196"/>
  <c r="F35" i="196" s="1"/>
  <c r="M34" i="196"/>
  <c r="I34" i="196"/>
  <c r="F34" i="196" s="1"/>
  <c r="M33" i="196"/>
  <c r="I33" i="196"/>
  <c r="F33" i="196" s="1"/>
  <c r="M32" i="196"/>
  <c r="I32" i="196"/>
  <c r="F32" i="196" s="1"/>
  <c r="M31" i="196"/>
  <c r="I31" i="196"/>
  <c r="H30" i="196"/>
  <c r="M29" i="196"/>
  <c r="I29" i="196"/>
  <c r="F29" i="196" s="1"/>
  <c r="M28" i="196"/>
  <c r="I28" i="196"/>
  <c r="F28" i="196" s="1"/>
  <c r="M27" i="196"/>
  <c r="I27" i="196"/>
  <c r="F27" i="196" s="1"/>
  <c r="M26" i="196"/>
  <c r="I26" i="196"/>
  <c r="F26" i="196" s="1"/>
  <c r="M25" i="196"/>
  <c r="I25" i="196"/>
  <c r="F25" i="196" s="1"/>
  <c r="M24" i="196"/>
  <c r="M18" i="196"/>
  <c r="M19" i="196"/>
  <c r="M20" i="196"/>
  <c r="M21" i="196"/>
  <c r="M22" i="196"/>
  <c r="M23" i="196"/>
  <c r="I24" i="196"/>
  <c r="F24" i="196" s="1"/>
  <c r="I23" i="196"/>
  <c r="F23" i="196" s="1"/>
  <c r="I22" i="196"/>
  <c r="F22" i="196" s="1"/>
  <c r="I21" i="196"/>
  <c r="I20" i="196"/>
  <c r="F20" i="196" s="1"/>
  <c r="I19" i="196"/>
  <c r="F19" i="196" s="1"/>
  <c r="I18" i="196"/>
  <c r="F18" i="196" s="1"/>
  <c r="H17" i="196"/>
  <c r="M16" i="196"/>
  <c r="I16" i="196"/>
  <c r="F16" i="196" s="1"/>
  <c r="M15" i="196"/>
  <c r="I15" i="196"/>
  <c r="F15" i="196" s="1"/>
  <c r="M14" i="196"/>
  <c r="I14" i="196"/>
  <c r="F14" i="196" s="1"/>
  <c r="M13" i="196"/>
  <c r="I13" i="196"/>
  <c r="F13" i="196" s="1"/>
  <c r="M12" i="196"/>
  <c r="I12" i="196"/>
  <c r="F12" i="196" s="1"/>
  <c r="M11" i="196"/>
  <c r="I11" i="196"/>
  <c r="F11" i="196" s="1"/>
  <c r="M10" i="196"/>
  <c r="I10" i="196"/>
  <c r="F10" i="196" s="1"/>
  <c r="M9" i="196"/>
  <c r="I9" i="196"/>
  <c r="F9" i="196" s="1"/>
  <c r="M8" i="196"/>
  <c r="I8" i="196"/>
  <c r="F8" i="196" s="1"/>
  <c r="M7" i="196"/>
  <c r="M5" i="196"/>
  <c r="M6" i="196"/>
  <c r="I7" i="196"/>
  <c r="F7" i="196" s="1"/>
  <c r="I5" i="196"/>
  <c r="F5" i="196" s="1"/>
  <c r="I6" i="196"/>
  <c r="H44" i="43"/>
  <c r="G44" i="43"/>
  <c r="E44" i="43"/>
  <c r="G34" i="43"/>
  <c r="G24" i="43"/>
  <c r="G14" i="43"/>
  <c r="O43" i="43"/>
  <c r="M43" i="43"/>
  <c r="K43" i="43"/>
  <c r="I43" i="43"/>
  <c r="F43" i="43" s="1"/>
  <c r="O42" i="43"/>
  <c r="M42" i="43"/>
  <c r="K42" i="43"/>
  <c r="I42" i="43"/>
  <c r="F42" i="43" s="1"/>
  <c r="O41" i="43"/>
  <c r="M41" i="43"/>
  <c r="K41" i="43"/>
  <c r="I41" i="43"/>
  <c r="F41" i="43" s="1"/>
  <c r="O40" i="43"/>
  <c r="M40" i="43"/>
  <c r="K40" i="43"/>
  <c r="I40" i="43"/>
  <c r="F40" i="43" s="1"/>
  <c r="O39" i="43"/>
  <c r="M39" i="43"/>
  <c r="K39" i="43"/>
  <c r="I39" i="43"/>
  <c r="F39" i="43" s="1"/>
  <c r="O38" i="43"/>
  <c r="M38" i="43"/>
  <c r="K38" i="43"/>
  <c r="I38" i="43"/>
  <c r="F38" i="43" s="1"/>
  <c r="O37" i="43"/>
  <c r="M37" i="43"/>
  <c r="K37" i="43"/>
  <c r="I37" i="43"/>
  <c r="F37" i="43" s="1"/>
  <c r="O36" i="43"/>
  <c r="O35" i="43"/>
  <c r="M36" i="43"/>
  <c r="K36" i="43"/>
  <c r="I36" i="43"/>
  <c r="M35" i="43"/>
  <c r="K35" i="43"/>
  <c r="I35" i="43"/>
  <c r="F35" i="43" s="1"/>
  <c r="H34" i="43"/>
  <c r="E34" i="43"/>
  <c r="O33" i="43"/>
  <c r="M33" i="43"/>
  <c r="K33" i="43"/>
  <c r="I33" i="43"/>
  <c r="F33" i="43" s="1"/>
  <c r="O32" i="43"/>
  <c r="M32" i="43"/>
  <c r="K32" i="43"/>
  <c r="I32" i="43"/>
  <c r="F32" i="43" s="1"/>
  <c r="O31" i="43"/>
  <c r="M31" i="43"/>
  <c r="K31" i="43"/>
  <c r="K25" i="43"/>
  <c r="K26" i="43"/>
  <c r="K27" i="43"/>
  <c r="K28" i="43"/>
  <c r="K29" i="43"/>
  <c r="K30" i="43"/>
  <c r="I31" i="43"/>
  <c r="F31" i="43" s="1"/>
  <c r="O30" i="43"/>
  <c r="M30" i="43"/>
  <c r="I30" i="43"/>
  <c r="F30" i="43" s="1"/>
  <c r="O29" i="43"/>
  <c r="O25" i="43"/>
  <c r="O26" i="43"/>
  <c r="O27" i="43"/>
  <c r="O28" i="43"/>
  <c r="M29" i="43"/>
  <c r="I29" i="43"/>
  <c r="F29" i="43" s="1"/>
  <c r="M28" i="43"/>
  <c r="I28" i="43"/>
  <c r="F28" i="43" s="1"/>
  <c r="M27" i="43"/>
  <c r="I27" i="43"/>
  <c r="F27" i="43" s="1"/>
  <c r="M26" i="43"/>
  <c r="I26" i="43"/>
  <c r="F26" i="43" s="1"/>
  <c r="M25" i="43"/>
  <c r="I25" i="43"/>
  <c r="F25" i="43" s="1"/>
  <c r="H24" i="43"/>
  <c r="E24" i="43"/>
  <c r="O23" i="43"/>
  <c r="M23" i="43"/>
  <c r="K23" i="43"/>
  <c r="I23" i="43"/>
  <c r="F23" i="43" s="1"/>
  <c r="O22" i="43"/>
  <c r="M22" i="43"/>
  <c r="K22" i="43"/>
  <c r="I22" i="43"/>
  <c r="F22" i="43" s="1"/>
  <c r="K21" i="43"/>
  <c r="I21" i="43"/>
  <c r="F21" i="43" s="1"/>
  <c r="O20" i="43"/>
  <c r="M20" i="43"/>
  <c r="K20" i="43"/>
  <c r="I20" i="43"/>
  <c r="F20" i="43" s="1"/>
  <c r="O19" i="43"/>
  <c r="M19" i="43"/>
  <c r="K19" i="43"/>
  <c r="I19" i="43"/>
  <c r="F19" i="43" s="1"/>
  <c r="O18" i="43"/>
  <c r="M18" i="43"/>
  <c r="K18" i="43"/>
  <c r="I18" i="43"/>
  <c r="F18" i="43" s="1"/>
  <c r="O17" i="43"/>
  <c r="M17" i="43"/>
  <c r="K17" i="43"/>
  <c r="I17" i="43"/>
  <c r="F17" i="43" s="1"/>
  <c r="O16" i="43"/>
  <c r="O15" i="43"/>
  <c r="O21" i="43"/>
  <c r="M16" i="43"/>
  <c r="K16" i="43"/>
  <c r="K15" i="43"/>
  <c r="I16" i="43"/>
  <c r="F16" i="43" s="1"/>
  <c r="M15" i="43"/>
  <c r="I15" i="43"/>
  <c r="F15" i="43" s="1"/>
  <c r="H14" i="43"/>
  <c r="E14" i="43"/>
  <c r="O13" i="43"/>
  <c r="M13" i="43"/>
  <c r="K13" i="43"/>
  <c r="I13" i="43"/>
  <c r="F13" i="43" s="1"/>
  <c r="O12" i="43"/>
  <c r="M12" i="43"/>
  <c r="K12" i="43"/>
  <c r="K5" i="43"/>
  <c r="K6" i="43"/>
  <c r="K7" i="43"/>
  <c r="K8" i="43"/>
  <c r="K9" i="43"/>
  <c r="K10" i="43"/>
  <c r="K11" i="43"/>
  <c r="I12" i="43"/>
  <c r="F12" i="43" s="1"/>
  <c r="O11" i="43"/>
  <c r="M11" i="43"/>
  <c r="I11" i="43"/>
  <c r="F11" i="43" s="1"/>
  <c r="O10" i="43"/>
  <c r="M10" i="43"/>
  <c r="I10" i="43"/>
  <c r="F10" i="43" s="1"/>
  <c r="O9" i="43"/>
  <c r="M9" i="43"/>
  <c r="I9" i="43"/>
  <c r="F9" i="43" s="1"/>
  <c r="O8" i="43"/>
  <c r="M8" i="43"/>
  <c r="I8" i="43"/>
  <c r="F8" i="43" s="1"/>
  <c r="O7" i="43"/>
  <c r="M7" i="43"/>
  <c r="M5" i="43"/>
  <c r="M6" i="43"/>
  <c r="I7" i="43"/>
  <c r="F7" i="43" s="1"/>
  <c r="O6" i="43"/>
  <c r="I6" i="43"/>
  <c r="F6" i="43" s="1"/>
  <c r="O5" i="43"/>
  <c r="I5" i="43"/>
  <c r="F5" i="43" s="1"/>
  <c r="L44" i="20"/>
  <c r="H44" i="20"/>
  <c r="G44" i="20"/>
  <c r="E44" i="20"/>
  <c r="O43" i="20"/>
  <c r="M43" i="20"/>
  <c r="K43" i="20"/>
  <c r="I43" i="20"/>
  <c r="F43" i="20" s="1"/>
  <c r="O42" i="20"/>
  <c r="M42" i="20"/>
  <c r="K42" i="20"/>
  <c r="I42" i="20"/>
  <c r="F42" i="20" s="1"/>
  <c r="O41" i="20"/>
  <c r="M41" i="20"/>
  <c r="K41" i="20"/>
  <c r="I41" i="20"/>
  <c r="F41" i="20" s="1"/>
  <c r="O40" i="20"/>
  <c r="M40" i="20"/>
  <c r="K40" i="20"/>
  <c r="I40" i="20"/>
  <c r="F40" i="20" s="1"/>
  <c r="O39" i="20"/>
  <c r="M39" i="20"/>
  <c r="K39" i="20"/>
  <c r="I39" i="20"/>
  <c r="F39" i="20" s="1"/>
  <c r="O38" i="20"/>
  <c r="M38" i="20"/>
  <c r="K38" i="20"/>
  <c r="I38" i="20"/>
  <c r="F38" i="20" s="1"/>
  <c r="O37" i="20"/>
  <c r="M37" i="20"/>
  <c r="K37" i="20"/>
  <c r="I37" i="20"/>
  <c r="F37" i="20" s="1"/>
  <c r="O36" i="20"/>
  <c r="M36" i="20"/>
  <c r="M35" i="20"/>
  <c r="K36" i="20"/>
  <c r="K35" i="20"/>
  <c r="I36" i="20"/>
  <c r="F36" i="20" s="1"/>
  <c r="O35" i="20"/>
  <c r="I35" i="20"/>
  <c r="F35" i="20" s="1"/>
  <c r="L34" i="20"/>
  <c r="H34" i="20"/>
  <c r="H24" i="20"/>
  <c r="H14" i="20"/>
  <c r="G34" i="20"/>
  <c r="E34" i="20"/>
  <c r="O33" i="20"/>
  <c r="M33" i="20"/>
  <c r="M25" i="20"/>
  <c r="M26" i="20"/>
  <c r="M27" i="20"/>
  <c r="M28" i="20"/>
  <c r="M29" i="20"/>
  <c r="M30" i="20"/>
  <c r="M31" i="20"/>
  <c r="M32" i="20"/>
  <c r="K33" i="20"/>
  <c r="I33" i="20"/>
  <c r="F33" i="20" s="1"/>
  <c r="O32" i="20"/>
  <c r="O25" i="20"/>
  <c r="O26" i="20"/>
  <c r="O27" i="20"/>
  <c r="O28" i="20"/>
  <c r="O29" i="20"/>
  <c r="O30" i="20"/>
  <c r="O31" i="20"/>
  <c r="K32" i="20"/>
  <c r="I32" i="20"/>
  <c r="F32" i="20" s="1"/>
  <c r="K31" i="20"/>
  <c r="I31" i="20"/>
  <c r="F31" i="20" s="1"/>
  <c r="K30" i="20"/>
  <c r="I30" i="20"/>
  <c r="F30" i="20" s="1"/>
  <c r="K29" i="20"/>
  <c r="I29" i="20"/>
  <c r="F29" i="20" s="1"/>
  <c r="K28" i="20"/>
  <c r="I28" i="20"/>
  <c r="F28" i="20" s="1"/>
  <c r="K27" i="20"/>
  <c r="I27" i="20"/>
  <c r="K26" i="20"/>
  <c r="I26" i="20"/>
  <c r="F26" i="20" s="1"/>
  <c r="K25" i="20"/>
  <c r="I25" i="20"/>
  <c r="F25" i="20" s="1"/>
  <c r="G24" i="20"/>
  <c r="G14" i="20"/>
  <c r="E24" i="20"/>
  <c r="O23" i="20"/>
  <c r="M23" i="20"/>
  <c r="K23" i="20"/>
  <c r="I23" i="20"/>
  <c r="F23" i="20" s="1"/>
  <c r="O22" i="20"/>
  <c r="M22" i="20"/>
  <c r="M15" i="20"/>
  <c r="M16" i="20"/>
  <c r="M17" i="20"/>
  <c r="M18" i="20"/>
  <c r="M19" i="20"/>
  <c r="M20" i="20"/>
  <c r="M21" i="20"/>
  <c r="M5" i="20"/>
  <c r="M6" i="20"/>
  <c r="M7" i="20"/>
  <c r="M8" i="20"/>
  <c r="M9" i="20"/>
  <c r="M10" i="20"/>
  <c r="M11" i="20"/>
  <c r="M12" i="20"/>
  <c r="M13" i="20"/>
  <c r="K22" i="20"/>
  <c r="I22" i="20"/>
  <c r="F22" i="20" s="1"/>
  <c r="O21" i="20"/>
  <c r="K21" i="20"/>
  <c r="I21" i="20"/>
  <c r="F21" i="20" s="1"/>
  <c r="O20" i="20"/>
  <c r="K20" i="20"/>
  <c r="I20" i="20"/>
  <c r="F20" i="20" s="1"/>
  <c r="O19" i="20"/>
  <c r="K19" i="20"/>
  <c r="I19" i="20"/>
  <c r="F19" i="20" s="1"/>
  <c r="O18" i="20"/>
  <c r="K18" i="20"/>
  <c r="K15" i="20"/>
  <c r="K16" i="20"/>
  <c r="K17" i="20"/>
  <c r="I18" i="20"/>
  <c r="F18" i="20" s="1"/>
  <c r="O17" i="20"/>
  <c r="I17" i="20"/>
  <c r="I15" i="20"/>
  <c r="F15" i="20" s="1"/>
  <c r="I16" i="20"/>
  <c r="F16" i="20" s="1"/>
  <c r="O16" i="20"/>
  <c r="O15" i="20"/>
  <c r="L14" i="20"/>
  <c r="E14" i="20"/>
  <c r="O13" i="20"/>
  <c r="K13" i="20"/>
  <c r="I13" i="20"/>
  <c r="F13" i="20" s="1"/>
  <c r="O12" i="20"/>
  <c r="K12" i="20"/>
  <c r="K5" i="20"/>
  <c r="K6" i="20"/>
  <c r="K7" i="20"/>
  <c r="K8" i="20"/>
  <c r="K9" i="20"/>
  <c r="K10" i="20"/>
  <c r="K11" i="20"/>
  <c r="I12" i="20"/>
  <c r="F12" i="20" s="1"/>
  <c r="O11" i="20"/>
  <c r="I11" i="20"/>
  <c r="F11" i="20" s="1"/>
  <c r="O10" i="20"/>
  <c r="I10" i="20"/>
  <c r="F10" i="20" s="1"/>
  <c r="O9" i="20"/>
  <c r="I9" i="20"/>
  <c r="F9" i="20" s="1"/>
  <c r="O8" i="20"/>
  <c r="I8" i="20"/>
  <c r="F8" i="20" s="1"/>
  <c r="O7" i="20"/>
  <c r="O5" i="20"/>
  <c r="O6" i="20"/>
  <c r="I7" i="20"/>
  <c r="F7" i="20" s="1"/>
  <c r="I5" i="20"/>
  <c r="F5" i="20" s="1"/>
  <c r="I6" i="20"/>
  <c r="F6" i="20" s="1"/>
  <c r="H44" i="70"/>
  <c r="G44" i="70"/>
  <c r="E44" i="70"/>
  <c r="G34" i="70"/>
  <c r="G24" i="70"/>
  <c r="G14" i="70"/>
  <c r="O43" i="70"/>
  <c r="M43" i="70"/>
  <c r="K43" i="70"/>
  <c r="K35" i="70"/>
  <c r="K36" i="70"/>
  <c r="K37" i="70"/>
  <c r="K38" i="70"/>
  <c r="K39" i="70"/>
  <c r="K40" i="70"/>
  <c r="K41" i="70"/>
  <c r="K42" i="70"/>
  <c r="I43" i="70"/>
  <c r="F43" i="70" s="1"/>
  <c r="O42" i="70"/>
  <c r="M42" i="70"/>
  <c r="M35" i="70"/>
  <c r="M36" i="70"/>
  <c r="M37" i="70"/>
  <c r="M38" i="70"/>
  <c r="M39" i="70"/>
  <c r="M40" i="70"/>
  <c r="M41" i="70"/>
  <c r="I42" i="70"/>
  <c r="F42" i="70" s="1"/>
  <c r="O41" i="70"/>
  <c r="I41" i="70"/>
  <c r="F41" i="70" s="1"/>
  <c r="O40" i="70"/>
  <c r="I40" i="70"/>
  <c r="F40" i="70" s="1"/>
  <c r="O39" i="70"/>
  <c r="I39" i="70"/>
  <c r="F39" i="70" s="1"/>
  <c r="O38" i="70"/>
  <c r="I38" i="70"/>
  <c r="F38" i="70" s="1"/>
  <c r="O37" i="70"/>
  <c r="I37" i="70"/>
  <c r="F37" i="70" s="1"/>
  <c r="O36" i="70"/>
  <c r="O35" i="70"/>
  <c r="I36" i="70"/>
  <c r="F36" i="70" s="1"/>
  <c r="I35" i="70"/>
  <c r="F35" i="70" s="1"/>
  <c r="H34" i="70"/>
  <c r="H24" i="70"/>
  <c r="H14" i="70"/>
  <c r="E34" i="70"/>
  <c r="E24" i="70"/>
  <c r="E14" i="70"/>
  <c r="O33" i="70"/>
  <c r="M33" i="70"/>
  <c r="K33" i="70"/>
  <c r="I33" i="70"/>
  <c r="F33" i="70" s="1"/>
  <c r="O32" i="70"/>
  <c r="O25" i="70"/>
  <c r="O26" i="70"/>
  <c r="O27" i="70"/>
  <c r="O28" i="70"/>
  <c r="O29" i="70"/>
  <c r="O30" i="70"/>
  <c r="O31" i="70"/>
  <c r="O15" i="70"/>
  <c r="O16" i="70"/>
  <c r="O17" i="70"/>
  <c r="O18" i="70"/>
  <c r="O19" i="70"/>
  <c r="O20" i="70"/>
  <c r="O21" i="70"/>
  <c r="O22" i="70"/>
  <c r="O23" i="70"/>
  <c r="O5" i="70"/>
  <c r="O6" i="70"/>
  <c r="O7" i="70"/>
  <c r="O8" i="70"/>
  <c r="O9" i="70"/>
  <c r="O10" i="70"/>
  <c r="O11" i="70"/>
  <c r="O12" i="70"/>
  <c r="O13" i="70"/>
  <c r="M32" i="70"/>
  <c r="K32" i="70"/>
  <c r="I32" i="70"/>
  <c r="F32" i="70" s="1"/>
  <c r="M31" i="70"/>
  <c r="K31" i="70"/>
  <c r="I31" i="70"/>
  <c r="F31" i="70" s="1"/>
  <c r="M30" i="70"/>
  <c r="K30" i="70"/>
  <c r="I30" i="70"/>
  <c r="F30" i="70" s="1"/>
  <c r="M29" i="70"/>
  <c r="K29" i="70"/>
  <c r="I29" i="70"/>
  <c r="F29" i="70" s="1"/>
  <c r="M28" i="70"/>
  <c r="K28" i="70"/>
  <c r="I28" i="70"/>
  <c r="F28" i="70" s="1"/>
  <c r="M27" i="70"/>
  <c r="K27" i="70"/>
  <c r="I27" i="70"/>
  <c r="F27" i="70" s="1"/>
  <c r="M26" i="70"/>
  <c r="M25" i="70"/>
  <c r="K26" i="70"/>
  <c r="I26" i="70"/>
  <c r="F26" i="70" s="1"/>
  <c r="K25" i="70"/>
  <c r="I25" i="70"/>
  <c r="F25" i="70" s="1"/>
  <c r="M23" i="70"/>
  <c r="K23" i="70"/>
  <c r="I23" i="70"/>
  <c r="F23" i="70" s="1"/>
  <c r="M22" i="70"/>
  <c r="K22" i="70"/>
  <c r="I22" i="70"/>
  <c r="F22" i="70" s="1"/>
  <c r="M21" i="70"/>
  <c r="K21" i="70"/>
  <c r="I21" i="70"/>
  <c r="F21" i="70" s="1"/>
  <c r="M20" i="70"/>
  <c r="K20" i="70"/>
  <c r="I20" i="70"/>
  <c r="F20" i="70" s="1"/>
  <c r="M19" i="70"/>
  <c r="K19" i="70"/>
  <c r="I19" i="70"/>
  <c r="M18" i="70"/>
  <c r="K18" i="70"/>
  <c r="I18" i="70"/>
  <c r="F18" i="70" s="1"/>
  <c r="M17" i="70"/>
  <c r="K17" i="70"/>
  <c r="K15" i="70"/>
  <c r="K16" i="70"/>
  <c r="I17" i="70"/>
  <c r="F17" i="70" s="1"/>
  <c r="M16" i="70"/>
  <c r="I16" i="70"/>
  <c r="F16" i="70" s="1"/>
  <c r="I15" i="70"/>
  <c r="F15" i="70" s="1"/>
  <c r="M15" i="70"/>
  <c r="M13" i="70"/>
  <c r="K13" i="70"/>
  <c r="I13" i="70"/>
  <c r="F13" i="70" s="1"/>
  <c r="M12" i="70"/>
  <c r="K12" i="70"/>
  <c r="I12" i="70"/>
  <c r="F12" i="70" s="1"/>
  <c r="K11" i="70"/>
  <c r="I11" i="70"/>
  <c r="F11" i="70" s="1"/>
  <c r="M10" i="70"/>
  <c r="K10" i="70"/>
  <c r="I10" i="70"/>
  <c r="F10" i="70" s="1"/>
  <c r="M9" i="70"/>
  <c r="K9" i="70"/>
  <c r="I9" i="70"/>
  <c r="F9" i="70" s="1"/>
  <c r="M8" i="70"/>
  <c r="K8" i="70"/>
  <c r="I8" i="70"/>
  <c r="F8" i="70" s="1"/>
  <c r="M7" i="70"/>
  <c r="K7" i="70"/>
  <c r="I7" i="70"/>
  <c r="F7" i="70" s="1"/>
  <c r="M6" i="70"/>
  <c r="K6" i="70"/>
  <c r="I6" i="70"/>
  <c r="F6" i="70" s="1"/>
  <c r="M5" i="70"/>
  <c r="K5" i="70"/>
  <c r="I5" i="70"/>
  <c r="F5" i="70" s="1"/>
  <c r="H59" i="86"/>
  <c r="G59" i="86"/>
  <c r="E59" i="86"/>
  <c r="O58" i="86"/>
  <c r="M58" i="86"/>
  <c r="K58" i="86"/>
  <c r="I58" i="86"/>
  <c r="F58" i="86" s="1"/>
  <c r="O51" i="86"/>
  <c r="O36" i="86"/>
  <c r="O38" i="86"/>
  <c r="O39" i="86"/>
  <c r="O40" i="86"/>
  <c r="O41" i="86"/>
  <c r="O42" i="86"/>
  <c r="O43" i="86"/>
  <c r="M51" i="86"/>
  <c r="K51" i="86"/>
  <c r="I51" i="86"/>
  <c r="F51" i="86" s="1"/>
  <c r="M43" i="86"/>
  <c r="K43" i="86"/>
  <c r="I43" i="86"/>
  <c r="F43" i="86" s="1"/>
  <c r="M42" i="86"/>
  <c r="K42" i="86"/>
  <c r="I42" i="86"/>
  <c r="F42" i="86" s="1"/>
  <c r="M41" i="86"/>
  <c r="I41" i="86"/>
  <c r="F41" i="86" s="1"/>
  <c r="M40" i="86"/>
  <c r="I40" i="86"/>
  <c r="F40" i="86" s="1"/>
  <c r="M39" i="86"/>
  <c r="I39" i="86"/>
  <c r="F39" i="86" s="1"/>
  <c r="M38" i="86"/>
  <c r="K38" i="86"/>
  <c r="K36" i="86"/>
  <c r="K37" i="86"/>
  <c r="I38" i="86"/>
  <c r="F38" i="86" s="1"/>
  <c r="M37" i="86"/>
  <c r="I37" i="86"/>
  <c r="M36" i="86"/>
  <c r="H35" i="86"/>
  <c r="G35" i="86"/>
  <c r="O34" i="86"/>
  <c r="M34" i="86"/>
  <c r="K34" i="86"/>
  <c r="I34" i="86"/>
  <c r="F34" i="86" s="1"/>
  <c r="O33" i="86"/>
  <c r="M33" i="86"/>
  <c r="K33" i="86"/>
  <c r="I33" i="86"/>
  <c r="F33" i="86" s="1"/>
  <c r="O32" i="86"/>
  <c r="M32" i="86"/>
  <c r="K32" i="86"/>
  <c r="I32" i="86"/>
  <c r="F32" i="86" s="1"/>
  <c r="O31" i="86"/>
  <c r="M31" i="86"/>
  <c r="K31" i="86"/>
  <c r="I31" i="86"/>
  <c r="F31" i="86" s="1"/>
  <c r="O30" i="86"/>
  <c r="M30" i="86"/>
  <c r="K30" i="86"/>
  <c r="I30" i="86"/>
  <c r="F30" i="86" s="1"/>
  <c r="O29" i="86"/>
  <c r="O26" i="86"/>
  <c r="O27" i="86"/>
  <c r="O28" i="86"/>
  <c r="M29" i="86"/>
  <c r="K29" i="86"/>
  <c r="I29" i="86"/>
  <c r="F29" i="86" s="1"/>
  <c r="M28" i="86"/>
  <c r="K28" i="86"/>
  <c r="I28" i="86"/>
  <c r="F28" i="86" s="1"/>
  <c r="M27" i="86"/>
  <c r="K27" i="86"/>
  <c r="I27" i="86"/>
  <c r="F27" i="86" s="1"/>
  <c r="M26" i="86"/>
  <c r="K26" i="86"/>
  <c r="I26" i="86"/>
  <c r="F26" i="86" s="1"/>
  <c r="H25" i="86"/>
  <c r="H13" i="86"/>
  <c r="G25" i="86"/>
  <c r="O24" i="86"/>
  <c r="M24" i="86"/>
  <c r="K24" i="86"/>
  <c r="I24" i="86"/>
  <c r="F24" i="86" s="1"/>
  <c r="O23" i="86"/>
  <c r="M23" i="86"/>
  <c r="K23" i="86"/>
  <c r="I23" i="86"/>
  <c r="F23" i="86" s="1"/>
  <c r="K22" i="86"/>
  <c r="I22" i="86"/>
  <c r="F22" i="86" s="1"/>
  <c r="O21" i="86"/>
  <c r="M21" i="86"/>
  <c r="K21" i="86"/>
  <c r="I21" i="86"/>
  <c r="F21" i="86" s="1"/>
  <c r="O20" i="86"/>
  <c r="M20" i="86"/>
  <c r="K20" i="86"/>
  <c r="I20" i="86"/>
  <c r="F20" i="86" s="1"/>
  <c r="O19" i="86"/>
  <c r="M19" i="86"/>
  <c r="K19" i="86"/>
  <c r="I19" i="86"/>
  <c r="F19" i="86" s="1"/>
  <c r="O18" i="86"/>
  <c r="M18" i="86"/>
  <c r="K18" i="86"/>
  <c r="I18" i="86"/>
  <c r="F18" i="86" s="1"/>
  <c r="O17" i="86"/>
  <c r="O14" i="86"/>
  <c r="O15" i="86"/>
  <c r="O16" i="86"/>
  <c r="O22" i="86"/>
  <c r="M17" i="86"/>
  <c r="K17" i="86"/>
  <c r="I17" i="86"/>
  <c r="F17" i="86" s="1"/>
  <c r="M16" i="86"/>
  <c r="K16" i="86"/>
  <c r="K14" i="86"/>
  <c r="K15" i="86"/>
  <c r="I16" i="86"/>
  <c r="F16" i="86" s="1"/>
  <c r="M15" i="86"/>
  <c r="I15" i="86"/>
  <c r="F15" i="86" s="1"/>
  <c r="M14" i="86"/>
  <c r="M22" i="86"/>
  <c r="I14" i="86"/>
  <c r="F14" i="86" s="1"/>
  <c r="G13" i="86"/>
  <c r="K12" i="86"/>
  <c r="K5" i="86"/>
  <c r="K6" i="86"/>
  <c r="K7" i="86"/>
  <c r="K8" i="86"/>
  <c r="K9" i="86"/>
  <c r="K10" i="86"/>
  <c r="K11" i="86"/>
  <c r="I12" i="86"/>
  <c r="F12" i="86" s="1"/>
  <c r="O11" i="86"/>
  <c r="M11" i="86"/>
  <c r="I11" i="86"/>
  <c r="F11" i="86" s="1"/>
  <c r="O10" i="86"/>
  <c r="M10" i="86"/>
  <c r="I10" i="86"/>
  <c r="F10" i="86" s="1"/>
  <c r="O9" i="86"/>
  <c r="M9" i="86"/>
  <c r="I9" i="86"/>
  <c r="F9" i="86" s="1"/>
  <c r="O8" i="86"/>
  <c r="M8" i="86"/>
  <c r="I8" i="86"/>
  <c r="F8" i="86" s="1"/>
  <c r="O7" i="86"/>
  <c r="M7" i="86"/>
  <c r="I7" i="86"/>
  <c r="F7" i="86" s="1"/>
  <c r="O6" i="86"/>
  <c r="M6" i="86"/>
  <c r="I6" i="86"/>
  <c r="F6" i="86" s="1"/>
  <c r="O5" i="86"/>
  <c r="M5" i="86"/>
  <c r="I5" i="86"/>
  <c r="F5" i="86" s="1"/>
  <c r="J34" i="78"/>
  <c r="J24" i="78"/>
  <c r="H44" i="78"/>
  <c r="G44" i="78"/>
  <c r="E44" i="78"/>
  <c r="G34" i="78"/>
  <c r="G24" i="78"/>
  <c r="G14" i="78"/>
  <c r="O43" i="78"/>
  <c r="M43" i="78"/>
  <c r="K43" i="78"/>
  <c r="I43" i="78"/>
  <c r="F43" i="78" s="1"/>
  <c r="O42" i="78"/>
  <c r="M42" i="78"/>
  <c r="K42" i="78"/>
  <c r="I42" i="78"/>
  <c r="F42" i="78" s="1"/>
  <c r="O41" i="78"/>
  <c r="M41" i="78"/>
  <c r="K41" i="78"/>
  <c r="I41" i="78"/>
  <c r="F41" i="78" s="1"/>
  <c r="O40" i="78"/>
  <c r="M40" i="78"/>
  <c r="M35" i="78"/>
  <c r="M36" i="78"/>
  <c r="M37" i="78"/>
  <c r="M38" i="78"/>
  <c r="M39" i="78"/>
  <c r="K40" i="78"/>
  <c r="I40" i="78"/>
  <c r="F40" i="78" s="1"/>
  <c r="O39" i="78"/>
  <c r="O35" i="78"/>
  <c r="O36" i="78"/>
  <c r="O37" i="78"/>
  <c r="O38" i="78"/>
  <c r="K39" i="78"/>
  <c r="I39" i="78"/>
  <c r="F39" i="78" s="1"/>
  <c r="K38" i="78"/>
  <c r="I38" i="78"/>
  <c r="F38" i="78" s="1"/>
  <c r="K37" i="78"/>
  <c r="I37" i="78"/>
  <c r="F37" i="78" s="1"/>
  <c r="K36" i="78"/>
  <c r="I36" i="78"/>
  <c r="F36" i="78" s="1"/>
  <c r="K35" i="78"/>
  <c r="I35" i="78"/>
  <c r="F35" i="78" s="1"/>
  <c r="H34" i="78"/>
  <c r="E34" i="78"/>
  <c r="E24" i="78"/>
  <c r="O33" i="78"/>
  <c r="M33" i="78"/>
  <c r="K33" i="78"/>
  <c r="I33" i="78"/>
  <c r="F33" i="78" s="1"/>
  <c r="O32" i="78"/>
  <c r="M32" i="78"/>
  <c r="K32" i="78"/>
  <c r="I32" i="78"/>
  <c r="F32" i="78" s="1"/>
  <c r="O31" i="78"/>
  <c r="M31" i="78"/>
  <c r="K31" i="78"/>
  <c r="I31" i="78"/>
  <c r="F31" i="78" s="1"/>
  <c r="O30" i="78"/>
  <c r="M30" i="78"/>
  <c r="K30" i="78"/>
  <c r="I30" i="78"/>
  <c r="F30" i="78" s="1"/>
  <c r="O29" i="78"/>
  <c r="M29" i="78"/>
  <c r="K29" i="78"/>
  <c r="K25" i="78"/>
  <c r="K26" i="78"/>
  <c r="K27" i="78"/>
  <c r="K28" i="78"/>
  <c r="I29" i="78"/>
  <c r="F29" i="78" s="1"/>
  <c r="O28" i="78"/>
  <c r="M28" i="78"/>
  <c r="I28" i="78"/>
  <c r="F28" i="78" s="1"/>
  <c r="O27" i="78"/>
  <c r="M27" i="78"/>
  <c r="I27" i="78"/>
  <c r="F27" i="78" s="1"/>
  <c r="O26" i="78"/>
  <c r="M26" i="78"/>
  <c r="I26" i="78"/>
  <c r="F26" i="78" s="1"/>
  <c r="O25" i="78"/>
  <c r="M25" i="78"/>
  <c r="I25" i="78"/>
  <c r="F25" i="78" s="1"/>
  <c r="H24" i="78"/>
  <c r="O23" i="78"/>
  <c r="M23" i="78"/>
  <c r="K23" i="78"/>
  <c r="I23" i="78"/>
  <c r="F23" i="78" s="1"/>
  <c r="O22" i="78"/>
  <c r="M22" i="78"/>
  <c r="K22" i="78"/>
  <c r="I22" i="78"/>
  <c r="F22" i="78" s="1"/>
  <c r="I15" i="78"/>
  <c r="F15" i="78" s="1"/>
  <c r="I16" i="78"/>
  <c r="F16" i="78" s="1"/>
  <c r="I17" i="78"/>
  <c r="F17" i="78" s="1"/>
  <c r="I18" i="78"/>
  <c r="F18" i="78" s="1"/>
  <c r="I19" i="78"/>
  <c r="F19" i="78" s="1"/>
  <c r="I20" i="78"/>
  <c r="F20" i="78" s="1"/>
  <c r="I21" i="78"/>
  <c r="F21" i="78" s="1"/>
  <c r="O21" i="78"/>
  <c r="M21" i="78"/>
  <c r="K21" i="78"/>
  <c r="O20" i="78"/>
  <c r="M20" i="78"/>
  <c r="M15" i="78"/>
  <c r="M16" i="78"/>
  <c r="M17" i="78"/>
  <c r="M18" i="78"/>
  <c r="M19" i="78"/>
  <c r="K20" i="78"/>
  <c r="O19" i="78"/>
  <c r="K19" i="78"/>
  <c r="O18" i="78"/>
  <c r="K18" i="78"/>
  <c r="O17" i="78"/>
  <c r="O15" i="78"/>
  <c r="O16" i="78"/>
  <c r="K17" i="78"/>
  <c r="K16" i="78"/>
  <c r="K15" i="78"/>
  <c r="H14" i="78"/>
  <c r="O13" i="78"/>
  <c r="M13" i="78"/>
  <c r="K13" i="78"/>
  <c r="I13" i="78"/>
  <c r="F13" i="78" s="1"/>
  <c r="O12" i="78"/>
  <c r="M12" i="78"/>
  <c r="K12" i="78"/>
  <c r="K5" i="78"/>
  <c r="K6" i="78"/>
  <c r="K7" i="78"/>
  <c r="K8" i="78"/>
  <c r="K9" i="78"/>
  <c r="K10" i="78"/>
  <c r="K11" i="78"/>
  <c r="I12" i="78"/>
  <c r="F12" i="78" s="1"/>
  <c r="O11" i="78"/>
  <c r="M11" i="78"/>
  <c r="I11" i="78"/>
  <c r="F11" i="78" s="1"/>
  <c r="O10" i="78"/>
  <c r="M10" i="78"/>
  <c r="M5" i="78"/>
  <c r="M6" i="78"/>
  <c r="M7" i="78"/>
  <c r="M8" i="78"/>
  <c r="M9" i="78"/>
  <c r="I10" i="78"/>
  <c r="F10" i="78" s="1"/>
  <c r="I5" i="78"/>
  <c r="F5" i="78" s="1"/>
  <c r="I6" i="78"/>
  <c r="I7" i="78"/>
  <c r="F7" i="78" s="1"/>
  <c r="I8" i="78"/>
  <c r="F8" i="78" s="1"/>
  <c r="I9" i="78"/>
  <c r="F9" i="78" s="1"/>
  <c r="O9" i="78"/>
  <c r="O8" i="78"/>
  <c r="O7" i="78"/>
  <c r="O6" i="78"/>
  <c r="O5" i="78"/>
  <c r="H43" i="66"/>
  <c r="G43" i="66"/>
  <c r="E43" i="66"/>
  <c r="O42" i="66"/>
  <c r="M42" i="66"/>
  <c r="K42" i="66"/>
  <c r="I42" i="66"/>
  <c r="F42" i="66" s="1"/>
  <c r="O41" i="66"/>
  <c r="M41" i="66"/>
  <c r="K41" i="66"/>
  <c r="I41" i="66"/>
  <c r="F41" i="66" s="1"/>
  <c r="O40" i="66"/>
  <c r="M40" i="66"/>
  <c r="K40" i="66"/>
  <c r="I40" i="66"/>
  <c r="F40" i="66" s="1"/>
  <c r="O39" i="66"/>
  <c r="O34" i="66"/>
  <c r="O35" i="66"/>
  <c r="O36" i="66"/>
  <c r="O37" i="66"/>
  <c r="O38" i="66"/>
  <c r="M39" i="66"/>
  <c r="K39" i="66"/>
  <c r="I39" i="66"/>
  <c r="F39" i="66" s="1"/>
  <c r="M38" i="66"/>
  <c r="K38" i="66"/>
  <c r="I38" i="66"/>
  <c r="F38" i="66" s="1"/>
  <c r="M37" i="66"/>
  <c r="K37" i="66"/>
  <c r="K34" i="66"/>
  <c r="K35" i="66"/>
  <c r="K36" i="66"/>
  <c r="I37" i="66"/>
  <c r="F37" i="66" s="1"/>
  <c r="M36" i="66"/>
  <c r="I36" i="66"/>
  <c r="F36" i="66" s="1"/>
  <c r="M35" i="66"/>
  <c r="I35" i="66"/>
  <c r="F35" i="66" s="1"/>
  <c r="M34" i="66"/>
  <c r="I34" i="66"/>
  <c r="F34" i="66" s="1"/>
  <c r="H33" i="66"/>
  <c r="G33" i="66"/>
  <c r="E33" i="66"/>
  <c r="E13" i="66"/>
  <c r="O32" i="66"/>
  <c r="M32" i="66"/>
  <c r="K32" i="66"/>
  <c r="I32" i="66"/>
  <c r="F32" i="66" s="1"/>
  <c r="O31" i="66"/>
  <c r="M31" i="66"/>
  <c r="K31" i="66"/>
  <c r="I31" i="66"/>
  <c r="F31" i="66" s="1"/>
  <c r="O30" i="66"/>
  <c r="M30" i="66"/>
  <c r="K30" i="66"/>
  <c r="K24" i="66"/>
  <c r="K25" i="66"/>
  <c r="K26" i="66"/>
  <c r="K27" i="66"/>
  <c r="K28" i="66"/>
  <c r="K29" i="66"/>
  <c r="I30" i="66"/>
  <c r="F30" i="66" s="1"/>
  <c r="O29" i="66"/>
  <c r="M29" i="66"/>
  <c r="I29" i="66"/>
  <c r="F29" i="66" s="1"/>
  <c r="O28" i="66"/>
  <c r="M28" i="66"/>
  <c r="I28" i="66"/>
  <c r="F28" i="66" s="1"/>
  <c r="O27" i="66"/>
  <c r="M27" i="66"/>
  <c r="M24" i="66"/>
  <c r="M25" i="66"/>
  <c r="M26" i="66"/>
  <c r="I27" i="66"/>
  <c r="F27" i="66" s="1"/>
  <c r="O26" i="66"/>
  <c r="I26" i="66"/>
  <c r="F26" i="66" s="1"/>
  <c r="O25" i="66"/>
  <c r="O24" i="66"/>
  <c r="I25" i="66"/>
  <c r="F25" i="66" s="1"/>
  <c r="I24" i="66"/>
  <c r="F24" i="66" s="1"/>
  <c r="H23" i="66"/>
  <c r="G23" i="66"/>
  <c r="O22" i="66"/>
  <c r="M22" i="66"/>
  <c r="K22" i="66"/>
  <c r="I22" i="66"/>
  <c r="F22" i="66" s="1"/>
  <c r="I14" i="66"/>
  <c r="F14" i="66" s="1"/>
  <c r="I15" i="66"/>
  <c r="I16" i="66"/>
  <c r="F16" i="66" s="1"/>
  <c r="I17" i="66"/>
  <c r="F17" i="66" s="1"/>
  <c r="I18" i="66"/>
  <c r="F18" i="66" s="1"/>
  <c r="I19" i="66"/>
  <c r="F19" i="66" s="1"/>
  <c r="I20" i="66"/>
  <c r="F20" i="66" s="1"/>
  <c r="I21" i="66"/>
  <c r="F21" i="66" s="1"/>
  <c r="O21" i="66"/>
  <c r="M21" i="66"/>
  <c r="K21" i="66"/>
  <c r="O20" i="66"/>
  <c r="M20" i="66"/>
  <c r="K20" i="66"/>
  <c r="O19" i="66"/>
  <c r="M19" i="66"/>
  <c r="K19" i="66"/>
  <c r="O18" i="66"/>
  <c r="M18" i="66"/>
  <c r="K18" i="66"/>
  <c r="K14" i="66"/>
  <c r="K15" i="66"/>
  <c r="K16" i="66"/>
  <c r="K17" i="66"/>
  <c r="K5" i="66"/>
  <c r="K6" i="66"/>
  <c r="K7" i="66"/>
  <c r="K8" i="66"/>
  <c r="K9" i="66"/>
  <c r="K10" i="66"/>
  <c r="K11" i="66"/>
  <c r="K12" i="66"/>
  <c r="O17" i="66"/>
  <c r="M17" i="66"/>
  <c r="O16" i="66"/>
  <c r="M16" i="66"/>
  <c r="O15" i="66"/>
  <c r="M15" i="66"/>
  <c r="M14" i="66"/>
  <c r="O14" i="66"/>
  <c r="H13" i="66"/>
  <c r="G13" i="66"/>
  <c r="O12" i="66"/>
  <c r="M12" i="66"/>
  <c r="I12" i="66"/>
  <c r="F12" i="66" s="1"/>
  <c r="O11" i="66"/>
  <c r="M11" i="66"/>
  <c r="I11" i="66"/>
  <c r="F11" i="66" s="1"/>
  <c r="O10" i="66"/>
  <c r="M10" i="66"/>
  <c r="I10" i="66"/>
  <c r="F10" i="66" s="1"/>
  <c r="O9" i="66"/>
  <c r="O5" i="66"/>
  <c r="O6" i="66"/>
  <c r="O7" i="66"/>
  <c r="O8" i="66"/>
  <c r="M9" i="66"/>
  <c r="I9" i="66"/>
  <c r="F9" i="66" s="1"/>
  <c r="M8" i="66"/>
  <c r="I8" i="66"/>
  <c r="F8" i="66" s="1"/>
  <c r="M7" i="66"/>
  <c r="I7" i="66"/>
  <c r="F7" i="66" s="1"/>
  <c r="M6" i="66"/>
  <c r="I6" i="66"/>
  <c r="F6" i="66" s="1"/>
  <c r="M5" i="66"/>
  <c r="I5" i="66"/>
  <c r="L46" i="125"/>
  <c r="H46" i="125"/>
  <c r="H36" i="125"/>
  <c r="H26" i="125"/>
  <c r="H14" i="125"/>
  <c r="G46" i="125"/>
  <c r="E46" i="125"/>
  <c r="G36" i="125"/>
  <c r="G26" i="125"/>
  <c r="G14" i="125"/>
  <c r="O45" i="125"/>
  <c r="M45" i="125"/>
  <c r="K45" i="125"/>
  <c r="I45" i="125"/>
  <c r="F45" i="125" s="1"/>
  <c r="O44" i="125"/>
  <c r="M44" i="125"/>
  <c r="K44" i="125"/>
  <c r="I44" i="125"/>
  <c r="F44" i="125" s="1"/>
  <c r="O43" i="125"/>
  <c r="M43" i="125"/>
  <c r="K43" i="125"/>
  <c r="I43" i="125"/>
  <c r="F43" i="125" s="1"/>
  <c r="O42" i="125"/>
  <c r="M42" i="125"/>
  <c r="K42" i="125"/>
  <c r="I42" i="125"/>
  <c r="F42" i="125" s="1"/>
  <c r="O41" i="125"/>
  <c r="M41" i="125"/>
  <c r="K41" i="125"/>
  <c r="I41" i="125"/>
  <c r="F41" i="125" s="1"/>
  <c r="O40" i="125"/>
  <c r="M40" i="125"/>
  <c r="K40" i="125"/>
  <c r="I40" i="125"/>
  <c r="F40" i="125" s="1"/>
  <c r="O39" i="125"/>
  <c r="M39" i="125"/>
  <c r="M37" i="125"/>
  <c r="M38" i="125"/>
  <c r="K39" i="125"/>
  <c r="I39" i="125"/>
  <c r="O38" i="125"/>
  <c r="K38" i="125"/>
  <c r="I38" i="125"/>
  <c r="F38" i="125" s="1"/>
  <c r="O37" i="125"/>
  <c r="K37" i="125"/>
  <c r="I37" i="125"/>
  <c r="F37" i="125" s="1"/>
  <c r="E36" i="125"/>
  <c r="O35" i="125"/>
  <c r="M35" i="125"/>
  <c r="K35" i="125"/>
  <c r="K27" i="125"/>
  <c r="K28" i="125"/>
  <c r="K29" i="125"/>
  <c r="K30" i="125"/>
  <c r="K31" i="125"/>
  <c r="K32" i="125"/>
  <c r="K33" i="125"/>
  <c r="K34" i="125"/>
  <c r="I35" i="125"/>
  <c r="F35" i="125" s="1"/>
  <c r="O34" i="125"/>
  <c r="M34" i="125"/>
  <c r="I34" i="125"/>
  <c r="F34" i="125" s="1"/>
  <c r="O33" i="125"/>
  <c r="M33" i="125"/>
  <c r="I33" i="125"/>
  <c r="F33" i="125" s="1"/>
  <c r="O32" i="125"/>
  <c r="M32" i="125"/>
  <c r="I32" i="125"/>
  <c r="F32" i="125" s="1"/>
  <c r="O31" i="125"/>
  <c r="M31" i="125"/>
  <c r="I31" i="125"/>
  <c r="F31" i="125" s="1"/>
  <c r="O30" i="125"/>
  <c r="M30" i="125"/>
  <c r="I30" i="125"/>
  <c r="F30" i="125" s="1"/>
  <c r="O29" i="125"/>
  <c r="M29" i="125"/>
  <c r="I29" i="125"/>
  <c r="F29" i="125" s="1"/>
  <c r="O28" i="125"/>
  <c r="M28" i="125"/>
  <c r="I28" i="125"/>
  <c r="F28" i="125" s="1"/>
  <c r="I27" i="125"/>
  <c r="F27" i="125" s="1"/>
  <c r="E26" i="125"/>
  <c r="M25" i="125"/>
  <c r="O25" i="125"/>
  <c r="K25" i="125"/>
  <c r="I25" i="125"/>
  <c r="F25" i="125" s="1"/>
  <c r="O24" i="125"/>
  <c r="M24" i="125"/>
  <c r="K24" i="125"/>
  <c r="I24" i="125"/>
  <c r="F24" i="125" s="1"/>
  <c r="M23" i="125"/>
  <c r="K23" i="125"/>
  <c r="I23" i="125"/>
  <c r="F23" i="125" s="1"/>
  <c r="O22" i="125"/>
  <c r="M22" i="125"/>
  <c r="K22" i="125"/>
  <c r="I22" i="125"/>
  <c r="F22" i="125" s="1"/>
  <c r="O21" i="125"/>
  <c r="M21" i="125"/>
  <c r="M15" i="125"/>
  <c r="M16" i="125"/>
  <c r="M17" i="125"/>
  <c r="M18" i="125"/>
  <c r="M19" i="125"/>
  <c r="M20" i="125"/>
  <c r="M27" i="125"/>
  <c r="M5" i="125"/>
  <c r="M6" i="125"/>
  <c r="M7" i="125"/>
  <c r="M8" i="125"/>
  <c r="M9" i="125"/>
  <c r="M10" i="125"/>
  <c r="M11" i="125"/>
  <c r="M12" i="125"/>
  <c r="M13" i="125"/>
  <c r="K21" i="125"/>
  <c r="I21" i="125"/>
  <c r="F21" i="125" s="1"/>
  <c r="O20" i="125"/>
  <c r="K20" i="125"/>
  <c r="I20" i="125"/>
  <c r="F20" i="125" s="1"/>
  <c r="O19" i="125"/>
  <c r="K19" i="125"/>
  <c r="I19" i="125"/>
  <c r="F19" i="125" s="1"/>
  <c r="O18" i="125"/>
  <c r="K18" i="125"/>
  <c r="I18" i="125"/>
  <c r="F18" i="125" s="1"/>
  <c r="O17" i="125"/>
  <c r="K17" i="125"/>
  <c r="I17" i="125"/>
  <c r="F17" i="125" s="1"/>
  <c r="O16" i="125"/>
  <c r="K16" i="125"/>
  <c r="I16" i="125"/>
  <c r="F16" i="125" s="1"/>
  <c r="O15" i="125"/>
  <c r="K15" i="125"/>
  <c r="I15" i="125"/>
  <c r="F15" i="125" s="1"/>
  <c r="E14" i="125"/>
  <c r="O13" i="125"/>
  <c r="K13" i="125"/>
  <c r="I13" i="125"/>
  <c r="F13" i="125" s="1"/>
  <c r="O12" i="125"/>
  <c r="K12" i="125"/>
  <c r="I12" i="125"/>
  <c r="F12" i="125" s="1"/>
  <c r="K11" i="125"/>
  <c r="I11" i="125"/>
  <c r="F11" i="125" s="1"/>
  <c r="O10" i="125"/>
  <c r="K10" i="125"/>
  <c r="I10" i="125"/>
  <c r="F10" i="125" s="1"/>
  <c r="O9" i="125"/>
  <c r="K9" i="125"/>
  <c r="I9" i="125"/>
  <c r="F9" i="125" s="1"/>
  <c r="O8" i="125"/>
  <c r="O5" i="125"/>
  <c r="O6" i="125"/>
  <c r="O7" i="125"/>
  <c r="O11" i="125"/>
  <c r="K8" i="125"/>
  <c r="I8" i="125"/>
  <c r="F8" i="125" s="1"/>
  <c r="K7" i="125"/>
  <c r="I7" i="125"/>
  <c r="F7" i="125" s="1"/>
  <c r="K6" i="125"/>
  <c r="I6" i="125"/>
  <c r="F6" i="125" s="1"/>
  <c r="I5" i="125"/>
  <c r="F5" i="125" s="1"/>
  <c r="K5" i="125"/>
  <c r="E34" i="48"/>
  <c r="E25" i="48"/>
  <c r="E14" i="48"/>
  <c r="L44" i="48"/>
  <c r="J44" i="48"/>
  <c r="H44" i="48"/>
  <c r="G44" i="48"/>
  <c r="E44" i="48"/>
  <c r="O43" i="48"/>
  <c r="M43" i="48"/>
  <c r="K43" i="48"/>
  <c r="I43" i="48"/>
  <c r="F43" i="48" s="1"/>
  <c r="O42" i="48"/>
  <c r="M42" i="48"/>
  <c r="K42" i="48"/>
  <c r="I42" i="48"/>
  <c r="F42" i="48" s="1"/>
  <c r="O41" i="48"/>
  <c r="M41" i="48"/>
  <c r="M35" i="48"/>
  <c r="M36" i="48"/>
  <c r="M37" i="48"/>
  <c r="M38" i="48"/>
  <c r="M39" i="48"/>
  <c r="M40" i="48"/>
  <c r="K41" i="48"/>
  <c r="I41" i="48"/>
  <c r="F41" i="48" s="1"/>
  <c r="O40" i="48"/>
  <c r="K40" i="48"/>
  <c r="I40" i="48"/>
  <c r="F40" i="48" s="1"/>
  <c r="O39" i="48"/>
  <c r="O35" i="48"/>
  <c r="O36" i="48"/>
  <c r="O37" i="48"/>
  <c r="O38" i="48"/>
  <c r="K39" i="48"/>
  <c r="I39" i="48"/>
  <c r="F39" i="48" s="1"/>
  <c r="K38" i="48"/>
  <c r="K35" i="48"/>
  <c r="K36" i="48"/>
  <c r="K37" i="48"/>
  <c r="I38" i="48"/>
  <c r="F38" i="48" s="1"/>
  <c r="I37" i="48"/>
  <c r="F37" i="48" s="1"/>
  <c r="I36" i="48"/>
  <c r="F36" i="48" s="1"/>
  <c r="I35" i="48"/>
  <c r="F35" i="48" s="1"/>
  <c r="L34" i="48"/>
  <c r="J34" i="48"/>
  <c r="H34" i="48"/>
  <c r="H25" i="48"/>
  <c r="H14" i="48"/>
  <c r="G34" i="48"/>
  <c r="O33" i="48"/>
  <c r="M33" i="48"/>
  <c r="K33" i="48"/>
  <c r="I33" i="48"/>
  <c r="F33" i="48" s="1"/>
  <c r="O32" i="48"/>
  <c r="M32" i="48"/>
  <c r="K32" i="48"/>
  <c r="I32" i="48"/>
  <c r="F32" i="48" s="1"/>
  <c r="O31" i="48"/>
  <c r="M31" i="48"/>
  <c r="M26" i="48"/>
  <c r="M27" i="48"/>
  <c r="M28" i="48"/>
  <c r="M29" i="48"/>
  <c r="M30" i="48"/>
  <c r="M15" i="48"/>
  <c r="M16" i="48"/>
  <c r="M17" i="48"/>
  <c r="M18" i="48"/>
  <c r="M19" i="48"/>
  <c r="M20" i="48"/>
  <c r="M21" i="48"/>
  <c r="M22" i="48"/>
  <c r="M23" i="48"/>
  <c r="M24" i="48"/>
  <c r="M5" i="48"/>
  <c r="M6" i="48"/>
  <c r="M7" i="48"/>
  <c r="M8" i="48"/>
  <c r="M9" i="48"/>
  <c r="M11" i="48"/>
  <c r="M12" i="48"/>
  <c r="M13" i="48"/>
  <c r="K31" i="48"/>
  <c r="I31" i="48"/>
  <c r="F31" i="48" s="1"/>
  <c r="O30" i="48"/>
  <c r="K30" i="48"/>
  <c r="I30" i="48"/>
  <c r="F30" i="48" s="1"/>
  <c r="O29" i="48"/>
  <c r="K29" i="48"/>
  <c r="I29" i="48"/>
  <c r="F29" i="48" s="1"/>
  <c r="O28" i="48"/>
  <c r="K28" i="48"/>
  <c r="K26" i="48"/>
  <c r="K27" i="48"/>
  <c r="K15" i="48"/>
  <c r="K16" i="48"/>
  <c r="K17" i="48"/>
  <c r="K18" i="48"/>
  <c r="K19" i="48"/>
  <c r="K20" i="48"/>
  <c r="K21" i="48"/>
  <c r="K22" i="48"/>
  <c r="K23" i="48"/>
  <c r="K24" i="48"/>
  <c r="K5" i="48"/>
  <c r="K6" i="48"/>
  <c r="K7" i="48"/>
  <c r="K8" i="48"/>
  <c r="K9" i="48"/>
  <c r="K11" i="48"/>
  <c r="K12" i="48"/>
  <c r="K13" i="48"/>
  <c r="I28" i="48"/>
  <c r="F28" i="48" s="1"/>
  <c r="O27" i="48"/>
  <c r="I27" i="48"/>
  <c r="F27" i="48" s="1"/>
  <c r="O26" i="48"/>
  <c r="I26" i="48"/>
  <c r="F26" i="48" s="1"/>
  <c r="L25" i="48"/>
  <c r="L14" i="48"/>
  <c r="J25" i="48"/>
  <c r="G25" i="48"/>
  <c r="O24" i="48"/>
  <c r="I24" i="48"/>
  <c r="F24" i="48" s="1"/>
  <c r="O23" i="48"/>
  <c r="I23" i="48"/>
  <c r="F23" i="48" s="1"/>
  <c r="O22" i="48"/>
  <c r="I22" i="48"/>
  <c r="F22" i="48" s="1"/>
  <c r="O21" i="48"/>
  <c r="I21" i="48"/>
  <c r="F21" i="48" s="1"/>
  <c r="O20" i="48"/>
  <c r="I20" i="48"/>
  <c r="F20" i="48" s="1"/>
  <c r="O19" i="48"/>
  <c r="I19" i="48"/>
  <c r="F19" i="48" s="1"/>
  <c r="O18" i="48"/>
  <c r="I18" i="48"/>
  <c r="F18" i="48" s="1"/>
  <c r="O17" i="48"/>
  <c r="O15" i="48"/>
  <c r="O16" i="48"/>
  <c r="I17" i="48"/>
  <c r="F17" i="48" s="1"/>
  <c r="I16" i="48"/>
  <c r="F16" i="48" s="1"/>
  <c r="I15" i="48"/>
  <c r="F15" i="48" s="1"/>
  <c r="J14" i="48"/>
  <c r="G14" i="48"/>
  <c r="O13" i="48"/>
  <c r="I13" i="48"/>
  <c r="F13" i="48" s="1"/>
  <c r="O12" i="48"/>
  <c r="I12" i="48"/>
  <c r="F12" i="48" s="1"/>
  <c r="O11" i="48"/>
  <c r="I11" i="48"/>
  <c r="O9" i="48"/>
  <c r="I9" i="48"/>
  <c r="F9" i="48" s="1"/>
  <c r="O8" i="48"/>
  <c r="I8" i="48"/>
  <c r="F8" i="48" s="1"/>
  <c r="O7" i="48"/>
  <c r="I7" i="48"/>
  <c r="O6" i="48"/>
  <c r="I6" i="48"/>
  <c r="O5" i="48"/>
  <c r="I5" i="48"/>
  <c r="F5" i="48" s="1"/>
  <c r="L43" i="40"/>
  <c r="J43" i="40"/>
  <c r="J24" i="40"/>
  <c r="H43" i="40"/>
  <c r="H33" i="40"/>
  <c r="H24" i="40"/>
  <c r="H14" i="40"/>
  <c r="G43" i="40"/>
  <c r="E43" i="40"/>
  <c r="O42" i="40"/>
  <c r="M42" i="40"/>
  <c r="K42" i="40"/>
  <c r="I42" i="40"/>
  <c r="F42" i="40" s="1"/>
  <c r="O41" i="40"/>
  <c r="M41" i="40"/>
  <c r="K41" i="40"/>
  <c r="I41" i="40"/>
  <c r="F41" i="40" s="1"/>
  <c r="O40" i="40"/>
  <c r="M40" i="40"/>
  <c r="K40" i="40"/>
  <c r="I40" i="40"/>
  <c r="F40" i="40" s="1"/>
  <c r="O39" i="40"/>
  <c r="M39" i="40"/>
  <c r="K39" i="40"/>
  <c r="I39" i="40"/>
  <c r="F39" i="40" s="1"/>
  <c r="O38" i="40"/>
  <c r="M38" i="40"/>
  <c r="K38" i="40"/>
  <c r="I38" i="40"/>
  <c r="F38" i="40" s="1"/>
  <c r="O37" i="40"/>
  <c r="M37" i="40"/>
  <c r="K37" i="40"/>
  <c r="I37" i="40"/>
  <c r="F37" i="40" s="1"/>
  <c r="O36" i="40"/>
  <c r="M36" i="40"/>
  <c r="M34" i="40"/>
  <c r="M35" i="40"/>
  <c r="K36" i="40"/>
  <c r="I36" i="40"/>
  <c r="F36" i="40" s="1"/>
  <c r="O35" i="40"/>
  <c r="K35" i="40"/>
  <c r="I35" i="40"/>
  <c r="F35" i="40" s="1"/>
  <c r="O34" i="40"/>
  <c r="K34" i="40"/>
  <c r="I34" i="40"/>
  <c r="L33" i="40"/>
  <c r="G33" i="40"/>
  <c r="E33" i="40"/>
  <c r="O32" i="40"/>
  <c r="M32" i="40"/>
  <c r="K32" i="40"/>
  <c r="I32" i="40"/>
  <c r="F32" i="40" s="1"/>
  <c r="O31" i="40"/>
  <c r="M31" i="40"/>
  <c r="K31" i="40"/>
  <c r="I31" i="40"/>
  <c r="F31" i="40" s="1"/>
  <c r="O30" i="40"/>
  <c r="M30" i="40"/>
  <c r="K30" i="40"/>
  <c r="I30" i="40"/>
  <c r="F30" i="40" s="1"/>
  <c r="O29" i="40"/>
  <c r="M29" i="40"/>
  <c r="K29" i="40"/>
  <c r="I29" i="40"/>
  <c r="F29" i="40" s="1"/>
  <c r="O28" i="40"/>
  <c r="M28" i="40"/>
  <c r="K28" i="40"/>
  <c r="K25" i="40"/>
  <c r="K26" i="40"/>
  <c r="K27" i="40"/>
  <c r="I28" i="40"/>
  <c r="F28" i="40" s="1"/>
  <c r="O27" i="40"/>
  <c r="M27" i="40"/>
  <c r="M25" i="40"/>
  <c r="M26" i="40"/>
  <c r="I27" i="40"/>
  <c r="F27" i="40" s="1"/>
  <c r="O26" i="40"/>
  <c r="I26" i="40"/>
  <c r="F26" i="40" s="1"/>
  <c r="O25" i="40"/>
  <c r="I25" i="40"/>
  <c r="L24" i="40"/>
  <c r="G24" i="40"/>
  <c r="E24" i="40"/>
  <c r="O23" i="40"/>
  <c r="M23" i="40"/>
  <c r="K23" i="40"/>
  <c r="I23" i="40"/>
  <c r="F23" i="40" s="1"/>
  <c r="O22" i="40"/>
  <c r="M22" i="40"/>
  <c r="K22" i="40"/>
  <c r="I22" i="40"/>
  <c r="F22" i="40" s="1"/>
  <c r="O21" i="40"/>
  <c r="M21" i="40"/>
  <c r="K21" i="40"/>
  <c r="I21" i="40"/>
  <c r="F21" i="40" s="1"/>
  <c r="O20" i="40"/>
  <c r="M20" i="40"/>
  <c r="K20" i="40"/>
  <c r="I20" i="40"/>
  <c r="F20" i="40" s="1"/>
  <c r="O19" i="40"/>
  <c r="M19" i="40"/>
  <c r="K19" i="40"/>
  <c r="I19" i="40"/>
  <c r="F19" i="40" s="1"/>
  <c r="O18" i="40"/>
  <c r="M18" i="40"/>
  <c r="K18" i="40"/>
  <c r="I18" i="40"/>
  <c r="F18" i="40" s="1"/>
  <c r="O17" i="40"/>
  <c r="O15" i="40"/>
  <c r="O16" i="40"/>
  <c r="M17" i="40"/>
  <c r="K17" i="40"/>
  <c r="I17" i="40"/>
  <c r="F17" i="40" s="1"/>
  <c r="M16" i="40"/>
  <c r="K16" i="40"/>
  <c r="I16" i="40"/>
  <c r="F16" i="40" s="1"/>
  <c r="M15" i="40"/>
  <c r="K15" i="40"/>
  <c r="I15" i="40"/>
  <c r="F15" i="40" s="1"/>
  <c r="G14" i="40"/>
  <c r="E14" i="40"/>
  <c r="O13" i="40"/>
  <c r="M13" i="40"/>
  <c r="K13" i="40"/>
  <c r="I13" i="40"/>
  <c r="F13" i="40" s="1"/>
  <c r="O12" i="40"/>
  <c r="M12" i="40"/>
  <c r="K12" i="40"/>
  <c r="I12" i="40"/>
  <c r="F12" i="40" s="1"/>
  <c r="O11" i="40"/>
  <c r="M11" i="40"/>
  <c r="K11" i="40"/>
  <c r="I11" i="40"/>
  <c r="F11" i="40" s="1"/>
  <c r="O10" i="40"/>
  <c r="M10" i="40"/>
  <c r="K10" i="40"/>
  <c r="I10" i="40"/>
  <c r="F10" i="40" s="1"/>
  <c r="O9" i="40"/>
  <c r="M9" i="40"/>
  <c r="K9" i="40"/>
  <c r="I9" i="40"/>
  <c r="F9" i="40" s="1"/>
  <c r="O8" i="40"/>
  <c r="M8" i="40"/>
  <c r="K8" i="40"/>
  <c r="K5" i="40"/>
  <c r="K6" i="40"/>
  <c r="K7" i="40"/>
  <c r="I8" i="40"/>
  <c r="F8" i="40" s="1"/>
  <c r="O7" i="40"/>
  <c r="M7" i="40"/>
  <c r="I7" i="40"/>
  <c r="F7" i="40" s="1"/>
  <c r="O6" i="40"/>
  <c r="M6" i="40"/>
  <c r="I6" i="40"/>
  <c r="F6" i="40" s="1"/>
  <c r="O5" i="40"/>
  <c r="M5" i="40"/>
  <c r="I5" i="40"/>
  <c r="F5" i="40" s="1"/>
  <c r="O35" i="177"/>
  <c r="O36" i="177"/>
  <c r="O37" i="177"/>
  <c r="O38" i="177"/>
  <c r="O39" i="177"/>
  <c r="O40" i="177"/>
  <c r="O41" i="177"/>
  <c r="O42" i="177"/>
  <c r="O45" i="177"/>
  <c r="O25" i="177"/>
  <c r="O26" i="177"/>
  <c r="O27" i="177"/>
  <c r="O28" i="177"/>
  <c r="O29" i="177"/>
  <c r="O30" i="177"/>
  <c r="O31" i="177"/>
  <c r="O32" i="177"/>
  <c r="O33" i="177"/>
  <c r="O15" i="177"/>
  <c r="O16" i="177"/>
  <c r="O17" i="177"/>
  <c r="O18" i="177"/>
  <c r="O19" i="177"/>
  <c r="O20" i="177"/>
  <c r="O21" i="177"/>
  <c r="O22" i="177"/>
  <c r="O23" i="177"/>
  <c r="O5" i="177"/>
  <c r="O6" i="177"/>
  <c r="O7" i="177"/>
  <c r="O8" i="177"/>
  <c r="O9" i="177"/>
  <c r="O10" i="177"/>
  <c r="O11" i="177"/>
  <c r="O12" i="177"/>
  <c r="O13" i="177"/>
  <c r="L46" i="177"/>
  <c r="J46" i="177"/>
  <c r="L34" i="177"/>
  <c r="L24" i="177"/>
  <c r="L14" i="177"/>
  <c r="N14" i="177" s="1"/>
  <c r="J34" i="177"/>
  <c r="J24" i="177"/>
  <c r="M35" i="177"/>
  <c r="M36" i="177"/>
  <c r="M37" i="177"/>
  <c r="M38" i="177"/>
  <c r="M39" i="177"/>
  <c r="M40" i="177"/>
  <c r="M41" i="177"/>
  <c r="M42" i="177"/>
  <c r="M45" i="177"/>
  <c r="M25" i="177"/>
  <c r="M26" i="177"/>
  <c r="M27" i="177"/>
  <c r="M28" i="177"/>
  <c r="M29" i="177"/>
  <c r="M30" i="177"/>
  <c r="M31" i="177"/>
  <c r="M32" i="177"/>
  <c r="M33" i="177"/>
  <c r="M15" i="177"/>
  <c r="M16" i="177"/>
  <c r="M17" i="177"/>
  <c r="M18" i="177"/>
  <c r="M19" i="177"/>
  <c r="M20" i="177"/>
  <c r="M21" i="177"/>
  <c r="M22" i="177"/>
  <c r="M23" i="177"/>
  <c r="M5" i="177"/>
  <c r="M6" i="177"/>
  <c r="M7" i="177"/>
  <c r="M8" i="177"/>
  <c r="M9" i="177"/>
  <c r="M10" i="177"/>
  <c r="M11" i="177"/>
  <c r="M12" i="177"/>
  <c r="M13" i="177"/>
  <c r="K35" i="177"/>
  <c r="K36" i="177"/>
  <c r="K37" i="177"/>
  <c r="K38" i="177"/>
  <c r="K39" i="177"/>
  <c r="K40" i="177"/>
  <c r="K41" i="177"/>
  <c r="K42" i="177"/>
  <c r="K45" i="177"/>
  <c r="K25" i="177"/>
  <c r="K26" i="177"/>
  <c r="K27" i="177"/>
  <c r="K28" i="177"/>
  <c r="K29" i="177"/>
  <c r="K30" i="177"/>
  <c r="K31" i="177"/>
  <c r="K32" i="177"/>
  <c r="K33" i="177"/>
  <c r="K15" i="177"/>
  <c r="K16" i="177"/>
  <c r="K17" i="177"/>
  <c r="K18" i="177"/>
  <c r="K19" i="177"/>
  <c r="K20" i="177"/>
  <c r="K21" i="177"/>
  <c r="K22" i="177"/>
  <c r="K23" i="177"/>
  <c r="K5" i="177"/>
  <c r="K6" i="177"/>
  <c r="K7" i="177"/>
  <c r="K8" i="177"/>
  <c r="K9" i="177"/>
  <c r="K10" i="177"/>
  <c r="K11" i="177"/>
  <c r="K12" i="177"/>
  <c r="K13" i="177"/>
  <c r="I35" i="177"/>
  <c r="F35" i="177" s="1"/>
  <c r="I36" i="177"/>
  <c r="F36" i="177" s="1"/>
  <c r="I37" i="177"/>
  <c r="F37" i="177" s="1"/>
  <c r="I38" i="177"/>
  <c r="F38" i="177" s="1"/>
  <c r="I39" i="177"/>
  <c r="F39" i="177" s="1"/>
  <c r="I40" i="177"/>
  <c r="F40" i="177" s="1"/>
  <c r="I41" i="177"/>
  <c r="F41" i="177" s="1"/>
  <c r="I42" i="177"/>
  <c r="F42" i="177" s="1"/>
  <c r="I45" i="177"/>
  <c r="F45" i="177" s="1"/>
  <c r="I25" i="177"/>
  <c r="F25" i="177" s="1"/>
  <c r="I26" i="177"/>
  <c r="F26" i="177" s="1"/>
  <c r="I27" i="177"/>
  <c r="F27" i="177" s="1"/>
  <c r="I28" i="177"/>
  <c r="I29" i="177"/>
  <c r="F29" i="177" s="1"/>
  <c r="I30" i="177"/>
  <c r="F30" i="177" s="1"/>
  <c r="I31" i="177"/>
  <c r="F31" i="177" s="1"/>
  <c r="I32" i="177"/>
  <c r="F32" i="177" s="1"/>
  <c r="I33" i="177"/>
  <c r="F33" i="177" s="1"/>
  <c r="I15" i="177"/>
  <c r="F15" i="177" s="1"/>
  <c r="I16" i="177"/>
  <c r="F16" i="177" s="1"/>
  <c r="I17" i="177"/>
  <c r="F17" i="177" s="1"/>
  <c r="I18" i="177"/>
  <c r="F18" i="177" s="1"/>
  <c r="I19" i="177"/>
  <c r="F19" i="177" s="1"/>
  <c r="I20" i="177"/>
  <c r="F20" i="177" s="1"/>
  <c r="I21" i="177"/>
  <c r="F21" i="177" s="1"/>
  <c r="I22" i="177"/>
  <c r="F22" i="177" s="1"/>
  <c r="I23" i="177"/>
  <c r="F23" i="177" s="1"/>
  <c r="I5" i="177"/>
  <c r="F5" i="177" s="1"/>
  <c r="I6" i="177"/>
  <c r="F6" i="177" s="1"/>
  <c r="I7" i="177"/>
  <c r="F7" i="177" s="1"/>
  <c r="I8" i="177"/>
  <c r="F8" i="177" s="1"/>
  <c r="I9" i="177"/>
  <c r="F9" i="177" s="1"/>
  <c r="I10" i="177"/>
  <c r="F10" i="177" s="1"/>
  <c r="I11" i="177"/>
  <c r="F11" i="177" s="1"/>
  <c r="I12" i="177"/>
  <c r="F12" i="177" s="1"/>
  <c r="I13" i="177"/>
  <c r="F13" i="177" s="1"/>
  <c r="H46" i="177"/>
  <c r="H34" i="177"/>
  <c r="H24" i="177"/>
  <c r="H14" i="177"/>
  <c r="E46" i="177"/>
  <c r="G34" i="177"/>
  <c r="G24" i="177"/>
  <c r="G14" i="177"/>
  <c r="E34" i="177"/>
  <c r="E24" i="177"/>
  <c r="E14" i="177"/>
  <c r="G46" i="177"/>
  <c r="O35" i="110"/>
  <c r="O36" i="110"/>
  <c r="O37" i="110"/>
  <c r="O38" i="110"/>
  <c r="O39" i="110"/>
  <c r="O40" i="110"/>
  <c r="O41" i="110"/>
  <c r="O42" i="110"/>
  <c r="O43" i="110"/>
  <c r="O25" i="110"/>
  <c r="O26" i="110"/>
  <c r="O27" i="110"/>
  <c r="O28" i="110"/>
  <c r="O29" i="110"/>
  <c r="O30" i="110"/>
  <c r="O31" i="110"/>
  <c r="O32" i="110"/>
  <c r="O33" i="110"/>
  <c r="O15" i="110"/>
  <c r="O16" i="110"/>
  <c r="O17" i="110"/>
  <c r="O18" i="110"/>
  <c r="O19" i="110"/>
  <c r="O20" i="110"/>
  <c r="O21" i="110"/>
  <c r="O22" i="110"/>
  <c r="O23" i="110"/>
  <c r="O5" i="110"/>
  <c r="O6" i="110"/>
  <c r="O7" i="110"/>
  <c r="O8" i="110"/>
  <c r="O9" i="110"/>
  <c r="O10" i="110"/>
  <c r="O11" i="110"/>
  <c r="O12" i="110"/>
  <c r="O13" i="110"/>
  <c r="J24" i="110"/>
  <c r="M35" i="110"/>
  <c r="M36" i="110"/>
  <c r="M37" i="110"/>
  <c r="M38" i="110"/>
  <c r="M39" i="110"/>
  <c r="M40" i="110"/>
  <c r="M41" i="110"/>
  <c r="M42" i="110"/>
  <c r="M43" i="110"/>
  <c r="M25" i="110"/>
  <c r="M26" i="110"/>
  <c r="M27" i="110"/>
  <c r="M28" i="110"/>
  <c r="M29" i="110"/>
  <c r="M30" i="110"/>
  <c r="M31" i="110"/>
  <c r="M32" i="110"/>
  <c r="M33" i="110"/>
  <c r="M15" i="110"/>
  <c r="M16" i="110"/>
  <c r="M17" i="110"/>
  <c r="M18" i="110"/>
  <c r="M19" i="110"/>
  <c r="M20" i="110"/>
  <c r="M21" i="110"/>
  <c r="M22" i="110"/>
  <c r="M23" i="110"/>
  <c r="M5" i="110"/>
  <c r="M6" i="110"/>
  <c r="M7" i="110"/>
  <c r="M8" i="110"/>
  <c r="M9" i="110"/>
  <c r="M10" i="110"/>
  <c r="M11" i="110"/>
  <c r="M12" i="110"/>
  <c r="M13" i="110"/>
  <c r="K35" i="110"/>
  <c r="K36" i="110"/>
  <c r="K37" i="110"/>
  <c r="K38" i="110"/>
  <c r="K39" i="110"/>
  <c r="K40" i="110"/>
  <c r="K41" i="110"/>
  <c r="K42" i="110"/>
  <c r="K43" i="110"/>
  <c r="K25" i="110"/>
  <c r="K26" i="110"/>
  <c r="K27" i="110"/>
  <c r="K28" i="110"/>
  <c r="K29" i="110"/>
  <c r="K30" i="110"/>
  <c r="K31" i="110"/>
  <c r="K32" i="110"/>
  <c r="K33" i="110"/>
  <c r="K15" i="110"/>
  <c r="K16" i="110"/>
  <c r="K17" i="110"/>
  <c r="K18" i="110"/>
  <c r="K19" i="110"/>
  <c r="K20" i="110"/>
  <c r="K21" i="110"/>
  <c r="K22" i="110"/>
  <c r="K23" i="110"/>
  <c r="K5" i="110"/>
  <c r="K6" i="110"/>
  <c r="K7" i="110"/>
  <c r="K8" i="110"/>
  <c r="K9" i="110"/>
  <c r="K10" i="110"/>
  <c r="K11" i="110"/>
  <c r="K12" i="110"/>
  <c r="K13" i="110"/>
  <c r="I35" i="110"/>
  <c r="F35" i="110" s="1"/>
  <c r="I36" i="110"/>
  <c r="F36" i="110" s="1"/>
  <c r="I37" i="110"/>
  <c r="F37" i="110" s="1"/>
  <c r="I38" i="110"/>
  <c r="F38" i="110" s="1"/>
  <c r="I39" i="110"/>
  <c r="F39" i="110" s="1"/>
  <c r="I40" i="110"/>
  <c r="I41" i="110"/>
  <c r="F41" i="110" s="1"/>
  <c r="I42" i="110"/>
  <c r="F42" i="110" s="1"/>
  <c r="I43" i="110"/>
  <c r="F43" i="110" s="1"/>
  <c r="I25" i="110"/>
  <c r="F25" i="110" s="1"/>
  <c r="I26" i="110"/>
  <c r="F26" i="110" s="1"/>
  <c r="I27" i="110"/>
  <c r="F27" i="110" s="1"/>
  <c r="I28" i="110"/>
  <c r="I29" i="110"/>
  <c r="F29" i="110" s="1"/>
  <c r="I30" i="110"/>
  <c r="F30" i="110" s="1"/>
  <c r="I31" i="110"/>
  <c r="F31" i="110" s="1"/>
  <c r="I32" i="110"/>
  <c r="F32" i="110" s="1"/>
  <c r="I33" i="110"/>
  <c r="F33" i="110" s="1"/>
  <c r="I15" i="110"/>
  <c r="F15" i="110" s="1"/>
  <c r="I16" i="110"/>
  <c r="F16" i="110" s="1"/>
  <c r="I17" i="110"/>
  <c r="F17" i="110" s="1"/>
  <c r="I18" i="110"/>
  <c r="F18" i="110" s="1"/>
  <c r="I19" i="110"/>
  <c r="F19" i="110" s="1"/>
  <c r="I20" i="110"/>
  <c r="F20" i="110" s="1"/>
  <c r="I21" i="110"/>
  <c r="I22" i="110"/>
  <c r="F22" i="110" s="1"/>
  <c r="I23" i="110"/>
  <c r="F23" i="110" s="1"/>
  <c r="I5" i="110"/>
  <c r="F5" i="110" s="1"/>
  <c r="I6" i="110"/>
  <c r="F6" i="110" s="1"/>
  <c r="I7" i="110"/>
  <c r="I8" i="110"/>
  <c r="F8" i="110" s="1"/>
  <c r="I9" i="110"/>
  <c r="F9" i="110" s="1"/>
  <c r="I10" i="110"/>
  <c r="F10" i="110" s="1"/>
  <c r="I11" i="110"/>
  <c r="F11" i="110" s="1"/>
  <c r="I12" i="110"/>
  <c r="F12" i="110" s="1"/>
  <c r="I13" i="110"/>
  <c r="F13" i="110" s="1"/>
  <c r="H44" i="110"/>
  <c r="H34" i="110"/>
  <c r="H24" i="110"/>
  <c r="H14" i="110"/>
  <c r="E44" i="110"/>
  <c r="G34" i="110"/>
  <c r="G24" i="110"/>
  <c r="G14" i="110"/>
  <c r="E34" i="110"/>
  <c r="E24" i="110"/>
  <c r="E14" i="110"/>
  <c r="G44" i="110"/>
  <c r="L44" i="155"/>
  <c r="J44" i="155"/>
  <c r="H44" i="155"/>
  <c r="H34" i="155"/>
  <c r="H24" i="155"/>
  <c r="H14" i="155"/>
  <c r="G44" i="155"/>
  <c r="E44" i="155"/>
  <c r="O43" i="155"/>
  <c r="M43" i="155"/>
  <c r="K43" i="155"/>
  <c r="K35" i="155"/>
  <c r="K36" i="155"/>
  <c r="K37" i="155"/>
  <c r="K38" i="155"/>
  <c r="K39" i="155"/>
  <c r="K40" i="155"/>
  <c r="K41" i="155"/>
  <c r="K42" i="155"/>
  <c r="I43" i="155"/>
  <c r="F43" i="155" s="1"/>
  <c r="O42" i="155"/>
  <c r="M42" i="155"/>
  <c r="I42" i="155"/>
  <c r="F42" i="155" s="1"/>
  <c r="O41" i="155"/>
  <c r="M41" i="155"/>
  <c r="I41" i="155"/>
  <c r="F41" i="155" s="1"/>
  <c r="O40" i="155"/>
  <c r="M40" i="155"/>
  <c r="I40" i="155"/>
  <c r="F40" i="155" s="1"/>
  <c r="O39" i="155"/>
  <c r="M39" i="155"/>
  <c r="I39" i="155"/>
  <c r="F39" i="155" s="1"/>
  <c r="O38" i="155"/>
  <c r="M38" i="155"/>
  <c r="I38" i="155"/>
  <c r="F38" i="155" s="1"/>
  <c r="O37" i="155"/>
  <c r="M37" i="155"/>
  <c r="I37" i="155"/>
  <c r="O36" i="155"/>
  <c r="O35" i="155"/>
  <c r="M36" i="155"/>
  <c r="I36" i="155"/>
  <c r="F36" i="155" s="1"/>
  <c r="M35" i="155"/>
  <c r="I35" i="155"/>
  <c r="F35" i="155" s="1"/>
  <c r="L34" i="155"/>
  <c r="J34" i="155"/>
  <c r="J24" i="155"/>
  <c r="L24" i="155"/>
  <c r="J14" i="155"/>
  <c r="L14" i="155"/>
  <c r="G34" i="155"/>
  <c r="E34" i="155"/>
  <c r="E24" i="155"/>
  <c r="E14" i="155"/>
  <c r="O33" i="155"/>
  <c r="M33" i="155"/>
  <c r="K33" i="155"/>
  <c r="I33" i="155"/>
  <c r="F33" i="155" s="1"/>
  <c r="O32" i="155"/>
  <c r="M32" i="155"/>
  <c r="K32" i="155"/>
  <c r="I32" i="155"/>
  <c r="F32" i="155" s="1"/>
  <c r="O31" i="155"/>
  <c r="M31" i="155"/>
  <c r="K31" i="155"/>
  <c r="I31" i="155"/>
  <c r="F31" i="155" s="1"/>
  <c r="O30" i="155"/>
  <c r="M30" i="155"/>
  <c r="K30" i="155"/>
  <c r="I30" i="155"/>
  <c r="F30" i="155" s="1"/>
  <c r="O29" i="155"/>
  <c r="M29" i="155"/>
  <c r="K29" i="155"/>
  <c r="I29" i="155"/>
  <c r="F29" i="155" s="1"/>
  <c r="O28" i="155"/>
  <c r="M28" i="155"/>
  <c r="K28" i="155"/>
  <c r="K25" i="155"/>
  <c r="K26" i="155"/>
  <c r="K27" i="155"/>
  <c r="I28" i="155"/>
  <c r="F28" i="155" s="1"/>
  <c r="O27" i="155"/>
  <c r="O25" i="155"/>
  <c r="O26" i="155"/>
  <c r="M27" i="155"/>
  <c r="M25" i="155"/>
  <c r="M26" i="155"/>
  <c r="I27" i="155"/>
  <c r="F27" i="155" s="1"/>
  <c r="I26" i="155"/>
  <c r="F26" i="155" s="1"/>
  <c r="I25" i="155"/>
  <c r="F25" i="155" s="1"/>
  <c r="G24" i="155"/>
  <c r="O23" i="155"/>
  <c r="M23" i="155"/>
  <c r="M15" i="155"/>
  <c r="M16" i="155"/>
  <c r="M17" i="155"/>
  <c r="M18" i="155"/>
  <c r="M19" i="155"/>
  <c r="M20" i="155"/>
  <c r="M21" i="155"/>
  <c r="M22" i="155"/>
  <c r="K23" i="155"/>
  <c r="I23" i="155"/>
  <c r="F23" i="155" s="1"/>
  <c r="O22" i="155"/>
  <c r="K22" i="155"/>
  <c r="I22" i="155"/>
  <c r="F22" i="155" s="1"/>
  <c r="O21" i="155"/>
  <c r="K21" i="155"/>
  <c r="I21" i="155"/>
  <c r="F21" i="155" s="1"/>
  <c r="O20" i="155"/>
  <c r="K20" i="155"/>
  <c r="I20" i="155"/>
  <c r="F20" i="155" s="1"/>
  <c r="O19" i="155"/>
  <c r="K19" i="155"/>
  <c r="I19" i="155"/>
  <c r="F19" i="155" s="1"/>
  <c r="O18" i="155"/>
  <c r="K18" i="155"/>
  <c r="I18" i="155"/>
  <c r="F18" i="155" s="1"/>
  <c r="O17" i="155"/>
  <c r="K17" i="155"/>
  <c r="I17" i="155"/>
  <c r="F17" i="155" s="1"/>
  <c r="O16" i="155"/>
  <c r="O15" i="155"/>
  <c r="K16" i="155"/>
  <c r="I16" i="155"/>
  <c r="F16" i="155" s="1"/>
  <c r="K15" i="155"/>
  <c r="I15" i="155"/>
  <c r="F15" i="155" s="1"/>
  <c r="G14" i="155"/>
  <c r="O13" i="155"/>
  <c r="M13" i="155"/>
  <c r="K13" i="155"/>
  <c r="I13" i="155"/>
  <c r="F13" i="155" s="1"/>
  <c r="O12" i="155"/>
  <c r="M12" i="155"/>
  <c r="K12" i="155"/>
  <c r="I12" i="155"/>
  <c r="F12" i="155" s="1"/>
  <c r="O11" i="155"/>
  <c r="M11" i="155"/>
  <c r="K11" i="155"/>
  <c r="I11" i="155"/>
  <c r="O10" i="155"/>
  <c r="M10" i="155"/>
  <c r="K10" i="155"/>
  <c r="I10" i="155"/>
  <c r="F10" i="155" s="1"/>
  <c r="I6" i="155"/>
  <c r="F6" i="155" s="1"/>
  <c r="I7" i="155"/>
  <c r="F7" i="155" s="1"/>
  <c r="I8" i="155"/>
  <c r="F8" i="155" s="1"/>
  <c r="I9" i="155"/>
  <c r="F9" i="155" s="1"/>
  <c r="O9" i="155"/>
  <c r="M9" i="155"/>
  <c r="K9" i="155"/>
  <c r="O8" i="155"/>
  <c r="M8" i="155"/>
  <c r="K8" i="155"/>
  <c r="K5" i="155"/>
  <c r="K6" i="155"/>
  <c r="K7" i="155"/>
  <c r="O7" i="155"/>
  <c r="O5" i="155"/>
  <c r="O6" i="155"/>
  <c r="M7" i="155"/>
  <c r="M5" i="155"/>
  <c r="M6" i="155"/>
  <c r="I5" i="155"/>
  <c r="H45" i="23"/>
  <c r="G45" i="23"/>
  <c r="E45" i="23"/>
  <c r="G24" i="23"/>
  <c r="G14" i="23"/>
  <c r="K44" i="23"/>
  <c r="I44" i="23"/>
  <c r="F44" i="23" s="1"/>
  <c r="K43" i="23"/>
  <c r="I43" i="23"/>
  <c r="F43" i="23" s="1"/>
  <c r="K42" i="23"/>
  <c r="I42" i="23"/>
  <c r="F42" i="23" s="1"/>
  <c r="K41" i="23"/>
  <c r="I41" i="23"/>
  <c r="F41" i="23" s="1"/>
  <c r="K40" i="23"/>
  <c r="I40" i="23"/>
  <c r="F40" i="23" s="1"/>
  <c r="K39" i="23"/>
  <c r="I39" i="23"/>
  <c r="F39" i="23" s="1"/>
  <c r="K38" i="23"/>
  <c r="I38" i="23"/>
  <c r="F38" i="23" s="1"/>
  <c r="K37" i="23"/>
  <c r="I37" i="23"/>
  <c r="F37" i="23" s="1"/>
  <c r="K36" i="23"/>
  <c r="I36" i="23"/>
  <c r="F36" i="23" s="1"/>
  <c r="H24" i="23"/>
  <c r="H14" i="23"/>
  <c r="E24" i="23"/>
  <c r="K23" i="23"/>
  <c r="I23" i="23"/>
  <c r="F23" i="23" s="1"/>
  <c r="K22" i="23"/>
  <c r="I22" i="23"/>
  <c r="F22" i="23" s="1"/>
  <c r="K21" i="23"/>
  <c r="I21" i="23"/>
  <c r="F21" i="23" s="1"/>
  <c r="K20" i="23"/>
  <c r="I20" i="23"/>
  <c r="F20" i="23" s="1"/>
  <c r="K19" i="23"/>
  <c r="I19" i="23"/>
  <c r="F19" i="23" s="1"/>
  <c r="K18" i="23"/>
  <c r="K15" i="23"/>
  <c r="K16" i="23"/>
  <c r="K17" i="23"/>
  <c r="I18" i="23"/>
  <c r="F18" i="23" s="1"/>
  <c r="I17" i="23"/>
  <c r="F17" i="23" s="1"/>
  <c r="I15" i="23"/>
  <c r="F15" i="23" s="1"/>
  <c r="I16" i="23"/>
  <c r="E14" i="23"/>
  <c r="K13" i="23"/>
  <c r="I13" i="23"/>
  <c r="F13" i="23" s="1"/>
  <c r="K12" i="23"/>
  <c r="I12" i="23"/>
  <c r="F12" i="23" s="1"/>
  <c r="K11" i="23"/>
  <c r="I11" i="23"/>
  <c r="F11" i="23" s="1"/>
  <c r="K10" i="23"/>
  <c r="I10" i="23"/>
  <c r="F10" i="23" s="1"/>
  <c r="K9" i="23"/>
  <c r="I9" i="23"/>
  <c r="F9" i="23" s="1"/>
  <c r="K8" i="23"/>
  <c r="I8" i="23"/>
  <c r="F8" i="23" s="1"/>
  <c r="K7" i="23"/>
  <c r="I7" i="23"/>
  <c r="F7" i="23" s="1"/>
  <c r="K6" i="23"/>
  <c r="I6" i="23"/>
  <c r="F6" i="23" s="1"/>
  <c r="K5" i="23"/>
  <c r="I5" i="23"/>
  <c r="F5" i="23" s="1"/>
  <c r="H45" i="206"/>
  <c r="H35" i="206"/>
  <c r="H25" i="206"/>
  <c r="H15" i="206"/>
  <c r="G45" i="206"/>
  <c r="E45" i="206"/>
  <c r="O44" i="206"/>
  <c r="M44" i="206"/>
  <c r="K44" i="206"/>
  <c r="I44" i="206"/>
  <c r="F44" i="206" s="1"/>
  <c r="O43" i="206"/>
  <c r="M43" i="206"/>
  <c r="K43" i="206"/>
  <c r="I43" i="206"/>
  <c r="F43" i="206" s="1"/>
  <c r="O42" i="206"/>
  <c r="M42" i="206"/>
  <c r="K42" i="206"/>
  <c r="I42" i="206"/>
  <c r="F42" i="206" s="1"/>
  <c r="O41" i="206"/>
  <c r="M41" i="206"/>
  <c r="K41" i="206"/>
  <c r="I41" i="206"/>
  <c r="F41" i="206" s="1"/>
  <c r="O40" i="206"/>
  <c r="M40" i="206"/>
  <c r="K40" i="206"/>
  <c r="I40" i="206"/>
  <c r="F40" i="206" s="1"/>
  <c r="O39" i="206"/>
  <c r="O36" i="206"/>
  <c r="O37" i="206"/>
  <c r="O38" i="206"/>
  <c r="M39" i="206"/>
  <c r="K39" i="206"/>
  <c r="I39" i="206"/>
  <c r="F39" i="206" s="1"/>
  <c r="M38" i="206"/>
  <c r="K38" i="206"/>
  <c r="K36" i="206"/>
  <c r="K37" i="206"/>
  <c r="I38" i="206"/>
  <c r="F38" i="206" s="1"/>
  <c r="M37" i="206"/>
  <c r="M36" i="206"/>
  <c r="I37" i="206"/>
  <c r="F37" i="206" s="1"/>
  <c r="I36" i="206"/>
  <c r="F36" i="206" s="1"/>
  <c r="G35" i="206"/>
  <c r="E35" i="206"/>
  <c r="O34" i="206"/>
  <c r="O26" i="206"/>
  <c r="O27" i="206"/>
  <c r="O28" i="206"/>
  <c r="O29" i="206"/>
  <c r="O30" i="206"/>
  <c r="O31" i="206"/>
  <c r="O32" i="206"/>
  <c r="O33" i="206"/>
  <c r="M34" i="206"/>
  <c r="K34" i="206"/>
  <c r="I34" i="206"/>
  <c r="F34" i="206" s="1"/>
  <c r="M33" i="206"/>
  <c r="K33" i="206"/>
  <c r="I33" i="206"/>
  <c r="F33" i="206" s="1"/>
  <c r="M32" i="206"/>
  <c r="M26" i="206"/>
  <c r="M27" i="206"/>
  <c r="M28" i="206"/>
  <c r="M29" i="206"/>
  <c r="M30" i="206"/>
  <c r="M31" i="206"/>
  <c r="K32" i="206"/>
  <c r="I32" i="206"/>
  <c r="F32" i="206" s="1"/>
  <c r="K31" i="206"/>
  <c r="I31" i="206"/>
  <c r="F31" i="206" s="1"/>
  <c r="K30" i="206"/>
  <c r="I30" i="206"/>
  <c r="F30" i="206" s="1"/>
  <c r="K29" i="206"/>
  <c r="I29" i="206"/>
  <c r="F29" i="206" s="1"/>
  <c r="K28" i="206"/>
  <c r="I28" i="206"/>
  <c r="F28" i="206" s="1"/>
  <c r="K27" i="206"/>
  <c r="I27" i="206"/>
  <c r="F27" i="206" s="1"/>
  <c r="K26" i="206"/>
  <c r="I26" i="206"/>
  <c r="F26" i="206" s="1"/>
  <c r="G25" i="206"/>
  <c r="E25" i="206"/>
  <c r="O24" i="206"/>
  <c r="M24" i="206"/>
  <c r="K24" i="206"/>
  <c r="I24" i="206"/>
  <c r="F24" i="206" s="1"/>
  <c r="O23" i="206"/>
  <c r="M23" i="206"/>
  <c r="K23" i="206"/>
  <c r="I23" i="206"/>
  <c r="F23" i="206" s="1"/>
  <c r="O22" i="206"/>
  <c r="M22" i="206"/>
  <c r="K22" i="206"/>
  <c r="I22" i="206"/>
  <c r="F22" i="206" s="1"/>
  <c r="O21" i="206"/>
  <c r="M21" i="206"/>
  <c r="K21" i="206"/>
  <c r="I21" i="206"/>
  <c r="F21" i="206" s="1"/>
  <c r="O20" i="206"/>
  <c r="K20" i="206"/>
  <c r="I20" i="206"/>
  <c r="F20" i="206" s="1"/>
  <c r="O19" i="206"/>
  <c r="M19" i="206"/>
  <c r="K19" i="206"/>
  <c r="I19" i="206"/>
  <c r="O18" i="206"/>
  <c r="M18" i="206"/>
  <c r="K18" i="206"/>
  <c r="K16" i="206"/>
  <c r="K17" i="206"/>
  <c r="I18" i="206"/>
  <c r="F18" i="206" s="1"/>
  <c r="O17" i="206"/>
  <c r="M17" i="206"/>
  <c r="I17" i="206"/>
  <c r="F17" i="206" s="1"/>
  <c r="O16" i="206"/>
  <c r="M16" i="206"/>
  <c r="I16" i="206"/>
  <c r="F16" i="206" s="1"/>
  <c r="G15" i="206"/>
  <c r="E15" i="206"/>
  <c r="O14" i="206"/>
  <c r="M14" i="206"/>
  <c r="K14" i="206"/>
  <c r="I14" i="206"/>
  <c r="F14" i="206" s="1"/>
  <c r="O13" i="206"/>
  <c r="M13" i="206"/>
  <c r="K13" i="206"/>
  <c r="I13" i="206"/>
  <c r="F13" i="206" s="1"/>
  <c r="O12" i="206"/>
  <c r="M12" i="206"/>
  <c r="K12" i="206"/>
  <c r="I12" i="206"/>
  <c r="F12" i="206" s="1"/>
  <c r="O11" i="206"/>
  <c r="M11" i="206"/>
  <c r="K11" i="206"/>
  <c r="I11" i="206"/>
  <c r="F11" i="206" s="1"/>
  <c r="O10" i="206"/>
  <c r="M10" i="206"/>
  <c r="K10" i="206"/>
  <c r="I10" i="206"/>
  <c r="F10" i="206" s="1"/>
  <c r="O9" i="206"/>
  <c r="M9" i="206"/>
  <c r="K9" i="206"/>
  <c r="I9" i="206"/>
  <c r="O8" i="206"/>
  <c r="O6" i="206"/>
  <c r="O7" i="206"/>
  <c r="M8" i="206"/>
  <c r="K8" i="206"/>
  <c r="I8" i="206"/>
  <c r="F8" i="206" s="1"/>
  <c r="M7" i="206"/>
  <c r="K7" i="206"/>
  <c r="K6" i="206"/>
  <c r="I7" i="206"/>
  <c r="F7" i="206" s="1"/>
  <c r="I6" i="206"/>
  <c r="F6" i="206" s="1"/>
  <c r="M6" i="206"/>
  <c r="L45" i="212"/>
  <c r="J45" i="212"/>
  <c r="H45" i="212"/>
  <c r="H32" i="212"/>
  <c r="H24" i="212"/>
  <c r="H14" i="212"/>
  <c r="G45" i="212"/>
  <c r="E45" i="212"/>
  <c r="O41" i="212"/>
  <c r="M41" i="212"/>
  <c r="K41" i="212"/>
  <c r="I41" i="212"/>
  <c r="F41" i="212" s="1"/>
  <c r="O40" i="212"/>
  <c r="M40" i="212"/>
  <c r="K40" i="212"/>
  <c r="I40" i="212"/>
  <c r="F40" i="212" s="1"/>
  <c r="O39" i="212"/>
  <c r="M39" i="212"/>
  <c r="K39" i="212"/>
  <c r="I39" i="212"/>
  <c r="F39" i="212" s="1"/>
  <c r="O38" i="212"/>
  <c r="M38" i="212"/>
  <c r="K38" i="212"/>
  <c r="I38" i="212"/>
  <c r="F38" i="212" s="1"/>
  <c r="O37" i="212"/>
  <c r="M37" i="212"/>
  <c r="K37" i="212"/>
  <c r="I37" i="212"/>
  <c r="F37" i="212" s="1"/>
  <c r="O36" i="212"/>
  <c r="O33" i="212"/>
  <c r="O34" i="212"/>
  <c r="O35" i="212"/>
  <c r="M36" i="212"/>
  <c r="K36" i="212"/>
  <c r="I36" i="212"/>
  <c r="F36" i="212" s="1"/>
  <c r="M35" i="212"/>
  <c r="K35" i="212"/>
  <c r="I35" i="212"/>
  <c r="F35" i="212" s="1"/>
  <c r="M34" i="212"/>
  <c r="M33" i="212"/>
  <c r="K34" i="212"/>
  <c r="K33" i="212"/>
  <c r="I34" i="212"/>
  <c r="F34" i="212" s="1"/>
  <c r="I33" i="212"/>
  <c r="L32" i="212"/>
  <c r="J32" i="212"/>
  <c r="G32" i="212"/>
  <c r="E32" i="212"/>
  <c r="E24" i="212"/>
  <c r="E14" i="212"/>
  <c r="O31" i="212"/>
  <c r="M31" i="212"/>
  <c r="K31" i="212"/>
  <c r="I31" i="212"/>
  <c r="F31" i="212" s="1"/>
  <c r="O30" i="212"/>
  <c r="M30" i="212"/>
  <c r="K30" i="212"/>
  <c r="I30" i="212"/>
  <c r="O29" i="212"/>
  <c r="M29" i="212"/>
  <c r="K29" i="212"/>
  <c r="I29" i="212"/>
  <c r="F29" i="212" s="1"/>
  <c r="O28" i="212"/>
  <c r="M28" i="212"/>
  <c r="K28" i="212"/>
  <c r="K25" i="212"/>
  <c r="K26" i="212"/>
  <c r="K27" i="212"/>
  <c r="I28" i="212"/>
  <c r="F28" i="212" s="1"/>
  <c r="O27" i="212"/>
  <c r="M27" i="212"/>
  <c r="I27" i="212"/>
  <c r="F27" i="212" s="1"/>
  <c r="O26" i="212"/>
  <c r="O25" i="212"/>
  <c r="M26" i="212"/>
  <c r="I26" i="212"/>
  <c r="F26" i="212" s="1"/>
  <c r="M25" i="212"/>
  <c r="I25" i="212"/>
  <c r="F25" i="212" s="1"/>
  <c r="L24" i="212"/>
  <c r="J24" i="212"/>
  <c r="G24" i="212"/>
  <c r="G14" i="212"/>
  <c r="O23" i="212"/>
  <c r="M23" i="212"/>
  <c r="K23" i="212"/>
  <c r="I23" i="212"/>
  <c r="F23" i="212" s="1"/>
  <c r="O22" i="212"/>
  <c r="M22" i="212"/>
  <c r="K22" i="212"/>
  <c r="K15" i="212"/>
  <c r="K16" i="212"/>
  <c r="K17" i="212"/>
  <c r="K18" i="212"/>
  <c r="K19" i="212"/>
  <c r="K20" i="212"/>
  <c r="K21" i="212"/>
  <c r="I22" i="212"/>
  <c r="F22" i="212" s="1"/>
  <c r="O21" i="212"/>
  <c r="M21" i="212"/>
  <c r="I21" i="212"/>
  <c r="F21" i="212" s="1"/>
  <c r="O20" i="212"/>
  <c r="M20" i="212"/>
  <c r="I20" i="212"/>
  <c r="F20" i="212" s="1"/>
  <c r="O19" i="212"/>
  <c r="M19" i="212"/>
  <c r="M15" i="212"/>
  <c r="M16" i="212"/>
  <c r="M17" i="212"/>
  <c r="M18" i="212"/>
  <c r="I19" i="212"/>
  <c r="F19" i="212" s="1"/>
  <c r="O18" i="212"/>
  <c r="I18" i="212"/>
  <c r="F18" i="212" s="1"/>
  <c r="O17" i="212"/>
  <c r="I17" i="212"/>
  <c r="O16" i="212"/>
  <c r="O15" i="212"/>
  <c r="I16" i="212"/>
  <c r="F16" i="212" s="1"/>
  <c r="I15" i="212"/>
  <c r="F15" i="212" s="1"/>
  <c r="L14" i="212"/>
  <c r="J14" i="212"/>
  <c r="O13" i="212"/>
  <c r="M13" i="212"/>
  <c r="K13" i="212"/>
  <c r="I13" i="212"/>
  <c r="F13" i="212" s="1"/>
  <c r="O12" i="212"/>
  <c r="O5" i="212"/>
  <c r="O6" i="212"/>
  <c r="O7" i="212"/>
  <c r="O8" i="212"/>
  <c r="O9" i="212"/>
  <c r="O10" i="212"/>
  <c r="O11" i="212"/>
  <c r="M12" i="212"/>
  <c r="K12" i="212"/>
  <c r="I12" i="212"/>
  <c r="F12" i="212" s="1"/>
  <c r="M11" i="212"/>
  <c r="K11" i="212"/>
  <c r="I11" i="212"/>
  <c r="F11" i="212" s="1"/>
  <c r="M10" i="212"/>
  <c r="K10" i="212"/>
  <c r="I10" i="212"/>
  <c r="F10" i="212" s="1"/>
  <c r="M9" i="212"/>
  <c r="K9" i="212"/>
  <c r="I9" i="212"/>
  <c r="F9" i="212" s="1"/>
  <c r="M8" i="212"/>
  <c r="K8" i="212"/>
  <c r="I8" i="212"/>
  <c r="F8" i="212" s="1"/>
  <c r="M7" i="212"/>
  <c r="M5" i="212"/>
  <c r="M6" i="212"/>
  <c r="K7" i="212"/>
  <c r="I7" i="212"/>
  <c r="F7" i="212" s="1"/>
  <c r="K6" i="212"/>
  <c r="K5" i="212"/>
  <c r="I6" i="212"/>
  <c r="I5" i="212"/>
  <c r="F5" i="212" s="1"/>
  <c r="L44" i="92"/>
  <c r="J44" i="92"/>
  <c r="J34" i="92"/>
  <c r="J24" i="92"/>
  <c r="J14" i="92"/>
  <c r="L34" i="92"/>
  <c r="L24" i="92"/>
  <c r="L14" i="92"/>
  <c r="H44" i="92"/>
  <c r="H34" i="92"/>
  <c r="H24" i="92"/>
  <c r="H14" i="92"/>
  <c r="G44" i="92"/>
  <c r="E44" i="92"/>
  <c r="O43" i="92"/>
  <c r="O35" i="92"/>
  <c r="O36" i="92"/>
  <c r="O37" i="92"/>
  <c r="O38" i="92"/>
  <c r="O39" i="92"/>
  <c r="O40" i="92"/>
  <c r="O41" i="92"/>
  <c r="O42" i="92"/>
  <c r="M43" i="92"/>
  <c r="K43" i="92"/>
  <c r="I43" i="92"/>
  <c r="F43" i="92" s="1"/>
  <c r="M42" i="92"/>
  <c r="K42" i="92"/>
  <c r="I42" i="92"/>
  <c r="F42" i="92" s="1"/>
  <c r="M41" i="92"/>
  <c r="K41" i="92"/>
  <c r="I41" i="92"/>
  <c r="F41" i="92" s="1"/>
  <c r="M40" i="92"/>
  <c r="K40" i="92"/>
  <c r="K35" i="92"/>
  <c r="K36" i="92"/>
  <c r="K37" i="92"/>
  <c r="K38" i="92"/>
  <c r="K39" i="92"/>
  <c r="I40" i="92"/>
  <c r="F40" i="92" s="1"/>
  <c r="M39" i="92"/>
  <c r="I39" i="92"/>
  <c r="F39" i="92" s="1"/>
  <c r="M38" i="92"/>
  <c r="I38" i="92"/>
  <c r="F38" i="92" s="1"/>
  <c r="M37" i="92"/>
  <c r="I37" i="92"/>
  <c r="F37" i="92" s="1"/>
  <c r="M36" i="92"/>
  <c r="I36" i="92"/>
  <c r="F36" i="92" s="1"/>
  <c r="M35" i="92"/>
  <c r="I35" i="92"/>
  <c r="F35" i="92" s="1"/>
  <c r="G34" i="92"/>
  <c r="E34" i="92"/>
  <c r="E24" i="92"/>
  <c r="E14" i="92"/>
  <c r="O33" i="92"/>
  <c r="M33" i="92"/>
  <c r="K33" i="92"/>
  <c r="I33" i="92"/>
  <c r="F33" i="92" s="1"/>
  <c r="O32" i="92"/>
  <c r="M32" i="92"/>
  <c r="K32" i="92"/>
  <c r="I32" i="92"/>
  <c r="F32" i="92" s="1"/>
  <c r="O31" i="92"/>
  <c r="M31" i="92"/>
  <c r="K31" i="92"/>
  <c r="I31" i="92"/>
  <c r="F31" i="92" s="1"/>
  <c r="O30" i="92"/>
  <c r="M30" i="92"/>
  <c r="K30" i="92"/>
  <c r="I30" i="92"/>
  <c r="F30" i="92" s="1"/>
  <c r="O29" i="92"/>
  <c r="M29" i="92"/>
  <c r="K29" i="92"/>
  <c r="I29" i="92"/>
  <c r="F29" i="92" s="1"/>
  <c r="O28" i="92"/>
  <c r="O25" i="92"/>
  <c r="O26" i="92"/>
  <c r="O27" i="92"/>
  <c r="M28" i="92"/>
  <c r="K28" i="92"/>
  <c r="I28" i="92"/>
  <c r="F28" i="92" s="1"/>
  <c r="M27" i="92"/>
  <c r="K27" i="92"/>
  <c r="K25" i="92"/>
  <c r="K26" i="92"/>
  <c r="K15" i="92"/>
  <c r="K16" i="92"/>
  <c r="K17" i="92"/>
  <c r="K18" i="92"/>
  <c r="K19" i="92"/>
  <c r="K20" i="92"/>
  <c r="K21" i="92"/>
  <c r="K22" i="92"/>
  <c r="K23" i="92"/>
  <c r="K5" i="92"/>
  <c r="K6" i="92"/>
  <c r="K7" i="92"/>
  <c r="K8" i="92"/>
  <c r="K9" i="92"/>
  <c r="K10" i="92"/>
  <c r="K11" i="92"/>
  <c r="K12" i="92"/>
  <c r="K13" i="92"/>
  <c r="I27" i="92"/>
  <c r="F27" i="92" s="1"/>
  <c r="M26" i="92"/>
  <c r="I26" i="92"/>
  <c r="F26" i="92" s="1"/>
  <c r="M25" i="92"/>
  <c r="I25" i="92"/>
  <c r="F25" i="92" s="1"/>
  <c r="G24" i="92"/>
  <c r="O23" i="92"/>
  <c r="M23" i="92"/>
  <c r="I23" i="92"/>
  <c r="F23" i="92" s="1"/>
  <c r="O22" i="92"/>
  <c r="M22" i="92"/>
  <c r="M15" i="92"/>
  <c r="M16" i="92"/>
  <c r="M17" i="92"/>
  <c r="M18" i="92"/>
  <c r="M19" i="92"/>
  <c r="M20" i="92"/>
  <c r="M21" i="92"/>
  <c r="I22" i="92"/>
  <c r="O21" i="92"/>
  <c r="I21" i="92"/>
  <c r="F21" i="92" s="1"/>
  <c r="O20" i="92"/>
  <c r="I20" i="92"/>
  <c r="F20" i="92" s="1"/>
  <c r="O19" i="92"/>
  <c r="I19" i="92"/>
  <c r="F19" i="92" s="1"/>
  <c r="O18" i="92"/>
  <c r="I18" i="92"/>
  <c r="F18" i="92" s="1"/>
  <c r="I15" i="92"/>
  <c r="F15" i="92" s="1"/>
  <c r="I16" i="92"/>
  <c r="F16" i="92" s="1"/>
  <c r="I17" i="92"/>
  <c r="F17" i="92" s="1"/>
  <c r="O17" i="92"/>
  <c r="O15" i="92"/>
  <c r="O16" i="92"/>
  <c r="G14" i="92"/>
  <c r="O13" i="92"/>
  <c r="M13" i="92"/>
  <c r="I13" i="92"/>
  <c r="F13" i="92" s="1"/>
  <c r="O12" i="92"/>
  <c r="M12" i="92"/>
  <c r="I12" i="92"/>
  <c r="F12" i="92" s="1"/>
  <c r="O11" i="92"/>
  <c r="M11" i="92"/>
  <c r="I11" i="92"/>
  <c r="F11" i="92" s="1"/>
  <c r="O10" i="92"/>
  <c r="M10" i="92"/>
  <c r="I10" i="92"/>
  <c r="F10" i="92" s="1"/>
  <c r="O9" i="92"/>
  <c r="M9" i="92"/>
  <c r="I9" i="92"/>
  <c r="F9" i="92" s="1"/>
  <c r="O8" i="92"/>
  <c r="M8" i="92"/>
  <c r="M5" i="92"/>
  <c r="M6" i="92"/>
  <c r="M7" i="92"/>
  <c r="I8" i="92"/>
  <c r="F8" i="92" s="1"/>
  <c r="I5" i="92"/>
  <c r="I6" i="92"/>
  <c r="F6" i="92" s="1"/>
  <c r="I7" i="92"/>
  <c r="F7" i="92" s="1"/>
  <c r="O7" i="92"/>
  <c r="O5" i="92"/>
  <c r="O6" i="92"/>
  <c r="L44" i="207"/>
  <c r="J44" i="207"/>
  <c r="H44" i="207"/>
  <c r="G44" i="207"/>
  <c r="E44" i="207"/>
  <c r="G34" i="207"/>
  <c r="G24" i="207"/>
  <c r="G14" i="207"/>
  <c r="O43" i="207"/>
  <c r="M43" i="207"/>
  <c r="K43" i="207"/>
  <c r="I43" i="207"/>
  <c r="F43" i="207" s="1"/>
  <c r="O42" i="207"/>
  <c r="M42" i="207"/>
  <c r="K42" i="207"/>
  <c r="I42" i="207"/>
  <c r="F42" i="207" s="1"/>
  <c r="O41" i="207"/>
  <c r="M41" i="207"/>
  <c r="K41" i="207"/>
  <c r="I41" i="207"/>
  <c r="F41" i="207" s="1"/>
  <c r="O40" i="207"/>
  <c r="M40" i="207"/>
  <c r="K40" i="207"/>
  <c r="K35" i="207"/>
  <c r="K36" i="207"/>
  <c r="K37" i="207"/>
  <c r="K38" i="207"/>
  <c r="K39" i="207"/>
  <c r="I40" i="207"/>
  <c r="F40" i="207" s="1"/>
  <c r="O39" i="207"/>
  <c r="M39" i="207"/>
  <c r="I39" i="207"/>
  <c r="F39" i="207" s="1"/>
  <c r="O38" i="207"/>
  <c r="M38" i="207"/>
  <c r="I38" i="207"/>
  <c r="F38" i="207" s="1"/>
  <c r="O37" i="207"/>
  <c r="M37" i="207"/>
  <c r="I37" i="207"/>
  <c r="F37" i="207" s="1"/>
  <c r="O36" i="207"/>
  <c r="M36" i="207"/>
  <c r="I36" i="207"/>
  <c r="F36" i="207" s="1"/>
  <c r="O35" i="207"/>
  <c r="M35" i="207"/>
  <c r="I35" i="207"/>
  <c r="F35" i="207" s="1"/>
  <c r="L34" i="207"/>
  <c r="J34" i="207"/>
  <c r="H34" i="207"/>
  <c r="H24" i="207"/>
  <c r="H14" i="207"/>
  <c r="E34" i="207"/>
  <c r="O33" i="207"/>
  <c r="M33" i="207"/>
  <c r="K33" i="207"/>
  <c r="I33" i="207"/>
  <c r="F33" i="207" s="1"/>
  <c r="O32" i="207"/>
  <c r="M32" i="207"/>
  <c r="K32" i="207"/>
  <c r="K25" i="207"/>
  <c r="K26" i="207"/>
  <c r="K27" i="207"/>
  <c r="K28" i="207"/>
  <c r="K29" i="207"/>
  <c r="K30" i="207"/>
  <c r="K31" i="207"/>
  <c r="I32" i="207"/>
  <c r="F32" i="207" s="1"/>
  <c r="O31" i="207"/>
  <c r="M31" i="207"/>
  <c r="I31" i="207"/>
  <c r="F31" i="207" s="1"/>
  <c r="O30" i="207"/>
  <c r="M30" i="207"/>
  <c r="I30" i="207"/>
  <c r="F30" i="207" s="1"/>
  <c r="O29" i="207"/>
  <c r="M29" i="207"/>
  <c r="I29" i="207"/>
  <c r="F29" i="207" s="1"/>
  <c r="O28" i="207"/>
  <c r="M28" i="207"/>
  <c r="I28" i="207"/>
  <c r="F28" i="207" s="1"/>
  <c r="O27" i="207"/>
  <c r="M27" i="207"/>
  <c r="I27" i="207"/>
  <c r="O26" i="207"/>
  <c r="M26" i="207"/>
  <c r="M25" i="207"/>
  <c r="I26" i="207"/>
  <c r="F26" i="207" s="1"/>
  <c r="O25" i="207"/>
  <c r="I25" i="207"/>
  <c r="F25" i="207" s="1"/>
  <c r="L24" i="207"/>
  <c r="J24" i="207"/>
  <c r="E24" i="207"/>
  <c r="O23" i="207"/>
  <c r="M23" i="207"/>
  <c r="K23" i="207"/>
  <c r="I23" i="207"/>
  <c r="F23" i="207" s="1"/>
  <c r="O22" i="207"/>
  <c r="M22" i="207"/>
  <c r="K22" i="207"/>
  <c r="I22" i="207"/>
  <c r="F22" i="207" s="1"/>
  <c r="O21" i="207"/>
  <c r="M21" i="207"/>
  <c r="K21" i="207"/>
  <c r="I21" i="207"/>
  <c r="F21" i="207" s="1"/>
  <c r="O20" i="207"/>
  <c r="M20" i="207"/>
  <c r="K20" i="207"/>
  <c r="I20" i="207"/>
  <c r="F20" i="207" s="1"/>
  <c r="O19" i="207"/>
  <c r="M19" i="207"/>
  <c r="K19" i="207"/>
  <c r="I19" i="207"/>
  <c r="F19" i="207" s="1"/>
  <c r="O18" i="207"/>
  <c r="M18" i="207"/>
  <c r="K18" i="207"/>
  <c r="I18" i="207"/>
  <c r="F18" i="207" s="1"/>
  <c r="O17" i="207"/>
  <c r="M17" i="207"/>
  <c r="M15" i="207"/>
  <c r="M16" i="207"/>
  <c r="K17" i="207"/>
  <c r="K15" i="207"/>
  <c r="K16" i="207"/>
  <c r="I17" i="207"/>
  <c r="F17" i="207" s="1"/>
  <c r="O16" i="207"/>
  <c r="I16" i="207"/>
  <c r="F16" i="207" s="1"/>
  <c r="I15" i="207"/>
  <c r="F15" i="207" s="1"/>
  <c r="O15" i="207"/>
  <c r="E14" i="207"/>
  <c r="O13" i="207"/>
  <c r="M13" i="207"/>
  <c r="K13" i="207"/>
  <c r="I13" i="207"/>
  <c r="F13" i="207" s="1"/>
  <c r="O12" i="207"/>
  <c r="M12" i="207"/>
  <c r="K12" i="207"/>
  <c r="I12" i="207"/>
  <c r="F12" i="207" s="1"/>
  <c r="O11" i="207"/>
  <c r="M11" i="207"/>
  <c r="K11" i="207"/>
  <c r="K5" i="207"/>
  <c r="K6" i="207"/>
  <c r="K7" i="207"/>
  <c r="K8" i="207"/>
  <c r="K9" i="207"/>
  <c r="K10" i="207"/>
  <c r="I11" i="207"/>
  <c r="F11" i="207" s="1"/>
  <c r="O10" i="207"/>
  <c r="M10" i="207"/>
  <c r="I10" i="207"/>
  <c r="F10" i="207" s="1"/>
  <c r="O9" i="207"/>
  <c r="M9" i="207"/>
  <c r="I9" i="207"/>
  <c r="F9" i="207" s="1"/>
  <c r="O8" i="207"/>
  <c r="M8" i="207"/>
  <c r="I8" i="207"/>
  <c r="F8" i="207" s="1"/>
  <c r="O7" i="207"/>
  <c r="M7" i="207"/>
  <c r="I7" i="207"/>
  <c r="O6" i="207"/>
  <c r="O5" i="207"/>
  <c r="M6" i="207"/>
  <c r="I6" i="207"/>
  <c r="F6" i="207" s="1"/>
  <c r="M5" i="207"/>
  <c r="I5" i="207"/>
  <c r="F5" i="207" s="1"/>
  <c r="L44" i="187"/>
  <c r="J44" i="187"/>
  <c r="J34" i="187"/>
  <c r="J24" i="187"/>
  <c r="J14" i="187"/>
  <c r="L34" i="187"/>
  <c r="L24" i="187"/>
  <c r="L14" i="187"/>
  <c r="H44" i="187"/>
  <c r="H34" i="187"/>
  <c r="H24" i="187"/>
  <c r="H14" i="187"/>
  <c r="G44" i="187"/>
  <c r="E44" i="187"/>
  <c r="G34" i="187"/>
  <c r="G24" i="187"/>
  <c r="G14" i="187"/>
  <c r="O43" i="187"/>
  <c r="M43" i="187"/>
  <c r="K43" i="187"/>
  <c r="I43" i="187"/>
  <c r="F43" i="187" s="1"/>
  <c r="O42" i="187"/>
  <c r="M42" i="187"/>
  <c r="K42" i="187"/>
  <c r="I42" i="187"/>
  <c r="F42" i="187" s="1"/>
  <c r="O41" i="187"/>
  <c r="M41" i="187"/>
  <c r="K41" i="187"/>
  <c r="I41" i="187"/>
  <c r="F41" i="187" s="1"/>
  <c r="O40" i="187"/>
  <c r="O35" i="187"/>
  <c r="O36" i="187"/>
  <c r="O37" i="187"/>
  <c r="O38" i="187"/>
  <c r="O39" i="187"/>
  <c r="M40" i="187"/>
  <c r="K40" i="187"/>
  <c r="I40" i="187"/>
  <c r="F40" i="187" s="1"/>
  <c r="M39" i="187"/>
  <c r="K39" i="187"/>
  <c r="I39" i="187"/>
  <c r="F39" i="187" s="1"/>
  <c r="M38" i="187"/>
  <c r="K38" i="187"/>
  <c r="I38" i="187"/>
  <c r="F38" i="187" s="1"/>
  <c r="M37" i="187"/>
  <c r="K37" i="187"/>
  <c r="I37" i="187"/>
  <c r="F37" i="187" s="1"/>
  <c r="M36" i="187"/>
  <c r="K36" i="187"/>
  <c r="I36" i="187"/>
  <c r="M35" i="187"/>
  <c r="K35" i="187"/>
  <c r="I35" i="187"/>
  <c r="F35" i="187" s="1"/>
  <c r="E34" i="187"/>
  <c r="E24" i="187"/>
  <c r="E14" i="187"/>
  <c r="O33" i="187"/>
  <c r="M33" i="187"/>
  <c r="K33" i="187"/>
  <c r="I33" i="187"/>
  <c r="F33" i="187" s="1"/>
  <c r="O32" i="187"/>
  <c r="M32" i="187"/>
  <c r="K32" i="187"/>
  <c r="I32" i="187"/>
  <c r="F32" i="187" s="1"/>
  <c r="O31" i="187"/>
  <c r="O25" i="187"/>
  <c r="O26" i="187"/>
  <c r="O27" i="187"/>
  <c r="O28" i="187"/>
  <c r="O29" i="187"/>
  <c r="O30" i="187"/>
  <c r="M31" i="187"/>
  <c r="K31" i="187"/>
  <c r="I31" i="187"/>
  <c r="F31" i="187" s="1"/>
  <c r="M30" i="187"/>
  <c r="K30" i="187"/>
  <c r="I30" i="187"/>
  <c r="F30" i="187" s="1"/>
  <c r="M29" i="187"/>
  <c r="K29" i="187"/>
  <c r="I29" i="187"/>
  <c r="F29" i="187" s="1"/>
  <c r="M28" i="187"/>
  <c r="K28" i="187"/>
  <c r="I28" i="187"/>
  <c r="F28" i="187" s="1"/>
  <c r="M27" i="187"/>
  <c r="K27" i="187"/>
  <c r="I27" i="187"/>
  <c r="F27" i="187" s="1"/>
  <c r="M26" i="187"/>
  <c r="M25" i="187"/>
  <c r="K26" i="187"/>
  <c r="I26" i="187"/>
  <c r="F26" i="187" s="1"/>
  <c r="K25" i="187"/>
  <c r="K15" i="187"/>
  <c r="K16" i="187"/>
  <c r="K17" i="187"/>
  <c r="K18" i="187"/>
  <c r="K19" i="187"/>
  <c r="K20" i="187"/>
  <c r="K21" i="187"/>
  <c r="K22" i="187"/>
  <c r="K23" i="187"/>
  <c r="K5" i="187"/>
  <c r="K6" i="187"/>
  <c r="K7" i="187"/>
  <c r="K8" i="187"/>
  <c r="K9" i="187"/>
  <c r="K10" i="187"/>
  <c r="K11" i="187"/>
  <c r="K12" i="187"/>
  <c r="K13" i="187"/>
  <c r="I25" i="187"/>
  <c r="F25" i="187" s="1"/>
  <c r="O23" i="187"/>
  <c r="M23" i="187"/>
  <c r="I23" i="187"/>
  <c r="F23" i="187" s="1"/>
  <c r="O22" i="187"/>
  <c r="M22" i="187"/>
  <c r="M15" i="187"/>
  <c r="M16" i="187"/>
  <c r="M17" i="187"/>
  <c r="M18" i="187"/>
  <c r="M19" i="187"/>
  <c r="M20" i="187"/>
  <c r="M21" i="187"/>
  <c r="I22" i="187"/>
  <c r="F22" i="187" s="1"/>
  <c r="O21" i="187"/>
  <c r="I21" i="187"/>
  <c r="O20" i="187"/>
  <c r="I20" i="187"/>
  <c r="F20" i="187" s="1"/>
  <c r="I15" i="187"/>
  <c r="F15" i="187" s="1"/>
  <c r="I16" i="187"/>
  <c r="F16" i="187" s="1"/>
  <c r="I17" i="187"/>
  <c r="F17" i="187" s="1"/>
  <c r="I18" i="187"/>
  <c r="F18" i="187" s="1"/>
  <c r="I19" i="187"/>
  <c r="F19" i="187" s="1"/>
  <c r="O19" i="187"/>
  <c r="O18" i="187"/>
  <c r="O17" i="187"/>
  <c r="O15" i="187"/>
  <c r="O16" i="187"/>
  <c r="O13" i="187"/>
  <c r="M13" i="187"/>
  <c r="I13" i="187"/>
  <c r="F13" i="187" s="1"/>
  <c r="O12" i="187"/>
  <c r="M12" i="187"/>
  <c r="I12" i="187"/>
  <c r="F12" i="187" s="1"/>
  <c r="O11" i="187"/>
  <c r="M11" i="187"/>
  <c r="I11" i="187"/>
  <c r="O10" i="187"/>
  <c r="M10" i="187"/>
  <c r="I10" i="187"/>
  <c r="F10" i="187" s="1"/>
  <c r="O9" i="187"/>
  <c r="M9" i="187"/>
  <c r="I9" i="187"/>
  <c r="F9" i="187" s="1"/>
  <c r="O8" i="187"/>
  <c r="O5" i="187"/>
  <c r="O6" i="187"/>
  <c r="O7" i="187"/>
  <c r="M8" i="187"/>
  <c r="I8" i="187"/>
  <c r="F8" i="187" s="1"/>
  <c r="M7" i="187"/>
  <c r="I7" i="187"/>
  <c r="M6" i="187"/>
  <c r="M5" i="187"/>
  <c r="I6" i="187"/>
  <c r="F6" i="187" s="1"/>
  <c r="I5" i="187"/>
  <c r="F5" i="187" s="1"/>
  <c r="L44" i="147"/>
  <c r="J44" i="147"/>
  <c r="H44" i="147"/>
  <c r="G44" i="147"/>
  <c r="E44" i="147"/>
  <c r="O43" i="147"/>
  <c r="M43" i="147"/>
  <c r="K43" i="147"/>
  <c r="I43" i="147"/>
  <c r="F43" i="147" s="1"/>
  <c r="O42" i="147"/>
  <c r="M42" i="147"/>
  <c r="K42" i="147"/>
  <c r="I42" i="147"/>
  <c r="F42" i="147" s="1"/>
  <c r="O41" i="147"/>
  <c r="M41" i="147"/>
  <c r="K41" i="147"/>
  <c r="I41" i="147"/>
  <c r="F41" i="147" s="1"/>
  <c r="O40" i="147"/>
  <c r="M40" i="147"/>
  <c r="K40" i="147"/>
  <c r="I40" i="147"/>
  <c r="F40" i="147" s="1"/>
  <c r="O39" i="147"/>
  <c r="M39" i="147"/>
  <c r="K39" i="147"/>
  <c r="I39" i="147"/>
  <c r="F39" i="147" s="1"/>
  <c r="O38" i="147"/>
  <c r="M38" i="147"/>
  <c r="M35" i="147"/>
  <c r="M36" i="147"/>
  <c r="M37" i="147"/>
  <c r="M25" i="147"/>
  <c r="M26" i="147"/>
  <c r="M27" i="147"/>
  <c r="M28" i="147"/>
  <c r="M29" i="147"/>
  <c r="M30" i="147"/>
  <c r="M31" i="147"/>
  <c r="M32" i="147"/>
  <c r="M33" i="147"/>
  <c r="M15" i="147"/>
  <c r="M16" i="147"/>
  <c r="M17" i="147"/>
  <c r="M18" i="147"/>
  <c r="M19" i="147"/>
  <c r="M20" i="147"/>
  <c r="M21" i="147"/>
  <c r="M22" i="147"/>
  <c r="M23" i="147"/>
  <c r="M5" i="147"/>
  <c r="M6" i="147"/>
  <c r="M7" i="147"/>
  <c r="M8" i="147"/>
  <c r="M9" i="147"/>
  <c r="M10" i="147"/>
  <c r="M11" i="147"/>
  <c r="M12" i="147"/>
  <c r="M13" i="147"/>
  <c r="K38" i="147"/>
  <c r="I38" i="147"/>
  <c r="F38" i="147" s="1"/>
  <c r="O37" i="147"/>
  <c r="K37" i="147"/>
  <c r="K35" i="147"/>
  <c r="K36" i="147"/>
  <c r="I37" i="147"/>
  <c r="O36" i="147"/>
  <c r="O35" i="147"/>
  <c r="I36" i="147"/>
  <c r="F36" i="147" s="1"/>
  <c r="I35" i="147"/>
  <c r="F35" i="147" s="1"/>
  <c r="L34" i="147"/>
  <c r="L24" i="147"/>
  <c r="J24" i="147"/>
  <c r="L14" i="147"/>
  <c r="J14" i="147"/>
  <c r="J34" i="147"/>
  <c r="H34" i="147"/>
  <c r="H24" i="147"/>
  <c r="H14" i="147"/>
  <c r="G34" i="147"/>
  <c r="G24" i="147"/>
  <c r="G14" i="147"/>
  <c r="E34" i="147"/>
  <c r="E24" i="147"/>
  <c r="E14" i="147"/>
  <c r="O33" i="147"/>
  <c r="K33" i="147"/>
  <c r="I33" i="147"/>
  <c r="F33" i="147" s="1"/>
  <c r="O32" i="147"/>
  <c r="K32" i="147"/>
  <c r="I32" i="147"/>
  <c r="F32" i="147" s="1"/>
  <c r="O31" i="147"/>
  <c r="K31" i="147"/>
  <c r="K25" i="147"/>
  <c r="K26" i="147"/>
  <c r="K27" i="147"/>
  <c r="K28" i="147"/>
  <c r="K29" i="147"/>
  <c r="K30" i="147"/>
  <c r="I31" i="147"/>
  <c r="F31" i="147" s="1"/>
  <c r="O30" i="147"/>
  <c r="I30" i="147"/>
  <c r="F30" i="147" s="1"/>
  <c r="O29" i="147"/>
  <c r="I29" i="147"/>
  <c r="F29" i="147" s="1"/>
  <c r="O28" i="147"/>
  <c r="O25" i="147"/>
  <c r="O26" i="147"/>
  <c r="O27" i="147"/>
  <c r="I28" i="147"/>
  <c r="F28" i="147" s="1"/>
  <c r="I27" i="147"/>
  <c r="F27" i="147" s="1"/>
  <c r="I26" i="147"/>
  <c r="F26" i="147" s="1"/>
  <c r="I25" i="147"/>
  <c r="F25" i="147" s="1"/>
  <c r="O23" i="147"/>
  <c r="K23" i="147"/>
  <c r="I23" i="147"/>
  <c r="F23" i="147" s="1"/>
  <c r="O22" i="147"/>
  <c r="K22" i="147"/>
  <c r="I22" i="147"/>
  <c r="F22" i="147" s="1"/>
  <c r="O21" i="147"/>
  <c r="K21" i="147"/>
  <c r="I21" i="147"/>
  <c r="F21" i="147" s="1"/>
  <c r="O20" i="147"/>
  <c r="K20" i="147"/>
  <c r="I20" i="147"/>
  <c r="F20" i="147" s="1"/>
  <c r="O19" i="147"/>
  <c r="K19" i="147"/>
  <c r="I19" i="147"/>
  <c r="F19" i="147" s="1"/>
  <c r="O18" i="147"/>
  <c r="O15" i="147"/>
  <c r="O16" i="147"/>
  <c r="O17" i="147"/>
  <c r="K18" i="147"/>
  <c r="I18" i="147"/>
  <c r="F18" i="147" s="1"/>
  <c r="K17" i="147"/>
  <c r="I17" i="147"/>
  <c r="F17" i="147" s="1"/>
  <c r="K16" i="147"/>
  <c r="I16" i="147"/>
  <c r="F16" i="147" s="1"/>
  <c r="K15" i="147"/>
  <c r="I15" i="147"/>
  <c r="O13" i="147"/>
  <c r="K13" i="147"/>
  <c r="I13" i="147"/>
  <c r="F13" i="147" s="1"/>
  <c r="O12" i="147"/>
  <c r="K12" i="147"/>
  <c r="I12" i="147"/>
  <c r="F12" i="147" s="1"/>
  <c r="O11" i="147"/>
  <c r="K11" i="147"/>
  <c r="K5" i="147"/>
  <c r="K6" i="147"/>
  <c r="K7" i="147"/>
  <c r="K8" i="147"/>
  <c r="K9" i="147"/>
  <c r="K10" i="147"/>
  <c r="I11" i="147"/>
  <c r="F11" i="147" s="1"/>
  <c r="O10" i="147"/>
  <c r="I10" i="147"/>
  <c r="F10" i="147" s="1"/>
  <c r="O9" i="147"/>
  <c r="I9" i="147"/>
  <c r="F9" i="147" s="1"/>
  <c r="O8" i="147"/>
  <c r="I8" i="147"/>
  <c r="F8" i="147" s="1"/>
  <c r="O7" i="147"/>
  <c r="O5" i="147"/>
  <c r="O6" i="147"/>
  <c r="I7" i="147"/>
  <c r="F7" i="147" s="1"/>
  <c r="I6" i="147"/>
  <c r="F6" i="147" s="1"/>
  <c r="I5" i="147"/>
  <c r="F5" i="147" s="1"/>
  <c r="L44" i="208"/>
  <c r="J44" i="208"/>
  <c r="H44" i="208"/>
  <c r="H34" i="208"/>
  <c r="H24" i="208"/>
  <c r="H14" i="208"/>
  <c r="G44" i="208"/>
  <c r="E44" i="208"/>
  <c r="G34" i="208"/>
  <c r="G24" i="208"/>
  <c r="G14" i="208"/>
  <c r="O43" i="208"/>
  <c r="M43" i="208"/>
  <c r="K43" i="208"/>
  <c r="I43" i="208"/>
  <c r="F43" i="208" s="1"/>
  <c r="O42" i="208"/>
  <c r="M42" i="208"/>
  <c r="K42" i="208"/>
  <c r="I42" i="208"/>
  <c r="F42" i="208" s="1"/>
  <c r="O41" i="208"/>
  <c r="M41" i="208"/>
  <c r="K41" i="208"/>
  <c r="I41" i="208"/>
  <c r="F41" i="208" s="1"/>
  <c r="O40" i="208"/>
  <c r="M40" i="208"/>
  <c r="K40" i="208"/>
  <c r="I40" i="208"/>
  <c r="F40" i="208" s="1"/>
  <c r="O39" i="208"/>
  <c r="M39" i="208"/>
  <c r="K39" i="208"/>
  <c r="I39" i="208"/>
  <c r="F39" i="208" s="1"/>
  <c r="O38" i="208"/>
  <c r="M38" i="208"/>
  <c r="K38" i="208"/>
  <c r="I38" i="208"/>
  <c r="F38" i="208" s="1"/>
  <c r="O37" i="208"/>
  <c r="M37" i="208"/>
  <c r="K37" i="208"/>
  <c r="I37" i="208"/>
  <c r="F37" i="208" s="1"/>
  <c r="O36" i="208"/>
  <c r="O35" i="208"/>
  <c r="O25" i="208"/>
  <c r="O26" i="208"/>
  <c r="O27" i="208"/>
  <c r="O28" i="208"/>
  <c r="O29" i="208"/>
  <c r="O30" i="208"/>
  <c r="O31" i="208"/>
  <c r="O32" i="208"/>
  <c r="O33" i="208"/>
  <c r="O15" i="208"/>
  <c r="O16" i="208"/>
  <c r="O17" i="208"/>
  <c r="O18" i="208"/>
  <c r="O19" i="208"/>
  <c r="O20" i="208"/>
  <c r="O21" i="208"/>
  <c r="O22" i="208"/>
  <c r="O23" i="208"/>
  <c r="O5" i="208"/>
  <c r="O6" i="208"/>
  <c r="O7" i="208"/>
  <c r="O8" i="208"/>
  <c r="O9" i="208"/>
  <c r="O10" i="208"/>
  <c r="O11" i="208"/>
  <c r="O12" i="208"/>
  <c r="O13" i="208"/>
  <c r="M36" i="208"/>
  <c r="M35" i="208"/>
  <c r="M25" i="208"/>
  <c r="M26" i="208"/>
  <c r="M27" i="208"/>
  <c r="M28" i="208"/>
  <c r="M29" i="208"/>
  <c r="M30" i="208"/>
  <c r="M31" i="208"/>
  <c r="M32" i="208"/>
  <c r="M33" i="208"/>
  <c r="M15" i="208"/>
  <c r="M16" i="208"/>
  <c r="M17" i="208"/>
  <c r="M18" i="208"/>
  <c r="M19" i="208"/>
  <c r="M20" i="208"/>
  <c r="M21" i="208"/>
  <c r="M22" i="208"/>
  <c r="M23" i="208"/>
  <c r="M5" i="208"/>
  <c r="M6" i="208"/>
  <c r="M7" i="208"/>
  <c r="M8" i="208"/>
  <c r="M9" i="208"/>
  <c r="M10" i="208"/>
  <c r="M11" i="208"/>
  <c r="M12" i="208"/>
  <c r="M13" i="208"/>
  <c r="K36" i="208"/>
  <c r="K35" i="208"/>
  <c r="I36" i="208"/>
  <c r="F36" i="208" s="1"/>
  <c r="I35" i="208"/>
  <c r="F35" i="208" s="1"/>
  <c r="L34" i="208"/>
  <c r="E34" i="208"/>
  <c r="E24" i="208"/>
  <c r="E14" i="208"/>
  <c r="K33" i="208"/>
  <c r="I33" i="208"/>
  <c r="F33" i="208" s="1"/>
  <c r="K32" i="208"/>
  <c r="I32" i="208"/>
  <c r="F32" i="208" s="1"/>
  <c r="K31" i="208"/>
  <c r="K25" i="208"/>
  <c r="K26" i="208"/>
  <c r="K27" i="208"/>
  <c r="K28" i="208"/>
  <c r="K29" i="208"/>
  <c r="K30" i="208"/>
  <c r="I31" i="208"/>
  <c r="F31" i="208" s="1"/>
  <c r="I30" i="208"/>
  <c r="F30" i="208" s="1"/>
  <c r="I29" i="208"/>
  <c r="F29" i="208" s="1"/>
  <c r="I28" i="208"/>
  <c r="F28" i="208" s="1"/>
  <c r="I25" i="208"/>
  <c r="I26" i="208"/>
  <c r="F26" i="208" s="1"/>
  <c r="I27" i="208"/>
  <c r="F27" i="208" s="1"/>
  <c r="L24" i="208"/>
  <c r="J24" i="208"/>
  <c r="J14" i="208"/>
  <c r="L14" i="208"/>
  <c r="K23" i="208"/>
  <c r="I23" i="208"/>
  <c r="F23" i="208" s="1"/>
  <c r="K22" i="208"/>
  <c r="I22" i="208"/>
  <c r="F22" i="208" s="1"/>
  <c r="K21" i="208"/>
  <c r="K15" i="208"/>
  <c r="K16" i="208"/>
  <c r="K17" i="208"/>
  <c r="K18" i="208"/>
  <c r="K19" i="208"/>
  <c r="K20" i="208"/>
  <c r="I21" i="208"/>
  <c r="F21" i="208" s="1"/>
  <c r="I20" i="208"/>
  <c r="F20" i="208" s="1"/>
  <c r="I19" i="208"/>
  <c r="F19" i="208" s="1"/>
  <c r="I18" i="208"/>
  <c r="F18" i="208" s="1"/>
  <c r="I17" i="208"/>
  <c r="F17" i="208" s="1"/>
  <c r="I16" i="208"/>
  <c r="F16" i="208" s="1"/>
  <c r="I15" i="208"/>
  <c r="F15" i="208" s="1"/>
  <c r="K13" i="208"/>
  <c r="I13" i="208"/>
  <c r="F13" i="208" s="1"/>
  <c r="K12" i="208"/>
  <c r="I12" i="208"/>
  <c r="F12" i="208" s="1"/>
  <c r="K11" i="208"/>
  <c r="I11" i="208"/>
  <c r="F11" i="208" s="1"/>
  <c r="K10" i="208"/>
  <c r="I10" i="208"/>
  <c r="F10" i="208" s="1"/>
  <c r="K9" i="208"/>
  <c r="I9" i="208"/>
  <c r="F9" i="208" s="1"/>
  <c r="K8" i="208"/>
  <c r="I8" i="208"/>
  <c r="F8" i="208" s="1"/>
  <c r="K7" i="208"/>
  <c r="I7" i="208"/>
  <c r="F7" i="208" s="1"/>
  <c r="K6" i="208"/>
  <c r="I6" i="208"/>
  <c r="F6" i="208" s="1"/>
  <c r="I5" i="208"/>
  <c r="K5" i="208"/>
  <c r="L44" i="80"/>
  <c r="J44" i="80"/>
  <c r="J34" i="80"/>
  <c r="J24" i="80"/>
  <c r="J14" i="80"/>
  <c r="L24" i="80"/>
  <c r="H44" i="80"/>
  <c r="H34" i="80"/>
  <c r="H24" i="80"/>
  <c r="H14" i="80"/>
  <c r="G44" i="80"/>
  <c r="E44" i="80"/>
  <c r="G34" i="80"/>
  <c r="G24" i="80"/>
  <c r="G14" i="80"/>
  <c r="O43" i="80"/>
  <c r="M43" i="80"/>
  <c r="K43" i="80"/>
  <c r="I43" i="80"/>
  <c r="F43" i="80" s="1"/>
  <c r="O42" i="80"/>
  <c r="M42" i="80"/>
  <c r="K42" i="80"/>
  <c r="I42" i="80"/>
  <c r="I35" i="80"/>
  <c r="F35" i="80" s="1"/>
  <c r="I36" i="80"/>
  <c r="F36" i="80" s="1"/>
  <c r="I37" i="80"/>
  <c r="F37" i="80" s="1"/>
  <c r="I38" i="80"/>
  <c r="F38" i="80" s="1"/>
  <c r="I39" i="80"/>
  <c r="F39" i="80" s="1"/>
  <c r="I40" i="80"/>
  <c r="F40" i="80" s="1"/>
  <c r="I41" i="80"/>
  <c r="F41" i="80" s="1"/>
  <c r="O41" i="80"/>
  <c r="M41" i="80"/>
  <c r="K41" i="80"/>
  <c r="K35" i="80"/>
  <c r="K36" i="80"/>
  <c r="K37" i="80"/>
  <c r="K38" i="80"/>
  <c r="K39" i="80"/>
  <c r="K40" i="80"/>
  <c r="O40" i="80"/>
  <c r="M40" i="80"/>
  <c r="O39" i="80"/>
  <c r="O35" i="80"/>
  <c r="O36" i="80"/>
  <c r="O37" i="80"/>
  <c r="O38" i="80"/>
  <c r="M39" i="80"/>
  <c r="M38" i="80"/>
  <c r="M37" i="80"/>
  <c r="M36" i="80"/>
  <c r="M35" i="80"/>
  <c r="L34" i="80"/>
  <c r="E34" i="80"/>
  <c r="E24" i="80"/>
  <c r="E14" i="80"/>
  <c r="O33" i="80"/>
  <c r="M33" i="80"/>
  <c r="K33" i="80"/>
  <c r="I33" i="80"/>
  <c r="F33" i="80" s="1"/>
  <c r="O32" i="80"/>
  <c r="M32" i="80"/>
  <c r="K32" i="80"/>
  <c r="I32" i="80"/>
  <c r="F32" i="80" s="1"/>
  <c r="O31" i="80"/>
  <c r="M31" i="80"/>
  <c r="K31" i="80"/>
  <c r="K25" i="80"/>
  <c r="K26" i="80"/>
  <c r="K27" i="80"/>
  <c r="K28" i="80"/>
  <c r="K29" i="80"/>
  <c r="K30" i="80"/>
  <c r="I31" i="80"/>
  <c r="F31" i="80" s="1"/>
  <c r="O30" i="80"/>
  <c r="M30" i="80"/>
  <c r="I30" i="80"/>
  <c r="F30" i="80" s="1"/>
  <c r="O29" i="80"/>
  <c r="M29" i="80"/>
  <c r="I29" i="80"/>
  <c r="F29" i="80" s="1"/>
  <c r="O28" i="80"/>
  <c r="M28" i="80"/>
  <c r="M25" i="80"/>
  <c r="M26" i="80"/>
  <c r="M27" i="80"/>
  <c r="I28" i="80"/>
  <c r="F28" i="80" s="1"/>
  <c r="O27" i="80"/>
  <c r="O25" i="80"/>
  <c r="O26" i="80"/>
  <c r="I27" i="80"/>
  <c r="F27" i="80" s="1"/>
  <c r="I26" i="80"/>
  <c r="F26" i="80" s="1"/>
  <c r="I25" i="80"/>
  <c r="F25" i="80" s="1"/>
  <c r="O23" i="80"/>
  <c r="M23" i="80"/>
  <c r="K23" i="80"/>
  <c r="I23" i="80"/>
  <c r="F23" i="80" s="1"/>
  <c r="O22" i="80"/>
  <c r="M22" i="80"/>
  <c r="K22" i="80"/>
  <c r="I22" i="80"/>
  <c r="F22" i="80" s="1"/>
  <c r="O21" i="80"/>
  <c r="M21" i="80"/>
  <c r="K21" i="80"/>
  <c r="I21" i="80"/>
  <c r="F21" i="80" s="1"/>
  <c r="O20" i="80"/>
  <c r="M20" i="80"/>
  <c r="K20" i="80"/>
  <c r="I20" i="80"/>
  <c r="F20" i="80" s="1"/>
  <c r="I15" i="80"/>
  <c r="F15" i="80" s="1"/>
  <c r="I16" i="80"/>
  <c r="F16" i="80" s="1"/>
  <c r="I17" i="80"/>
  <c r="F17" i="80" s="1"/>
  <c r="I18" i="80"/>
  <c r="F18" i="80" s="1"/>
  <c r="I19" i="80"/>
  <c r="F19" i="80" s="1"/>
  <c r="O19" i="80"/>
  <c r="M19" i="80"/>
  <c r="K19" i="80"/>
  <c r="O18" i="80"/>
  <c r="M18" i="80"/>
  <c r="K18" i="80"/>
  <c r="O17" i="80"/>
  <c r="O15" i="80"/>
  <c r="O16" i="80"/>
  <c r="M17" i="80"/>
  <c r="K17" i="80"/>
  <c r="M16" i="80"/>
  <c r="K16" i="80"/>
  <c r="K15" i="80"/>
  <c r="M15" i="80"/>
  <c r="L14" i="80"/>
  <c r="O13" i="80"/>
  <c r="M13" i="80"/>
  <c r="K13" i="80"/>
  <c r="K5" i="80"/>
  <c r="K6" i="80"/>
  <c r="K7" i="80"/>
  <c r="K8" i="80"/>
  <c r="K9" i="80"/>
  <c r="K10" i="80"/>
  <c r="K11" i="80"/>
  <c r="K12" i="80"/>
  <c r="I13" i="80"/>
  <c r="F13" i="80" s="1"/>
  <c r="O12" i="80"/>
  <c r="O5" i="80"/>
  <c r="O6" i="80"/>
  <c r="O7" i="80"/>
  <c r="O8" i="80"/>
  <c r="O9" i="80"/>
  <c r="O10" i="80"/>
  <c r="O11" i="80"/>
  <c r="M12" i="80"/>
  <c r="I12" i="80"/>
  <c r="F12" i="80" s="1"/>
  <c r="M11" i="80"/>
  <c r="I11" i="80"/>
  <c r="F11" i="80" s="1"/>
  <c r="M10" i="80"/>
  <c r="I10" i="80"/>
  <c r="F10" i="80" s="1"/>
  <c r="I5" i="80"/>
  <c r="F5" i="80" s="1"/>
  <c r="I6" i="80"/>
  <c r="F6" i="80" s="1"/>
  <c r="I7" i="80"/>
  <c r="F7" i="80" s="1"/>
  <c r="I8" i="80"/>
  <c r="F8" i="80" s="1"/>
  <c r="I9" i="80"/>
  <c r="F9" i="80" s="1"/>
  <c r="M9" i="80"/>
  <c r="M8" i="80"/>
  <c r="M7" i="80"/>
  <c r="M6" i="80"/>
  <c r="M5" i="80"/>
  <c r="L43" i="209"/>
  <c r="L33" i="209"/>
  <c r="L24" i="209"/>
  <c r="L14" i="209"/>
  <c r="J43" i="209"/>
  <c r="H43" i="209"/>
  <c r="G43" i="209"/>
  <c r="E43" i="209"/>
  <c r="G24" i="209"/>
  <c r="G14" i="209"/>
  <c r="O42" i="209"/>
  <c r="M42" i="209"/>
  <c r="K42" i="209"/>
  <c r="I42" i="209"/>
  <c r="F42" i="209" s="1"/>
  <c r="O41" i="209"/>
  <c r="M41" i="209"/>
  <c r="K41" i="209"/>
  <c r="I41" i="209"/>
  <c r="F41" i="209" s="1"/>
  <c r="O40" i="209"/>
  <c r="O34" i="209"/>
  <c r="O35" i="209"/>
  <c r="O36" i="209"/>
  <c r="O37" i="209"/>
  <c r="O38" i="209"/>
  <c r="O39" i="209"/>
  <c r="M40" i="209"/>
  <c r="K40" i="209"/>
  <c r="I40" i="209"/>
  <c r="F40" i="209" s="1"/>
  <c r="M39" i="209"/>
  <c r="K39" i="209"/>
  <c r="I39" i="209"/>
  <c r="M38" i="209"/>
  <c r="K38" i="209"/>
  <c r="I38" i="209"/>
  <c r="F38" i="209" s="1"/>
  <c r="M37" i="209"/>
  <c r="K37" i="209"/>
  <c r="K34" i="209"/>
  <c r="K35" i="209"/>
  <c r="K36" i="209"/>
  <c r="I37" i="209"/>
  <c r="F37" i="209" s="1"/>
  <c r="M36" i="209"/>
  <c r="I36" i="209"/>
  <c r="F36" i="209" s="1"/>
  <c r="M35" i="209"/>
  <c r="M34" i="209"/>
  <c r="I35" i="209"/>
  <c r="F35" i="209" s="1"/>
  <c r="I34" i="209"/>
  <c r="F34" i="209" s="1"/>
  <c r="J33" i="209"/>
  <c r="H33" i="209"/>
  <c r="H24" i="209"/>
  <c r="H14" i="209"/>
  <c r="F33" i="209"/>
  <c r="O32" i="209"/>
  <c r="M32" i="209"/>
  <c r="K32" i="209"/>
  <c r="I32" i="209"/>
  <c r="F32" i="209" s="1"/>
  <c r="O31" i="209"/>
  <c r="M31" i="209"/>
  <c r="K31" i="209"/>
  <c r="I31" i="209"/>
  <c r="F31" i="209" s="1"/>
  <c r="O30" i="209"/>
  <c r="M30" i="209"/>
  <c r="K30" i="209"/>
  <c r="I30" i="209"/>
  <c r="F30" i="209" s="1"/>
  <c r="O29" i="209"/>
  <c r="M29" i="209"/>
  <c r="K29" i="209"/>
  <c r="I29" i="209"/>
  <c r="F29" i="209" s="1"/>
  <c r="O28" i="209"/>
  <c r="M28" i="209"/>
  <c r="K28" i="209"/>
  <c r="K25" i="209"/>
  <c r="K26" i="209"/>
  <c r="K27" i="209"/>
  <c r="I28" i="209"/>
  <c r="F28" i="209" s="1"/>
  <c r="O27" i="209"/>
  <c r="M27" i="209"/>
  <c r="I27" i="209"/>
  <c r="F27" i="209" s="1"/>
  <c r="O26" i="209"/>
  <c r="M26" i="209"/>
  <c r="M25" i="209"/>
  <c r="I26" i="209"/>
  <c r="F26" i="209" s="1"/>
  <c r="O25" i="209"/>
  <c r="I25" i="209"/>
  <c r="F25" i="209" s="1"/>
  <c r="J24" i="209"/>
  <c r="J14" i="209"/>
  <c r="E24" i="209"/>
  <c r="E14" i="209"/>
  <c r="O23" i="209"/>
  <c r="M23" i="209"/>
  <c r="K23" i="209"/>
  <c r="I23" i="209"/>
  <c r="F23" i="209" s="1"/>
  <c r="O22" i="209"/>
  <c r="M22" i="209"/>
  <c r="K22" i="209"/>
  <c r="I22" i="209"/>
  <c r="F22" i="209" s="1"/>
  <c r="O21" i="209"/>
  <c r="M21" i="209"/>
  <c r="K21" i="209"/>
  <c r="I21" i="209"/>
  <c r="F21" i="209" s="1"/>
  <c r="O20" i="209"/>
  <c r="M20" i="209"/>
  <c r="M15" i="209"/>
  <c r="M16" i="209"/>
  <c r="M17" i="209"/>
  <c r="M18" i="209"/>
  <c r="M19" i="209"/>
  <c r="K20" i="209"/>
  <c r="I20" i="209"/>
  <c r="F20" i="209" s="1"/>
  <c r="O19" i="209"/>
  <c r="K19" i="209"/>
  <c r="K15" i="209"/>
  <c r="K16" i="209"/>
  <c r="K17" i="209"/>
  <c r="K18" i="209"/>
  <c r="I19" i="209"/>
  <c r="F19" i="209" s="1"/>
  <c r="O18" i="209"/>
  <c r="I18" i="209"/>
  <c r="F18" i="209" s="1"/>
  <c r="I15" i="209"/>
  <c r="F15" i="209" s="1"/>
  <c r="I16" i="209"/>
  <c r="F16" i="209" s="1"/>
  <c r="I17" i="209"/>
  <c r="F17" i="209" s="1"/>
  <c r="O17" i="209"/>
  <c r="O16" i="209"/>
  <c r="O15" i="209"/>
  <c r="O13" i="209"/>
  <c r="M13" i="209"/>
  <c r="K13" i="209"/>
  <c r="I13" i="209"/>
  <c r="F13" i="209" s="1"/>
  <c r="O12" i="209"/>
  <c r="M12" i="209"/>
  <c r="K12" i="209"/>
  <c r="I12" i="209"/>
  <c r="F12" i="209" s="1"/>
  <c r="O11" i="209"/>
  <c r="O5" i="209"/>
  <c r="O6" i="209"/>
  <c r="O7" i="209"/>
  <c r="O8" i="209"/>
  <c r="O9" i="209"/>
  <c r="O10" i="209"/>
  <c r="M11" i="209"/>
  <c r="K11" i="209"/>
  <c r="I11" i="209"/>
  <c r="F11" i="209" s="1"/>
  <c r="M10" i="209"/>
  <c r="K10" i="209"/>
  <c r="I10" i="209"/>
  <c r="F10" i="209" s="1"/>
  <c r="M9" i="209"/>
  <c r="M5" i="209"/>
  <c r="M6" i="209"/>
  <c r="M7" i="209"/>
  <c r="M8" i="209"/>
  <c r="K9" i="209"/>
  <c r="I9" i="209"/>
  <c r="F9" i="209" s="1"/>
  <c r="K8" i="209"/>
  <c r="K5" i="209"/>
  <c r="K6" i="209"/>
  <c r="K7" i="209"/>
  <c r="I8" i="209"/>
  <c r="F8" i="209" s="1"/>
  <c r="I7" i="209"/>
  <c r="F7" i="209" s="1"/>
  <c r="I6" i="209"/>
  <c r="F6" i="209" s="1"/>
  <c r="I5" i="209"/>
  <c r="F5" i="209" s="1"/>
  <c r="H45" i="161"/>
  <c r="G45" i="161"/>
  <c r="E45" i="161"/>
  <c r="G35" i="161"/>
  <c r="G25" i="161"/>
  <c r="G15" i="161"/>
  <c r="O44" i="161"/>
  <c r="M44" i="161"/>
  <c r="K44" i="161"/>
  <c r="I44" i="161"/>
  <c r="F44" i="161" s="1"/>
  <c r="O43" i="161"/>
  <c r="M43" i="161"/>
  <c r="K43" i="161"/>
  <c r="I43" i="161"/>
  <c r="F43" i="161" s="1"/>
  <c r="O42" i="161"/>
  <c r="M42" i="161"/>
  <c r="K42" i="161"/>
  <c r="I42" i="161"/>
  <c r="F42" i="161" s="1"/>
  <c r="O41" i="161"/>
  <c r="M41" i="161"/>
  <c r="K41" i="161"/>
  <c r="I41" i="161"/>
  <c r="F41" i="161" s="1"/>
  <c r="O40" i="161"/>
  <c r="M40" i="161"/>
  <c r="K40" i="161"/>
  <c r="I40" i="161"/>
  <c r="F40" i="161" s="1"/>
  <c r="O39" i="161"/>
  <c r="M39" i="161"/>
  <c r="K39" i="161"/>
  <c r="I39" i="161"/>
  <c r="F39" i="161" s="1"/>
  <c r="O38" i="161"/>
  <c r="O36" i="161"/>
  <c r="O37" i="161"/>
  <c r="M38" i="161"/>
  <c r="K38" i="161"/>
  <c r="K36" i="161"/>
  <c r="K37" i="161"/>
  <c r="K26" i="161"/>
  <c r="K27" i="161"/>
  <c r="K28" i="161"/>
  <c r="K29" i="161"/>
  <c r="K30" i="161"/>
  <c r="K31" i="161"/>
  <c r="K32" i="161"/>
  <c r="K33" i="161"/>
  <c r="K34" i="161"/>
  <c r="K16" i="161"/>
  <c r="K17" i="161"/>
  <c r="K18" i="161"/>
  <c r="K19" i="161"/>
  <c r="K20" i="161"/>
  <c r="K21" i="161"/>
  <c r="K22" i="161"/>
  <c r="K23" i="161"/>
  <c r="K24" i="161"/>
  <c r="K5" i="161"/>
  <c r="K6" i="161"/>
  <c r="K7" i="161"/>
  <c r="K8" i="161"/>
  <c r="K9" i="161"/>
  <c r="K10" i="161"/>
  <c r="K11" i="161"/>
  <c r="K12" i="161"/>
  <c r="K13" i="161"/>
  <c r="K14" i="161"/>
  <c r="I38" i="161"/>
  <c r="F38" i="161" s="1"/>
  <c r="M37" i="161"/>
  <c r="I37" i="161"/>
  <c r="F37" i="161" s="1"/>
  <c r="I36" i="161"/>
  <c r="F36" i="161" s="1"/>
  <c r="M36" i="161"/>
  <c r="H35" i="161"/>
  <c r="E35" i="161"/>
  <c r="O34" i="161"/>
  <c r="M34" i="161"/>
  <c r="I34" i="161"/>
  <c r="F34" i="161" s="1"/>
  <c r="O33" i="161"/>
  <c r="M33" i="161"/>
  <c r="I33" i="161"/>
  <c r="F33" i="161" s="1"/>
  <c r="O32" i="161"/>
  <c r="M32" i="161"/>
  <c r="I32" i="161"/>
  <c r="F32" i="161" s="1"/>
  <c r="O31" i="161"/>
  <c r="M31" i="161"/>
  <c r="I31" i="161"/>
  <c r="F31" i="161" s="1"/>
  <c r="O30" i="161"/>
  <c r="M30" i="161"/>
  <c r="M26" i="161"/>
  <c r="M27" i="161"/>
  <c r="M28" i="161"/>
  <c r="M29" i="161"/>
  <c r="I30" i="161"/>
  <c r="F30" i="161" s="1"/>
  <c r="O29" i="161"/>
  <c r="I29" i="161"/>
  <c r="F29" i="161" s="1"/>
  <c r="O28" i="161"/>
  <c r="I28" i="161"/>
  <c r="F28" i="161" s="1"/>
  <c r="O27" i="161"/>
  <c r="O26" i="161"/>
  <c r="I27" i="161"/>
  <c r="F27" i="161" s="1"/>
  <c r="I26" i="161"/>
  <c r="F26" i="161" s="1"/>
  <c r="H25" i="161"/>
  <c r="H15" i="161"/>
  <c r="E25" i="161"/>
  <c r="E15" i="161"/>
  <c r="O24" i="161"/>
  <c r="M24" i="161"/>
  <c r="I24" i="161"/>
  <c r="F24" i="161" s="1"/>
  <c r="O23" i="161"/>
  <c r="M23" i="161"/>
  <c r="M16" i="161"/>
  <c r="M17" i="161"/>
  <c r="M18" i="161"/>
  <c r="M19" i="161"/>
  <c r="M20" i="161"/>
  <c r="M21" i="161"/>
  <c r="M22" i="161"/>
  <c r="I23" i="161"/>
  <c r="F23" i="161" s="1"/>
  <c r="O22" i="161"/>
  <c r="I22" i="161"/>
  <c r="F22" i="161" s="1"/>
  <c r="O21" i="161"/>
  <c r="I21" i="161"/>
  <c r="F21" i="161" s="1"/>
  <c r="O20" i="161"/>
  <c r="I20" i="161"/>
  <c r="F20" i="161" s="1"/>
  <c r="O19" i="161"/>
  <c r="I19" i="161"/>
  <c r="F19" i="161" s="1"/>
  <c r="O18" i="161"/>
  <c r="I18" i="161"/>
  <c r="F18" i="161" s="1"/>
  <c r="O17" i="161"/>
  <c r="I17" i="161"/>
  <c r="O16" i="161"/>
  <c r="I16" i="161"/>
  <c r="F16" i="161" s="1"/>
  <c r="O14" i="161"/>
  <c r="O5" i="161"/>
  <c r="O6" i="161"/>
  <c r="O7" i="161"/>
  <c r="O8" i="161"/>
  <c r="O9" i="161"/>
  <c r="O10" i="161"/>
  <c r="O11" i="161"/>
  <c r="O12" i="161"/>
  <c r="O13" i="161"/>
  <c r="M14" i="161"/>
  <c r="I14" i="161"/>
  <c r="F14" i="161" s="1"/>
  <c r="M13" i="161"/>
  <c r="I13" i="161"/>
  <c r="F13" i="161" s="1"/>
  <c r="I5" i="161"/>
  <c r="F5" i="161" s="1"/>
  <c r="I6" i="161"/>
  <c r="F6" i="161" s="1"/>
  <c r="I7" i="161"/>
  <c r="F7" i="161" s="1"/>
  <c r="I8" i="161"/>
  <c r="F8" i="161" s="1"/>
  <c r="I9" i="161"/>
  <c r="F9" i="161" s="1"/>
  <c r="I11" i="161"/>
  <c r="F11" i="161" s="1"/>
  <c r="I12" i="161"/>
  <c r="F12" i="161" s="1"/>
  <c r="I10" i="161"/>
  <c r="M12" i="161"/>
  <c r="M11" i="161"/>
  <c r="M10" i="161"/>
  <c r="M9" i="161"/>
  <c r="M8" i="161"/>
  <c r="M7" i="161"/>
  <c r="M6" i="161"/>
  <c r="M5" i="161"/>
  <c r="H41" i="213"/>
  <c r="H32" i="213"/>
  <c r="H22" i="213"/>
  <c r="H12" i="213"/>
  <c r="G41" i="213"/>
  <c r="E41" i="213"/>
  <c r="O40" i="213"/>
  <c r="M40" i="213"/>
  <c r="I40" i="213"/>
  <c r="F40" i="213" s="1"/>
  <c r="O38" i="213"/>
  <c r="M38" i="213"/>
  <c r="K38" i="213"/>
  <c r="I38" i="213"/>
  <c r="F38" i="213" s="1"/>
  <c r="O37" i="213"/>
  <c r="O33" i="213"/>
  <c r="O34" i="213"/>
  <c r="O35" i="213"/>
  <c r="O36" i="213"/>
  <c r="M37" i="213"/>
  <c r="K37" i="213"/>
  <c r="I37" i="213"/>
  <c r="F37" i="213" s="1"/>
  <c r="M36" i="213"/>
  <c r="K36" i="213"/>
  <c r="I36" i="213"/>
  <c r="F36" i="213" s="1"/>
  <c r="M33" i="213"/>
  <c r="M34" i="213"/>
  <c r="M35" i="213"/>
  <c r="K35" i="213"/>
  <c r="I35" i="213"/>
  <c r="F35" i="213" s="1"/>
  <c r="K34" i="213"/>
  <c r="K33" i="213"/>
  <c r="I34" i="213"/>
  <c r="F34" i="213" s="1"/>
  <c r="I33" i="213"/>
  <c r="F33" i="213" s="1"/>
  <c r="G32" i="213"/>
  <c r="E32" i="213"/>
  <c r="E22" i="213"/>
  <c r="E12" i="213"/>
  <c r="O31" i="213"/>
  <c r="M31" i="213"/>
  <c r="K31" i="213"/>
  <c r="I31" i="213"/>
  <c r="F31" i="213" s="1"/>
  <c r="O30" i="213"/>
  <c r="M30" i="213"/>
  <c r="K30" i="213"/>
  <c r="I30" i="213"/>
  <c r="F30" i="213" s="1"/>
  <c r="O29" i="213"/>
  <c r="M29" i="213"/>
  <c r="K29" i="213"/>
  <c r="K23" i="213"/>
  <c r="K24" i="213"/>
  <c r="K25" i="213"/>
  <c r="K26" i="213"/>
  <c r="K27" i="213"/>
  <c r="K28" i="213"/>
  <c r="I29" i="213"/>
  <c r="F29" i="213" s="1"/>
  <c r="O28" i="213"/>
  <c r="M28" i="213"/>
  <c r="I28" i="213"/>
  <c r="F28" i="213" s="1"/>
  <c r="O27" i="213"/>
  <c r="M27" i="213"/>
  <c r="I27" i="213"/>
  <c r="F27" i="213" s="1"/>
  <c r="O26" i="213"/>
  <c r="M26" i="213"/>
  <c r="I26" i="213"/>
  <c r="F26" i="213" s="1"/>
  <c r="O25" i="213"/>
  <c r="M25" i="213"/>
  <c r="I25" i="213"/>
  <c r="F25" i="213" s="1"/>
  <c r="O24" i="213"/>
  <c r="M24" i="213"/>
  <c r="I24" i="213"/>
  <c r="F24" i="213" s="1"/>
  <c r="M23" i="213"/>
  <c r="I23" i="213"/>
  <c r="G22" i="213"/>
  <c r="O21" i="213"/>
  <c r="M21" i="213"/>
  <c r="K21" i="213"/>
  <c r="I21" i="213"/>
  <c r="F21" i="213" s="1"/>
  <c r="O20" i="213"/>
  <c r="M20" i="213"/>
  <c r="K20" i="213"/>
  <c r="I20" i="213"/>
  <c r="F20" i="213" s="1"/>
  <c r="O19" i="213"/>
  <c r="M19" i="213"/>
  <c r="K19" i="213"/>
  <c r="I19" i="213"/>
  <c r="F19" i="213" s="1"/>
  <c r="O18" i="213"/>
  <c r="M18" i="213"/>
  <c r="K18" i="213"/>
  <c r="I18" i="213"/>
  <c r="F18" i="213" s="1"/>
  <c r="I13" i="213"/>
  <c r="F13" i="213" s="1"/>
  <c r="I14" i="213"/>
  <c r="F14" i="213" s="1"/>
  <c r="I15" i="213"/>
  <c r="F15" i="213" s="1"/>
  <c r="I16" i="213"/>
  <c r="F16" i="213" s="1"/>
  <c r="I17" i="213"/>
  <c r="F17" i="213" s="1"/>
  <c r="O17" i="213"/>
  <c r="M17" i="213"/>
  <c r="K17" i="213"/>
  <c r="O16" i="213"/>
  <c r="M16" i="213"/>
  <c r="K16" i="213"/>
  <c r="O15" i="213"/>
  <c r="M15" i="213"/>
  <c r="K15" i="213"/>
  <c r="K13" i="213"/>
  <c r="K14" i="213"/>
  <c r="O14" i="213"/>
  <c r="M14" i="213"/>
  <c r="O13" i="213"/>
  <c r="M13" i="213"/>
  <c r="G12" i="213"/>
  <c r="O11" i="213"/>
  <c r="M11" i="213"/>
  <c r="K11" i="213"/>
  <c r="I11" i="213"/>
  <c r="F11" i="213" s="1"/>
  <c r="O10" i="213"/>
  <c r="M10" i="213"/>
  <c r="K10" i="213"/>
  <c r="I10" i="213"/>
  <c r="F10" i="213" s="1"/>
  <c r="O9" i="213"/>
  <c r="O5" i="213"/>
  <c r="O6" i="213"/>
  <c r="O7" i="213"/>
  <c r="O8" i="213"/>
  <c r="M9" i="213"/>
  <c r="K9" i="213"/>
  <c r="I9" i="213"/>
  <c r="F9" i="213" s="1"/>
  <c r="M8" i="213"/>
  <c r="K8" i="213"/>
  <c r="I8" i="213"/>
  <c r="M7" i="213"/>
  <c r="M5" i="213"/>
  <c r="M6" i="213"/>
  <c r="K7" i="213"/>
  <c r="K5" i="213"/>
  <c r="K6" i="213"/>
  <c r="I7" i="213"/>
  <c r="F7" i="213" s="1"/>
  <c r="I6" i="213"/>
  <c r="F6" i="213" s="1"/>
  <c r="I5" i="213"/>
  <c r="F5" i="213" s="1"/>
  <c r="L44" i="1"/>
  <c r="J44" i="1"/>
  <c r="J34" i="1"/>
  <c r="J24" i="1"/>
  <c r="J14" i="1"/>
  <c r="L34" i="1"/>
  <c r="L24" i="1"/>
  <c r="L14" i="1"/>
  <c r="H44" i="1"/>
  <c r="H34" i="1"/>
  <c r="H24" i="1"/>
  <c r="H14" i="1"/>
  <c r="G44" i="1"/>
  <c r="E44" i="1"/>
  <c r="O43" i="1"/>
  <c r="M43" i="1"/>
  <c r="K43" i="1"/>
  <c r="I43" i="1"/>
  <c r="F43" i="1" s="1"/>
  <c r="O42" i="1"/>
  <c r="M42" i="1"/>
  <c r="K42" i="1"/>
  <c r="I42" i="1"/>
  <c r="F42" i="1" s="1"/>
  <c r="I35" i="1"/>
  <c r="F35" i="1" s="1"/>
  <c r="I36" i="1"/>
  <c r="F36" i="1" s="1"/>
  <c r="I37" i="1"/>
  <c r="F37" i="1" s="1"/>
  <c r="I38" i="1"/>
  <c r="F38" i="1" s="1"/>
  <c r="I39" i="1"/>
  <c r="F39" i="1" s="1"/>
  <c r="I40" i="1"/>
  <c r="F40" i="1" s="1"/>
  <c r="I41" i="1"/>
  <c r="F41" i="1" s="1"/>
  <c r="O41" i="1"/>
  <c r="M41" i="1"/>
  <c r="K41" i="1"/>
  <c r="O40" i="1"/>
  <c r="M40" i="1"/>
  <c r="K40" i="1"/>
  <c r="O39" i="1"/>
  <c r="M39" i="1"/>
  <c r="K39" i="1"/>
  <c r="O38" i="1"/>
  <c r="M38" i="1"/>
  <c r="M35" i="1"/>
  <c r="M36" i="1"/>
  <c r="M37" i="1"/>
  <c r="K38" i="1"/>
  <c r="O37" i="1"/>
  <c r="K37" i="1"/>
  <c r="O36" i="1"/>
  <c r="K36" i="1"/>
  <c r="O35" i="1"/>
  <c r="K35" i="1"/>
  <c r="G34" i="1"/>
  <c r="G24" i="1"/>
  <c r="G14" i="1"/>
  <c r="E34" i="1"/>
  <c r="E24" i="1"/>
  <c r="E14" i="1"/>
  <c r="O33" i="1"/>
  <c r="M33" i="1"/>
  <c r="K33" i="1"/>
  <c r="I33" i="1"/>
  <c r="F33" i="1" s="1"/>
  <c r="O32" i="1"/>
  <c r="M32" i="1"/>
  <c r="K32" i="1"/>
  <c r="I32" i="1"/>
  <c r="F32" i="1" s="1"/>
  <c r="O31" i="1"/>
  <c r="M31" i="1"/>
  <c r="K31" i="1"/>
  <c r="I31" i="1"/>
  <c r="F31" i="1" s="1"/>
  <c r="O30" i="1"/>
  <c r="M30" i="1"/>
  <c r="K30" i="1"/>
  <c r="I30" i="1"/>
  <c r="F30" i="1" s="1"/>
  <c r="O29" i="1"/>
  <c r="M29" i="1"/>
  <c r="K29" i="1"/>
  <c r="I29" i="1"/>
  <c r="F29" i="1" s="1"/>
  <c r="O28" i="1"/>
  <c r="M28" i="1"/>
  <c r="K28" i="1"/>
  <c r="K25" i="1"/>
  <c r="K26" i="1"/>
  <c r="K27" i="1"/>
  <c r="I28" i="1"/>
  <c r="F28" i="1" s="1"/>
  <c r="O27" i="1"/>
  <c r="M27" i="1"/>
  <c r="M25" i="1"/>
  <c r="M26" i="1"/>
  <c r="I27" i="1"/>
  <c r="F27" i="1" s="1"/>
  <c r="O26" i="1"/>
  <c r="I26" i="1"/>
  <c r="F26" i="1" s="1"/>
  <c r="O25" i="1"/>
  <c r="I25" i="1"/>
  <c r="F25" i="1" s="1"/>
  <c r="O23" i="1"/>
  <c r="M23" i="1"/>
  <c r="K23" i="1"/>
  <c r="I23" i="1"/>
  <c r="F23" i="1" s="1"/>
  <c r="O22" i="1"/>
  <c r="M22" i="1"/>
  <c r="K22" i="1"/>
  <c r="I22" i="1"/>
  <c r="F22" i="1" s="1"/>
  <c r="O21" i="1"/>
  <c r="M21" i="1"/>
  <c r="K21" i="1"/>
  <c r="I21" i="1"/>
  <c r="F21" i="1" s="1"/>
  <c r="O20" i="1"/>
  <c r="M20" i="1"/>
  <c r="K20" i="1"/>
  <c r="K15" i="1"/>
  <c r="K16" i="1"/>
  <c r="K17" i="1"/>
  <c r="K18" i="1"/>
  <c r="K19" i="1"/>
  <c r="I20" i="1"/>
  <c r="F20" i="1" s="1"/>
  <c r="O19" i="1"/>
  <c r="M19" i="1"/>
  <c r="M15" i="1"/>
  <c r="M16" i="1"/>
  <c r="M17" i="1"/>
  <c r="M18" i="1"/>
  <c r="I19" i="1"/>
  <c r="F19" i="1" s="1"/>
  <c r="O18" i="1"/>
  <c r="I18" i="1"/>
  <c r="F18" i="1" s="1"/>
  <c r="I15" i="1"/>
  <c r="F15" i="1" s="1"/>
  <c r="I16" i="1"/>
  <c r="F16" i="1" s="1"/>
  <c r="I17" i="1"/>
  <c r="F17" i="1" s="1"/>
  <c r="O17" i="1"/>
  <c r="O16" i="1"/>
  <c r="O15" i="1"/>
  <c r="O13" i="1"/>
  <c r="M13" i="1"/>
  <c r="K13" i="1"/>
  <c r="I13" i="1"/>
  <c r="F13" i="1" s="1"/>
  <c r="O12" i="1"/>
  <c r="M12" i="1"/>
  <c r="K12" i="1"/>
  <c r="K5" i="1"/>
  <c r="K6" i="1"/>
  <c r="K7" i="1"/>
  <c r="K8" i="1"/>
  <c r="K9" i="1"/>
  <c r="K10" i="1"/>
  <c r="K11" i="1"/>
  <c r="I12" i="1"/>
  <c r="F12" i="1" s="1"/>
  <c r="O11" i="1"/>
  <c r="M11" i="1"/>
  <c r="M5" i="1"/>
  <c r="M6" i="1"/>
  <c r="M7" i="1"/>
  <c r="M8" i="1"/>
  <c r="M9" i="1"/>
  <c r="M10" i="1"/>
  <c r="I11" i="1"/>
  <c r="F11" i="1" s="1"/>
  <c r="O10" i="1"/>
  <c r="I10" i="1"/>
  <c r="F10" i="1" s="1"/>
  <c r="O9" i="1"/>
  <c r="I9" i="1"/>
  <c r="F9" i="1" s="1"/>
  <c r="O8" i="1"/>
  <c r="I8" i="1"/>
  <c r="F8" i="1" s="1"/>
  <c r="I5" i="1"/>
  <c r="F5" i="1" s="1"/>
  <c r="I6" i="1"/>
  <c r="F6" i="1" s="1"/>
  <c r="I7" i="1"/>
  <c r="O7" i="1"/>
  <c r="O6" i="1"/>
  <c r="O5" i="1"/>
  <c r="O27" i="125"/>
  <c r="O23" i="125"/>
  <c r="O12" i="86"/>
  <c r="M12" i="86"/>
  <c r="M11" i="70"/>
  <c r="E60" i="86"/>
  <c r="M21" i="43"/>
  <c r="F33" i="238"/>
  <c r="F43" i="196"/>
  <c r="F5" i="61"/>
  <c r="M44" i="231" l="1"/>
  <c r="K24" i="245"/>
  <c r="N44" i="230"/>
  <c r="I34" i="245"/>
  <c r="F34" i="245" s="1"/>
  <c r="I34" i="242"/>
  <c r="F34" i="242" s="1"/>
  <c r="N14" i="229"/>
  <c r="F27" i="238"/>
  <c r="J36" i="238"/>
  <c r="J47" i="238" s="1"/>
  <c r="N48" i="225"/>
  <c r="O44" i="231"/>
  <c r="N46" i="223"/>
  <c r="K27" i="225"/>
  <c r="O24" i="230"/>
  <c r="N34" i="215"/>
  <c r="N24" i="229"/>
  <c r="F14" i="230"/>
  <c r="N44" i="240"/>
  <c r="N41" i="247"/>
  <c r="N59" i="86"/>
  <c r="N14" i="247"/>
  <c r="N34" i="221"/>
  <c r="K44" i="230"/>
  <c r="K34" i="242"/>
  <c r="N14" i="244"/>
  <c r="E45" i="230"/>
  <c r="K43" i="257"/>
  <c r="K4" i="257" s="1"/>
  <c r="N34" i="48"/>
  <c r="O44" i="43"/>
  <c r="M43" i="257"/>
  <c r="O43" i="257"/>
  <c r="O34" i="235"/>
  <c r="N14" i="234"/>
  <c r="N44" i="245"/>
  <c r="N34" i="222"/>
  <c r="O34" i="231"/>
  <c r="N14" i="239"/>
  <c r="N23" i="210"/>
  <c r="F27" i="247"/>
  <c r="K24" i="242"/>
  <c r="O44" i="245"/>
  <c r="K27" i="247"/>
  <c r="K44" i="229"/>
  <c r="J51" i="228"/>
  <c r="N50" i="228"/>
  <c r="E45" i="244"/>
  <c r="N24" i="224"/>
  <c r="M44" i="235"/>
  <c r="N33" i="40"/>
  <c r="G45" i="230"/>
  <c r="O34" i="233"/>
  <c r="O47" i="233"/>
  <c r="N34" i="239"/>
  <c r="O44" i="242"/>
  <c r="N44" i="244"/>
  <c r="K43" i="256"/>
  <c r="K4" i="256" s="1"/>
  <c r="O24" i="235"/>
  <c r="N44" i="241"/>
  <c r="F14" i="242"/>
  <c r="N14" i="223"/>
  <c r="N34" i="224"/>
  <c r="L45" i="226"/>
  <c r="N4" i="226" s="1"/>
  <c r="H51" i="228"/>
  <c r="F14" i="229"/>
  <c r="M34" i="229"/>
  <c r="M34" i="230"/>
  <c r="N32" i="213"/>
  <c r="M34" i="231"/>
  <c r="N24" i="236"/>
  <c r="N40" i="228"/>
  <c r="I43" i="257"/>
  <c r="F43" i="257" s="1"/>
  <c r="N43" i="257"/>
  <c r="N4" i="257"/>
  <c r="M24" i="230"/>
  <c r="E45" i="236"/>
  <c r="J45" i="147"/>
  <c r="H47" i="125"/>
  <c r="E45" i="78"/>
  <c r="G45" i="20"/>
  <c r="N14" i="215"/>
  <c r="N42" i="218"/>
  <c r="N34" i="230"/>
  <c r="N24" i="239"/>
  <c r="I14" i="230"/>
  <c r="K34" i="231"/>
  <c r="N14" i="231"/>
  <c r="N34" i="240"/>
  <c r="N24" i="1"/>
  <c r="M14" i="231"/>
  <c r="H45" i="244"/>
  <c r="O43" i="256"/>
  <c r="N44" i="20"/>
  <c r="N13" i="252"/>
  <c r="M43" i="255"/>
  <c r="N24" i="207"/>
  <c r="G45" i="216"/>
  <c r="J43" i="218"/>
  <c r="E47" i="223"/>
  <c r="N14" i="238"/>
  <c r="N25" i="86"/>
  <c r="M43" i="256"/>
  <c r="N14" i="70"/>
  <c r="O14" i="235"/>
  <c r="M24" i="235"/>
  <c r="O34" i="236"/>
  <c r="N14" i="225"/>
  <c r="N34" i="241"/>
  <c r="M24" i="242"/>
  <c r="O14" i="245"/>
  <c r="M24" i="245"/>
  <c r="K34" i="245"/>
  <c r="O42" i="251"/>
  <c r="N44" i="187"/>
  <c r="E45" i="224"/>
  <c r="G51" i="228"/>
  <c r="K34" i="229"/>
  <c r="H45" i="231"/>
  <c r="O14" i="231"/>
  <c r="F24" i="235"/>
  <c r="K14" i="237"/>
  <c r="H45" i="240"/>
  <c r="N19" i="228"/>
  <c r="N34" i="242"/>
  <c r="K14" i="245"/>
  <c r="G45" i="245"/>
  <c r="O34" i="245"/>
  <c r="N27" i="247"/>
  <c r="G45" i="155"/>
  <c r="N14" i="208"/>
  <c r="N14" i="43"/>
  <c r="N17" i="196"/>
  <c r="N14" i="245"/>
  <c r="I14" i="229"/>
  <c r="L45" i="187"/>
  <c r="N24" i="92"/>
  <c r="M33" i="40"/>
  <c r="N24" i="78"/>
  <c r="H47" i="223"/>
  <c r="N24" i="221"/>
  <c r="I50" i="228"/>
  <c r="F50" i="228" s="1"/>
  <c r="H45" i="80"/>
  <c r="M44" i="208"/>
  <c r="N14" i="147"/>
  <c r="F23" i="210"/>
  <c r="N14" i="224"/>
  <c r="N14" i="222"/>
  <c r="N14" i="226"/>
  <c r="N44" i="92"/>
  <c r="N32" i="212"/>
  <c r="L44" i="40"/>
  <c r="E44" i="66"/>
  <c r="M42" i="210"/>
  <c r="N15" i="161"/>
  <c r="N32" i="218"/>
  <c r="K34" i="235"/>
  <c r="E45" i="240"/>
  <c r="G45" i="240"/>
  <c r="O14" i="242"/>
  <c r="M27" i="247"/>
  <c r="N56" i="247"/>
  <c r="I43" i="256"/>
  <c r="I4" i="256" s="1"/>
  <c r="E99" i="219"/>
  <c r="I44" i="245"/>
  <c r="F44" i="245" s="1"/>
  <c r="N14" i="209"/>
  <c r="N34" i="61"/>
  <c r="L43" i="210"/>
  <c r="N34" i="226"/>
  <c r="M14" i="229"/>
  <c r="M14" i="230"/>
  <c r="O44" i="230"/>
  <c r="N14" i="237"/>
  <c r="K14" i="240"/>
  <c r="E46" i="23"/>
  <c r="M14" i="240"/>
  <c r="L49" i="225"/>
  <c r="N46" i="238"/>
  <c r="L45" i="242"/>
  <c r="N24" i="242"/>
  <c r="E45" i="245"/>
  <c r="I24" i="235"/>
  <c r="L45" i="235"/>
  <c r="N4" i="235" s="1"/>
  <c r="N44" i="235"/>
  <c r="N34" i="237"/>
  <c r="N24" i="147"/>
  <c r="G45" i="147"/>
  <c r="M25" i="206"/>
  <c r="K35" i="206"/>
  <c r="O34" i="155"/>
  <c r="I45" i="206"/>
  <c r="F45" i="206" s="1"/>
  <c r="N34" i="1"/>
  <c r="H45" i="245"/>
  <c r="K56" i="247"/>
  <c r="N44" i="1"/>
  <c r="O14" i="40"/>
  <c r="K25" i="86"/>
  <c r="O44" i="70"/>
  <c r="N14" i="23"/>
  <c r="K34" i="222"/>
  <c r="N24" i="223"/>
  <c r="N44" i="224"/>
  <c r="N44" i="226"/>
  <c r="K14" i="233"/>
  <c r="N45" i="206"/>
  <c r="E45" i="234"/>
  <c r="H45" i="234"/>
  <c r="O34" i="242"/>
  <c r="M25" i="48"/>
  <c r="N24" i="187"/>
  <c r="N34" i="78"/>
  <c r="O14" i="221"/>
  <c r="K14" i="223"/>
  <c r="J47" i="223"/>
  <c r="K34" i="226"/>
  <c r="N24" i="20"/>
  <c r="N43" i="256"/>
  <c r="N4" i="256"/>
  <c r="O28" i="219"/>
  <c r="G45" i="244"/>
  <c r="N15" i="206"/>
  <c r="I24" i="229"/>
  <c r="N34" i="235"/>
  <c r="N27" i="225"/>
  <c r="N44" i="155"/>
  <c r="N14" i="48"/>
  <c r="M36" i="125"/>
  <c r="K46" i="125"/>
  <c r="M13" i="66"/>
  <c r="M43" i="66"/>
  <c r="K44" i="78"/>
  <c r="O13" i="86"/>
  <c r="H60" i="86"/>
  <c r="M24" i="70"/>
  <c r="M17" i="196"/>
  <c r="O23" i="210"/>
  <c r="K33" i="210"/>
  <c r="J44" i="66"/>
  <c r="J45" i="78"/>
  <c r="N34" i="70"/>
  <c r="O44" i="216"/>
  <c r="K14" i="218"/>
  <c r="O14" i="218"/>
  <c r="O22" i="218"/>
  <c r="N75" i="219"/>
  <c r="N44" i="237"/>
  <c r="N24" i="245"/>
  <c r="N34" i="245"/>
  <c r="I14" i="242"/>
  <c r="M24" i="43"/>
  <c r="N24" i="80"/>
  <c r="O24" i="92"/>
  <c r="O24" i="212"/>
  <c r="J46" i="212"/>
  <c r="K25" i="206"/>
  <c r="K34" i="155"/>
  <c r="H45" i="110"/>
  <c r="H47" i="177"/>
  <c r="N24" i="177"/>
  <c r="F14" i="40"/>
  <c r="O33" i="40"/>
  <c r="K23" i="66"/>
  <c r="M34" i="78"/>
  <c r="O44" i="78"/>
  <c r="O25" i="86"/>
  <c r="H45" i="70"/>
  <c r="K24" i="20"/>
  <c r="K34" i="20"/>
  <c r="O44" i="20"/>
  <c r="M44" i="43"/>
  <c r="N24" i="61"/>
  <c r="M22" i="218"/>
  <c r="O42" i="218"/>
  <c r="H99" i="219"/>
  <c r="I24" i="233"/>
  <c r="I34" i="237"/>
  <c r="F34" i="237" s="1"/>
  <c r="I44" i="230"/>
  <c r="F44" i="230" s="1"/>
  <c r="E45" i="187"/>
  <c r="M44" i="155"/>
  <c r="G48" i="233"/>
  <c r="N44" i="242"/>
  <c r="N14" i="242"/>
  <c r="O34" i="80"/>
  <c r="N14" i="212"/>
  <c r="G47" i="177"/>
  <c r="M14" i="235"/>
  <c r="O44" i="235"/>
  <c r="K44" i="242"/>
  <c r="N24" i="244"/>
  <c r="O24" i="245"/>
  <c r="M34" i="245"/>
  <c r="K14" i="247"/>
  <c r="G57" i="247"/>
  <c r="J57" i="247"/>
  <c r="M56" i="247"/>
  <c r="H57" i="247"/>
  <c r="I34" i="61"/>
  <c r="F34" i="61" s="1"/>
  <c r="L57" i="247"/>
  <c r="N14" i="20"/>
  <c r="J45" i="235"/>
  <c r="E47" i="238"/>
  <c r="H47" i="238"/>
  <c r="N22" i="213"/>
  <c r="N24" i="234"/>
  <c r="E45" i="242"/>
  <c r="M44" i="242"/>
  <c r="F24" i="245"/>
  <c r="I34" i="43"/>
  <c r="F34" i="43" s="1"/>
  <c r="I34" i="235"/>
  <c r="F34" i="235" s="1"/>
  <c r="N43" i="40"/>
  <c r="K50" i="228"/>
  <c r="K14" i="229"/>
  <c r="M44" i="229"/>
  <c r="H45" i="229"/>
  <c r="N24" i="230"/>
  <c r="O34" i="230"/>
  <c r="M44" i="230"/>
  <c r="H45" i="230"/>
  <c r="J42" i="213"/>
  <c r="K24" i="231"/>
  <c r="G45" i="231"/>
  <c r="K14" i="231"/>
  <c r="M24" i="233"/>
  <c r="K47" i="233"/>
  <c r="H48" i="233"/>
  <c r="L48" i="233"/>
  <c r="L45" i="231"/>
  <c r="F14" i="234"/>
  <c r="N24" i="235"/>
  <c r="J45" i="237"/>
  <c r="M34" i="237"/>
  <c r="M26" i="238"/>
  <c r="G45" i="239"/>
  <c r="N35" i="23"/>
  <c r="G45" i="241"/>
  <c r="L45" i="241"/>
  <c r="M14" i="242"/>
  <c r="H45" i="242"/>
  <c r="G45" i="1"/>
  <c r="H45" i="221"/>
  <c r="G45" i="222"/>
  <c r="H45" i="222"/>
  <c r="F14" i="224"/>
  <c r="E49" i="225"/>
  <c r="M14" i="225"/>
  <c r="L45" i="222"/>
  <c r="G45" i="226"/>
  <c r="K19" i="228"/>
  <c r="O30" i="228"/>
  <c r="E45" i="229"/>
  <c r="L45" i="230"/>
  <c r="K44" i="231"/>
  <c r="N14" i="233"/>
  <c r="K41" i="247"/>
  <c r="O41" i="247"/>
  <c r="E51" i="228"/>
  <c r="K30" i="228"/>
  <c r="M30" i="228"/>
  <c r="M40" i="228"/>
  <c r="K40" i="228"/>
  <c r="O19" i="228"/>
  <c r="O40" i="228"/>
  <c r="G45" i="92"/>
  <c r="K44" i="244"/>
  <c r="N24" i="241"/>
  <c r="F14" i="70"/>
  <c r="I25" i="48"/>
  <c r="J45" i="224"/>
  <c r="N41" i="213"/>
  <c r="N44" i="222"/>
  <c r="N14" i="187"/>
  <c r="N24" i="212"/>
  <c r="N46" i="177"/>
  <c r="G51" i="196"/>
  <c r="K24" i="226"/>
  <c r="M14" i="226"/>
  <c r="N14" i="207"/>
  <c r="G47" i="238"/>
  <c r="J43" i="253"/>
  <c r="N24" i="237"/>
  <c r="I44" i="231"/>
  <c r="F44" i="231" s="1"/>
  <c r="I34" i="92"/>
  <c r="F34" i="92" s="1"/>
  <c r="I27" i="247"/>
  <c r="H46" i="161"/>
  <c r="O34" i="70"/>
  <c r="E45" i="70"/>
  <c r="G45" i="70"/>
  <c r="O14" i="20"/>
  <c r="O24" i="20"/>
  <c r="M14" i="20"/>
  <c r="M24" i="20"/>
  <c r="K24" i="43"/>
  <c r="K44" i="43"/>
  <c r="G45" i="43"/>
  <c r="L45" i="61"/>
  <c r="O24" i="61"/>
  <c r="G45" i="61"/>
  <c r="K39" i="225"/>
  <c r="K48" i="225"/>
  <c r="M27" i="225"/>
  <c r="M39" i="225"/>
  <c r="M48" i="225"/>
  <c r="O14" i="225"/>
  <c r="O27" i="225"/>
  <c r="O48" i="225"/>
  <c r="L45" i="224"/>
  <c r="H45" i="226"/>
  <c r="K24" i="241"/>
  <c r="K34" i="241"/>
  <c r="K44" i="241"/>
  <c r="M14" i="241"/>
  <c r="M24" i="241"/>
  <c r="M34" i="241"/>
  <c r="M44" i="241"/>
  <c r="O24" i="241"/>
  <c r="O34" i="241"/>
  <c r="O44" i="241"/>
  <c r="J45" i="242"/>
  <c r="N45" i="242" s="1"/>
  <c r="M50" i="228"/>
  <c r="O44" i="229"/>
  <c r="O24" i="231"/>
  <c r="L45" i="244"/>
  <c r="N4" i="244" s="1"/>
  <c r="I14" i="224"/>
  <c r="F24" i="207"/>
  <c r="I34" i="48"/>
  <c r="F34" i="48" s="1"/>
  <c r="I44" i="78"/>
  <c r="F44" i="78" s="1"/>
  <c r="I14" i="23"/>
  <c r="J47" i="177"/>
  <c r="K14" i="40"/>
  <c r="K24" i="70"/>
  <c r="G43" i="218"/>
  <c r="M34" i="222"/>
  <c r="G45" i="224"/>
  <c r="H49" i="225"/>
  <c r="M34" i="233"/>
  <c r="L45" i="234"/>
  <c r="M34" i="235"/>
  <c r="K44" i="235"/>
  <c r="O14" i="238"/>
  <c r="E45" i="239"/>
  <c r="K14" i="239"/>
  <c r="K24" i="239"/>
  <c r="K44" i="239"/>
  <c r="O24" i="239"/>
  <c r="O44" i="239"/>
  <c r="O34" i="240"/>
  <c r="O44" i="240"/>
  <c r="K44" i="240"/>
  <c r="M14" i="23"/>
  <c r="M24" i="23"/>
  <c r="M45" i="23"/>
  <c r="M35" i="23"/>
  <c r="O14" i="23"/>
  <c r="O45" i="23"/>
  <c r="O35" i="23"/>
  <c r="N30" i="228"/>
  <c r="J49" i="225"/>
  <c r="N4" i="225" s="1"/>
  <c r="N23" i="66"/>
  <c r="M24" i="231"/>
  <c r="I14" i="20"/>
  <c r="I44" i="239"/>
  <c r="F44" i="239" s="1"/>
  <c r="L60" i="86"/>
  <c r="L45" i="20"/>
  <c r="O33" i="66"/>
  <c r="H44" i="66"/>
  <c r="M35" i="86"/>
  <c r="N34" i="216"/>
  <c r="O14" i="230"/>
  <c r="K34" i="236"/>
  <c r="M44" i="236"/>
  <c r="H45" i="236"/>
  <c r="O34" i="237"/>
  <c r="L45" i="239"/>
  <c r="O27" i="247"/>
  <c r="M42" i="254"/>
  <c r="E45" i="92"/>
  <c r="K14" i="92"/>
  <c r="I25" i="86"/>
  <c r="I35" i="23"/>
  <c r="F35" i="23" s="1"/>
  <c r="M32" i="213"/>
  <c r="O14" i="48"/>
  <c r="O34" i="48"/>
  <c r="H45" i="48"/>
  <c r="K26" i="125"/>
  <c r="O36" i="125"/>
  <c r="K36" i="125"/>
  <c r="M46" i="125"/>
  <c r="O23" i="66"/>
  <c r="N44" i="61"/>
  <c r="N34" i="208"/>
  <c r="N44" i="216"/>
  <c r="K24" i="233"/>
  <c r="E45" i="235"/>
  <c r="K24" i="236"/>
  <c r="L45" i="236"/>
  <c r="O44" i="236"/>
  <c r="N44" i="236"/>
  <c r="E45" i="237"/>
  <c r="O14" i="240"/>
  <c r="F17" i="212"/>
  <c r="F24" i="212" s="1"/>
  <c r="I24" i="212"/>
  <c r="F30" i="212"/>
  <c r="I32" i="212"/>
  <c r="F32" i="212" s="1"/>
  <c r="N24" i="155"/>
  <c r="L45" i="155"/>
  <c r="F28" i="177"/>
  <c r="I34" i="177"/>
  <c r="F34" i="177" s="1"/>
  <c r="F34" i="40"/>
  <c r="I43" i="40"/>
  <c r="F43" i="40" s="1"/>
  <c r="M14" i="218"/>
  <c r="N14" i="221"/>
  <c r="J45" i="221"/>
  <c r="F6" i="245"/>
  <c r="F14" i="245" s="1"/>
  <c r="I14" i="245"/>
  <c r="F6" i="247"/>
  <c r="F14" i="247" s="1"/>
  <c r="I14" i="247"/>
  <c r="I34" i="230"/>
  <c r="F34" i="230" s="1"/>
  <c r="M19" i="228"/>
  <c r="F24" i="228"/>
  <c r="F30" i="228" s="1"/>
  <c r="I30" i="228"/>
  <c r="I40" i="228"/>
  <c r="F40" i="228" s="1"/>
  <c r="I34" i="244"/>
  <c r="F34" i="244" s="1"/>
  <c r="F32" i="244"/>
  <c r="M14" i="207"/>
  <c r="F18" i="226"/>
  <c r="F24" i="226" s="1"/>
  <c r="I24" i="226"/>
  <c r="F20" i="244"/>
  <c r="F24" i="244" s="1"/>
  <c r="I24" i="244"/>
  <c r="K43" i="255"/>
  <c r="K4" i="255" s="1"/>
  <c r="N34" i="229"/>
  <c r="L45" i="229"/>
  <c r="N4" i="229" s="1"/>
  <c r="F18" i="231"/>
  <c r="I24" i="231"/>
  <c r="F26" i="231"/>
  <c r="I34" i="231"/>
  <c r="F34" i="231" s="1"/>
  <c r="F17" i="20"/>
  <c r="F24" i="20" s="1"/>
  <c r="I24" i="20"/>
  <c r="F27" i="20"/>
  <c r="I34" i="20"/>
  <c r="F34" i="20" s="1"/>
  <c r="F37" i="225"/>
  <c r="I39" i="225"/>
  <c r="F39" i="225" s="1"/>
  <c r="F47" i="225"/>
  <c r="I48" i="225"/>
  <c r="F48" i="225" s="1"/>
  <c r="K14" i="225"/>
  <c r="O39" i="225"/>
  <c r="N24" i="222"/>
  <c r="J45" i="222"/>
  <c r="F6" i="226"/>
  <c r="F14" i="226" s="1"/>
  <c r="I14" i="226"/>
  <c r="F42" i="241"/>
  <c r="I44" i="241"/>
  <c r="F44" i="241" s="1"/>
  <c r="K14" i="241"/>
  <c r="J45" i="241"/>
  <c r="N14" i="241"/>
  <c r="O14" i="241"/>
  <c r="N44" i="229"/>
  <c r="J45" i="229"/>
  <c r="F39" i="223"/>
  <c r="I46" i="223"/>
  <c r="F46" i="223" s="1"/>
  <c r="F9" i="225"/>
  <c r="F14" i="225" s="1"/>
  <c r="I14" i="225"/>
  <c r="F20" i="225"/>
  <c r="F27" i="225" s="1"/>
  <c r="I27" i="225"/>
  <c r="F29" i="239"/>
  <c r="I34" i="239"/>
  <c r="F34" i="239" s="1"/>
  <c r="J45" i="239"/>
  <c r="N44" i="239"/>
  <c r="O34" i="239"/>
  <c r="F37" i="240"/>
  <c r="I44" i="240"/>
  <c r="F44" i="240" s="1"/>
  <c r="J45" i="240"/>
  <c r="O24" i="23"/>
  <c r="M44" i="240"/>
  <c r="F19" i="241"/>
  <c r="F24" i="241" s="1"/>
  <c r="I24" i="241"/>
  <c r="O24" i="229"/>
  <c r="F26" i="229"/>
  <c r="I34" i="229"/>
  <c r="F34" i="229" s="1"/>
  <c r="N12" i="213"/>
  <c r="L42" i="213"/>
  <c r="L54" i="219"/>
  <c r="F15" i="230"/>
  <c r="F24" i="230" s="1"/>
  <c r="I24" i="230"/>
  <c r="N25" i="48"/>
  <c r="J45" i="48"/>
  <c r="F39" i="125"/>
  <c r="I46" i="125"/>
  <c r="F46" i="125" s="1"/>
  <c r="F5" i="66"/>
  <c r="F13" i="66" s="1"/>
  <c r="I13" i="66"/>
  <c r="F15" i="66"/>
  <c r="F23" i="66" s="1"/>
  <c r="I23" i="66"/>
  <c r="F26" i="222"/>
  <c r="I34" i="222"/>
  <c r="F34" i="222" s="1"/>
  <c r="F54" i="247"/>
  <c r="I56" i="247"/>
  <c r="F56" i="247" s="1"/>
  <c r="F24" i="231"/>
  <c r="K35" i="161"/>
  <c r="G44" i="209"/>
  <c r="G45" i="78"/>
  <c r="M30" i="196"/>
  <c r="O30" i="196"/>
  <c r="O50" i="196"/>
  <c r="K17" i="196"/>
  <c r="O14" i="61"/>
  <c r="K14" i="61"/>
  <c r="F24" i="61"/>
  <c r="N34" i="110"/>
  <c r="O34" i="215"/>
  <c r="H45" i="216"/>
  <c r="N24" i="110"/>
  <c r="O14" i="222"/>
  <c r="K44" i="222"/>
  <c r="M44" i="222"/>
  <c r="K46" i="223"/>
  <c r="L47" i="223"/>
  <c r="O24" i="223"/>
  <c r="O46" i="223"/>
  <c r="N47" i="233"/>
  <c r="G45" i="234"/>
  <c r="M34" i="234"/>
  <c r="H45" i="235"/>
  <c r="G45" i="235"/>
  <c r="M24" i="236"/>
  <c r="N34" i="236"/>
  <c r="M14" i="237"/>
  <c r="G45" i="237"/>
  <c r="K24" i="237"/>
  <c r="O44" i="237"/>
  <c r="K35" i="23"/>
  <c r="M24" i="240"/>
  <c r="M34" i="240"/>
  <c r="L51" i="228"/>
  <c r="N4" i="228" s="1"/>
  <c r="J60" i="86"/>
  <c r="H45" i="241"/>
  <c r="N42" i="254"/>
  <c r="F13" i="210"/>
  <c r="N45" i="212"/>
  <c r="K45" i="206"/>
  <c r="O46" i="125"/>
  <c r="G47" i="125"/>
  <c r="O24" i="78"/>
  <c r="O34" i="78"/>
  <c r="K34" i="239"/>
  <c r="M14" i="239"/>
  <c r="N33" i="209"/>
  <c r="J45" i="80"/>
  <c r="N34" i="187"/>
  <c r="N34" i="207"/>
  <c r="N34" i="92"/>
  <c r="F14" i="218"/>
  <c r="K14" i="155"/>
  <c r="M14" i="48"/>
  <c r="K24" i="78"/>
  <c r="N23" i="250"/>
  <c r="K33" i="251"/>
  <c r="F13" i="86"/>
  <c r="M33" i="209"/>
  <c r="K43" i="209"/>
  <c r="M43" i="209"/>
  <c r="N43" i="209"/>
  <c r="G44" i="40"/>
  <c r="N44" i="70"/>
  <c r="K32" i="223"/>
  <c r="N32" i="223"/>
  <c r="M14" i="1"/>
  <c r="K14" i="1"/>
  <c r="M24" i="1"/>
  <c r="K24" i="1"/>
  <c r="N14" i="92"/>
  <c r="K14" i="177"/>
  <c r="K24" i="177"/>
  <c r="K24" i="40"/>
  <c r="E44" i="40"/>
  <c r="O43" i="40"/>
  <c r="N24" i="70"/>
  <c r="F24" i="216"/>
  <c r="N25" i="161"/>
  <c r="K59" i="86"/>
  <c r="G49" i="225"/>
  <c r="F14" i="233"/>
  <c r="E48" i="233"/>
  <c r="F24" i="236"/>
  <c r="N14" i="236"/>
  <c r="K44" i="236"/>
  <c r="G45" i="236"/>
  <c r="O14" i="237"/>
  <c r="F26" i="238"/>
  <c r="K14" i="238"/>
  <c r="K26" i="238"/>
  <c r="K36" i="238"/>
  <c r="K46" i="238"/>
  <c r="M14" i="238"/>
  <c r="O26" i="238"/>
  <c r="O36" i="238"/>
  <c r="O46" i="238"/>
  <c r="H45" i="239"/>
  <c r="F14" i="239"/>
  <c r="P54" i="219"/>
  <c r="N44" i="208"/>
  <c r="M14" i="92"/>
  <c r="E47" i="177"/>
  <c r="O42" i="252"/>
  <c r="O43" i="255"/>
  <c r="N42" i="210"/>
  <c r="O42" i="210"/>
  <c r="N4" i="255"/>
  <c r="F25" i="40"/>
  <c r="I33" i="40"/>
  <c r="F33" i="40" s="1"/>
  <c r="M14" i="215"/>
  <c r="L45" i="216"/>
  <c r="N4" i="216" s="1"/>
  <c r="N14" i="216"/>
  <c r="F6" i="222"/>
  <c r="F14" i="222" s="1"/>
  <c r="I14" i="222"/>
  <c r="M47" i="233"/>
  <c r="J46" i="206"/>
  <c r="N35" i="206"/>
  <c r="J45" i="20"/>
  <c r="F6" i="235"/>
  <c r="F14" i="235" s="1"/>
  <c r="I14" i="235"/>
  <c r="O24" i="236"/>
  <c r="F11" i="238"/>
  <c r="F14" i="238" s="1"/>
  <c r="I14" i="238"/>
  <c r="I22" i="213"/>
  <c r="I13" i="86"/>
  <c r="I14" i="239"/>
  <c r="I14" i="218"/>
  <c r="L45" i="245"/>
  <c r="N4" i="245" s="1"/>
  <c r="J45" i="245"/>
  <c r="I36" i="238"/>
  <c r="F36" i="238" s="1"/>
  <c r="N13" i="86"/>
  <c r="L47" i="238"/>
  <c r="I24" i="61"/>
  <c r="N44" i="234"/>
  <c r="L44" i="209"/>
  <c r="N24" i="209"/>
  <c r="K34" i="208"/>
  <c r="G45" i="187"/>
  <c r="M41" i="213"/>
  <c r="O44" i="155"/>
  <c r="F26" i="234"/>
  <c r="I34" i="234"/>
  <c r="F34" i="234" s="1"/>
  <c r="I34" i="233"/>
  <c r="F34" i="233" s="1"/>
  <c r="K30" i="196"/>
  <c r="K50" i="196"/>
  <c r="F15" i="161"/>
  <c r="I24" i="245"/>
  <c r="I14" i="234"/>
  <c r="I46" i="238"/>
  <c r="F46" i="238" s="1"/>
  <c r="I35" i="206"/>
  <c r="F35" i="206" s="1"/>
  <c r="I14" i="233"/>
  <c r="I44" i="215"/>
  <c r="F44" i="215" s="1"/>
  <c r="I36" i="125"/>
  <c r="F36" i="125" s="1"/>
  <c r="N34" i="20"/>
  <c r="I24" i="237"/>
  <c r="K14" i="20"/>
  <c r="I44" i="222"/>
  <c r="F44" i="222" s="1"/>
  <c r="I14" i="177"/>
  <c r="L45" i="92"/>
  <c r="I24" i="216"/>
  <c r="O44" i="92"/>
  <c r="L46" i="212"/>
  <c r="H46" i="206"/>
  <c r="M44" i="48"/>
  <c r="O13" i="66"/>
  <c r="I24" i="236"/>
  <c r="I26" i="238"/>
  <c r="E46" i="212"/>
  <c r="N46" i="125"/>
  <c r="N44" i="78"/>
  <c r="I86" i="219"/>
  <c r="F86" i="219" s="1"/>
  <c r="G98" i="219"/>
  <c r="K22" i="213"/>
  <c r="O35" i="161"/>
  <c r="N44" i="207"/>
  <c r="N34" i="155"/>
  <c r="O13" i="210"/>
  <c r="K14" i="216"/>
  <c r="K24" i="216"/>
  <c r="E45" i="231"/>
  <c r="E45" i="208"/>
  <c r="K44" i="207"/>
  <c r="M14" i="155"/>
  <c r="M24" i="239"/>
  <c r="M34" i="239"/>
  <c r="M44" i="239"/>
  <c r="O14" i="239"/>
  <c r="K24" i="240"/>
  <c r="O24" i="240"/>
  <c r="K34" i="1"/>
  <c r="N14" i="1"/>
  <c r="M45" i="212"/>
  <c r="K15" i="206"/>
  <c r="M35" i="206"/>
  <c r="O35" i="206"/>
  <c r="O45" i="206"/>
  <c r="K14" i="23"/>
  <c r="K24" i="23"/>
  <c r="K44" i="155"/>
  <c r="H45" i="155"/>
  <c r="G45" i="110"/>
  <c r="K14" i="110"/>
  <c r="K24" i="110"/>
  <c r="K34" i="110"/>
  <c r="K44" i="110"/>
  <c r="M14" i="110"/>
  <c r="M24" i="110"/>
  <c r="M34" i="110"/>
  <c r="M44" i="110"/>
  <c r="O14" i="110"/>
  <c r="O24" i="110"/>
  <c r="O34" i="110"/>
  <c r="O44" i="110"/>
  <c r="M25" i="86"/>
  <c r="O14" i="70"/>
  <c r="O24" i="70"/>
  <c r="M44" i="70"/>
  <c r="K44" i="70"/>
  <c r="E43" i="210"/>
  <c r="H43" i="210"/>
  <c r="N14" i="40"/>
  <c r="N13" i="66"/>
  <c r="N34" i="43"/>
  <c r="M41" i="247"/>
  <c r="E43" i="253"/>
  <c r="M42" i="253"/>
  <c r="M34" i="80"/>
  <c r="M44" i="80"/>
  <c r="O44" i="80"/>
  <c r="K44" i="80"/>
  <c r="K34" i="147"/>
  <c r="O44" i="147"/>
  <c r="K44" i="147"/>
  <c r="O24" i="187"/>
  <c r="K14" i="187"/>
  <c r="M34" i="187"/>
  <c r="I44" i="187"/>
  <c r="F44" i="187" s="1"/>
  <c r="K44" i="187"/>
  <c r="O44" i="187"/>
  <c r="H45" i="187"/>
  <c r="E45" i="207"/>
  <c r="O24" i="207"/>
  <c r="O25" i="48"/>
  <c r="M44" i="78"/>
  <c r="K13" i="86"/>
  <c r="F14" i="20"/>
  <c r="M34" i="43"/>
  <c r="K34" i="43"/>
  <c r="M50" i="196"/>
  <c r="K40" i="196"/>
  <c r="K24" i="61"/>
  <c r="M24" i="61"/>
  <c r="E45" i="61"/>
  <c r="O33" i="210"/>
  <c r="F24" i="237"/>
  <c r="O34" i="1"/>
  <c r="E44" i="209"/>
  <c r="O33" i="209"/>
  <c r="K33" i="209"/>
  <c r="H44" i="209"/>
  <c r="M14" i="80"/>
  <c r="N44" i="80"/>
  <c r="K24" i="147"/>
  <c r="M24" i="147"/>
  <c r="K24" i="187"/>
  <c r="K44" i="92"/>
  <c r="K45" i="23"/>
  <c r="O24" i="155"/>
  <c r="M24" i="155"/>
  <c r="N14" i="155"/>
  <c r="K43" i="40"/>
  <c r="O44" i="48"/>
  <c r="E45" i="48"/>
  <c r="M23" i="66"/>
  <c r="K13" i="66"/>
  <c r="M33" i="66"/>
  <c r="K33" i="66"/>
  <c r="K43" i="66"/>
  <c r="O14" i="78"/>
  <c r="M14" i="78"/>
  <c r="K14" i="78"/>
  <c r="M24" i="78"/>
  <c r="F24" i="78"/>
  <c r="K34" i="78"/>
  <c r="H45" i="78"/>
  <c r="M34" i="20"/>
  <c r="K44" i="20"/>
  <c r="O24" i="43"/>
  <c r="H51" i="196"/>
  <c r="N13" i="210"/>
  <c r="O44" i="222"/>
  <c r="G47" i="223"/>
  <c r="K24" i="223"/>
  <c r="M14" i="223"/>
  <c r="M24" i="223"/>
  <c r="M32" i="223"/>
  <c r="M46" i="223"/>
  <c r="O14" i="223"/>
  <c r="O32" i="223"/>
  <c r="H45" i="224"/>
  <c r="K34" i="230"/>
  <c r="N23" i="249"/>
  <c r="N33" i="252"/>
  <c r="E43" i="254"/>
  <c r="G43" i="250"/>
  <c r="N13" i="251"/>
  <c r="H43" i="254"/>
  <c r="N14" i="235"/>
  <c r="N23" i="251"/>
  <c r="K23" i="254"/>
  <c r="E43" i="250"/>
  <c r="I13" i="254"/>
  <c r="N33" i="254"/>
  <c r="K34" i="216"/>
  <c r="K44" i="216"/>
  <c r="M14" i="216"/>
  <c r="M24" i="216"/>
  <c r="M34" i="216"/>
  <c r="M44" i="216"/>
  <c r="J45" i="216"/>
  <c r="O14" i="216"/>
  <c r="O24" i="216"/>
  <c r="O34" i="216"/>
  <c r="E43" i="218"/>
  <c r="H43" i="218"/>
  <c r="K34" i="221"/>
  <c r="K44" i="221"/>
  <c r="M34" i="221"/>
  <c r="M44" i="221"/>
  <c r="O34" i="221"/>
  <c r="O44" i="221"/>
  <c r="M24" i="221"/>
  <c r="G45" i="221"/>
  <c r="O44" i="224"/>
  <c r="K14" i="226"/>
  <c r="K44" i="226"/>
  <c r="M24" i="226"/>
  <c r="M34" i="226"/>
  <c r="M44" i="226"/>
  <c r="O14" i="226"/>
  <c r="O24" i="226"/>
  <c r="O34" i="226"/>
  <c r="O44" i="226"/>
  <c r="O14" i="233"/>
  <c r="M14" i="233"/>
  <c r="F24" i="234"/>
  <c r="K14" i="234"/>
  <c r="K24" i="234"/>
  <c r="K34" i="234"/>
  <c r="K44" i="234"/>
  <c r="M14" i="234"/>
  <c r="M24" i="234"/>
  <c r="M44" i="234"/>
  <c r="J45" i="234"/>
  <c r="O14" i="234"/>
  <c r="O24" i="234"/>
  <c r="O34" i="234"/>
  <c r="O44" i="234"/>
  <c r="K24" i="235"/>
  <c r="M14" i="236"/>
  <c r="F54" i="219"/>
  <c r="K14" i="242"/>
  <c r="G45" i="242"/>
  <c r="O24" i="242"/>
  <c r="M34" i="242"/>
  <c r="K24" i="244"/>
  <c r="K34" i="244"/>
  <c r="M14" i="244"/>
  <c r="M24" i="244"/>
  <c r="M34" i="244"/>
  <c r="M44" i="244"/>
  <c r="J45" i="244"/>
  <c r="O14" i="244"/>
  <c r="O24" i="244"/>
  <c r="O34" i="244"/>
  <c r="O44" i="244"/>
  <c r="M14" i="245"/>
  <c r="M44" i="245"/>
  <c r="K44" i="245"/>
  <c r="E57" i="247"/>
  <c r="O56" i="247"/>
  <c r="I43" i="255"/>
  <c r="I4" i="255" s="1"/>
  <c r="K22" i="218"/>
  <c r="K32" i="218"/>
  <c r="K42" i="218"/>
  <c r="M32" i="218"/>
  <c r="M42" i="218"/>
  <c r="O32" i="218"/>
  <c r="M99" i="219"/>
  <c r="P98" i="219"/>
  <c r="O54" i="219"/>
  <c r="E45" i="226"/>
  <c r="H43" i="252"/>
  <c r="K42" i="254"/>
  <c r="N43" i="255"/>
  <c r="F7" i="187"/>
  <c r="F14" i="187" s="1"/>
  <c r="I14" i="187"/>
  <c r="I44" i="221"/>
  <c r="F44" i="221" s="1"/>
  <c r="F41" i="221"/>
  <c r="J45" i="226"/>
  <c r="N24" i="226"/>
  <c r="L45" i="221"/>
  <c r="N44" i="221"/>
  <c r="F17" i="239"/>
  <c r="F24" i="239" s="1"/>
  <c r="I24" i="239"/>
  <c r="F32" i="240"/>
  <c r="I34" i="240"/>
  <c r="F16" i="242"/>
  <c r="F24" i="242" s="1"/>
  <c r="I24" i="242"/>
  <c r="F41" i="244"/>
  <c r="I44" i="244"/>
  <c r="F44" i="244" s="1"/>
  <c r="K14" i="244"/>
  <c r="I44" i="70"/>
  <c r="F44" i="70" s="1"/>
  <c r="I44" i="226"/>
  <c r="I34" i="187"/>
  <c r="F34" i="187" s="1"/>
  <c r="J45" i="70"/>
  <c r="K41" i="213"/>
  <c r="F15" i="147"/>
  <c r="F24" i="147" s="1"/>
  <c r="I24" i="147"/>
  <c r="K24" i="212"/>
  <c r="M32" i="212"/>
  <c r="K32" i="212"/>
  <c r="M13" i="86"/>
  <c r="F25" i="86"/>
  <c r="F36" i="43"/>
  <c r="I44" i="43"/>
  <c r="F44" i="43" s="1"/>
  <c r="F41" i="196"/>
  <c r="I50" i="196"/>
  <c r="F50" i="196" s="1"/>
  <c r="N14" i="125"/>
  <c r="J47" i="125"/>
  <c r="F37" i="224"/>
  <c r="I44" i="224"/>
  <c r="F44" i="224" s="1"/>
  <c r="F24" i="23"/>
  <c r="H45" i="92"/>
  <c r="F6" i="78"/>
  <c r="F14" i="78" s="1"/>
  <c r="I14" i="78"/>
  <c r="F19" i="70"/>
  <c r="F24" i="70" s="1"/>
  <c r="I24" i="70"/>
  <c r="F16" i="218"/>
  <c r="F22" i="218" s="1"/>
  <c r="I22" i="218"/>
  <c r="F26" i="218"/>
  <c r="I32" i="218"/>
  <c r="F32" i="218" s="1"/>
  <c r="L46" i="23"/>
  <c r="N24" i="23"/>
  <c r="F15" i="222"/>
  <c r="F24" i="222" s="1"/>
  <c r="I24" i="222"/>
  <c r="F5" i="223"/>
  <c r="F14" i="223" s="1"/>
  <c r="I14" i="223"/>
  <c r="F6" i="231"/>
  <c r="F14" i="231" s="1"/>
  <c r="I14" i="231"/>
  <c r="N24" i="233"/>
  <c r="J48" i="233"/>
  <c r="N34" i="231"/>
  <c r="J45" i="231"/>
  <c r="F25" i="236"/>
  <c r="I34" i="236"/>
  <c r="F34" i="236" s="1"/>
  <c r="F38" i="236"/>
  <c r="I44" i="236"/>
  <c r="F44" i="236" s="1"/>
  <c r="F6" i="237"/>
  <c r="F14" i="237" s="1"/>
  <c r="I14" i="237"/>
  <c r="I28" i="219"/>
  <c r="F78" i="219"/>
  <c r="F10" i="240"/>
  <c r="F14" i="240" s="1"/>
  <c r="I14" i="240"/>
  <c r="N14" i="240"/>
  <c r="L45" i="240"/>
  <c r="F20" i="240"/>
  <c r="F24" i="240" s="1"/>
  <c r="I24" i="240"/>
  <c r="F10" i="241"/>
  <c r="F14" i="241" s="1"/>
  <c r="I14" i="241"/>
  <c r="F5" i="244"/>
  <c r="F14" i="244" s="1"/>
  <c r="I14" i="244"/>
  <c r="L51" i="196"/>
  <c r="N30" i="196"/>
  <c r="N14" i="230"/>
  <c r="J45" i="230"/>
  <c r="H42" i="213"/>
  <c r="K24" i="92"/>
  <c r="H45" i="147"/>
  <c r="F9" i="206"/>
  <c r="F15" i="206" s="1"/>
  <c r="I15" i="206"/>
  <c r="F40" i="110"/>
  <c r="I44" i="110"/>
  <c r="F44" i="110" s="1"/>
  <c r="F6" i="196"/>
  <c r="F17" i="196" s="1"/>
  <c r="I17" i="196"/>
  <c r="I24" i="23"/>
  <c r="L45" i="207"/>
  <c r="I33" i="66"/>
  <c r="F33" i="66" s="1"/>
  <c r="I24" i="155"/>
  <c r="I19" i="228"/>
  <c r="J45" i="155"/>
  <c r="J45" i="187"/>
  <c r="I44" i="234"/>
  <c r="I34" i="1"/>
  <c r="F34" i="1" s="1"/>
  <c r="F33" i="212"/>
  <c r="I45" i="212"/>
  <c r="F45" i="212" s="1"/>
  <c r="N34" i="234"/>
  <c r="J45" i="92"/>
  <c r="F24" i="155"/>
  <c r="I54" i="219"/>
  <c r="I34" i="216"/>
  <c r="F34" i="216" s="1"/>
  <c r="I34" i="155"/>
  <c r="F34" i="155" s="1"/>
  <c r="K14" i="208"/>
  <c r="O34" i="187"/>
  <c r="M24" i="187"/>
  <c r="F26" i="224"/>
  <c r="I34" i="224"/>
  <c r="F34" i="224" s="1"/>
  <c r="F30" i="226"/>
  <c r="I34" i="226"/>
  <c r="F34" i="226" s="1"/>
  <c r="J45" i="207"/>
  <c r="F36" i="187"/>
  <c r="F19" i="228"/>
  <c r="I24" i="80"/>
  <c r="I34" i="215"/>
  <c r="F34" i="215" s="1"/>
  <c r="I45" i="161"/>
  <c r="F45" i="161" s="1"/>
  <c r="I34" i="78"/>
  <c r="F34" i="78" s="1"/>
  <c r="I24" i="234"/>
  <c r="I34" i="70"/>
  <c r="F34" i="70" s="1"/>
  <c r="M34" i="1"/>
  <c r="K34" i="187"/>
  <c r="O14" i="207"/>
  <c r="K24" i="207"/>
  <c r="H45" i="207"/>
  <c r="O44" i="207"/>
  <c r="E45" i="1"/>
  <c r="O44" i="1"/>
  <c r="M12" i="213"/>
  <c r="O12" i="213"/>
  <c r="O22" i="213"/>
  <c r="K15" i="161"/>
  <c r="K25" i="161"/>
  <c r="O45" i="161"/>
  <c r="K14" i="209"/>
  <c r="O14" i="209"/>
  <c r="O24" i="209"/>
  <c r="N14" i="80"/>
  <c r="O24" i="80"/>
  <c r="O44" i="208"/>
  <c r="G45" i="208"/>
  <c r="L45" i="208"/>
  <c r="O14" i="147"/>
  <c r="O98" i="219"/>
  <c r="K32" i="213"/>
  <c r="M35" i="161"/>
  <c r="K24" i="208"/>
  <c r="N24" i="208"/>
  <c r="L45" i="147"/>
  <c r="M14" i="147"/>
  <c r="I14" i="61"/>
  <c r="O32" i="213"/>
  <c r="O25" i="161"/>
  <c r="O34" i="147"/>
  <c r="K14" i="207"/>
  <c r="M24" i="207"/>
  <c r="M34" i="207"/>
  <c r="K34" i="207"/>
  <c r="M44" i="207"/>
  <c r="F14" i="92"/>
  <c r="M24" i="92"/>
  <c r="M44" i="92"/>
  <c r="M24" i="212"/>
  <c r="O32" i="212"/>
  <c r="K13" i="250"/>
  <c r="F14" i="61"/>
  <c r="I42" i="218"/>
  <c r="F42" i="218" s="1"/>
  <c r="G42" i="213"/>
  <c r="M15" i="161"/>
  <c r="F24" i="209"/>
  <c r="K24" i="209"/>
  <c r="K24" i="80"/>
  <c r="E45" i="80"/>
  <c r="G45" i="80"/>
  <c r="K14" i="147"/>
  <c r="I44" i="235"/>
  <c r="F44" i="235" s="1"/>
  <c r="K44" i="1"/>
  <c r="M44" i="1"/>
  <c r="H45" i="1"/>
  <c r="G46" i="161"/>
  <c r="M14" i="209"/>
  <c r="M24" i="209"/>
  <c r="K44" i="208"/>
  <c r="H45" i="208"/>
  <c r="K42" i="249"/>
  <c r="O23" i="254"/>
  <c r="K33" i="254"/>
  <c r="O13" i="254"/>
  <c r="M33" i="254"/>
  <c r="I42" i="254"/>
  <c r="F42" i="254" s="1"/>
  <c r="O42" i="254"/>
  <c r="O33" i="254"/>
  <c r="G46" i="212"/>
  <c r="O45" i="212"/>
  <c r="G46" i="23"/>
  <c r="O14" i="155"/>
  <c r="K46" i="177"/>
  <c r="M14" i="177"/>
  <c r="M24" i="177"/>
  <c r="M34" i="177"/>
  <c r="L47" i="177"/>
  <c r="H44" i="40"/>
  <c r="K34" i="48"/>
  <c r="M34" i="48"/>
  <c r="O26" i="125"/>
  <c r="E47" i="125"/>
  <c r="I59" i="86"/>
  <c r="F59" i="86" s="1"/>
  <c r="M59" i="86"/>
  <c r="K14" i="70"/>
  <c r="K34" i="70"/>
  <c r="F24" i="43"/>
  <c r="E45" i="43"/>
  <c r="F30" i="196"/>
  <c r="M44" i="61"/>
  <c r="K13" i="210"/>
  <c r="K23" i="210"/>
  <c r="L45" i="78"/>
  <c r="N44" i="43"/>
  <c r="G45" i="215"/>
  <c r="K24" i="215"/>
  <c r="K34" i="215"/>
  <c r="K44" i="215"/>
  <c r="J45" i="215"/>
  <c r="O24" i="215"/>
  <c r="O44" i="215"/>
  <c r="F14" i="216"/>
  <c r="L75" i="219"/>
  <c r="N54" i="219"/>
  <c r="O75" i="219"/>
  <c r="P28" i="219"/>
  <c r="L28" i="219"/>
  <c r="E45" i="221"/>
  <c r="K14" i="221"/>
  <c r="L98" i="219"/>
  <c r="J46" i="161"/>
  <c r="N22" i="218"/>
  <c r="J46" i="23"/>
  <c r="N44" i="110"/>
  <c r="M14" i="222"/>
  <c r="O24" i="222"/>
  <c r="K24" i="222"/>
  <c r="E45" i="222"/>
  <c r="F24" i="224"/>
  <c r="K44" i="224"/>
  <c r="M24" i="224"/>
  <c r="M34" i="224"/>
  <c r="M44" i="224"/>
  <c r="K14" i="224"/>
  <c r="M14" i="224"/>
  <c r="K34" i="240"/>
  <c r="N35" i="86"/>
  <c r="N33" i="251"/>
  <c r="N13" i="254"/>
  <c r="H46" i="23"/>
  <c r="O50" i="228"/>
  <c r="H43" i="249"/>
  <c r="H45" i="43"/>
  <c r="K24" i="230"/>
  <c r="M13" i="254"/>
  <c r="I23" i="254"/>
  <c r="N23" i="254"/>
  <c r="H46" i="212"/>
  <c r="M15" i="206"/>
  <c r="G46" i="206"/>
  <c r="F24" i="110"/>
  <c r="K34" i="177"/>
  <c r="M46" i="177"/>
  <c r="O34" i="177"/>
  <c r="N24" i="40"/>
  <c r="G45" i="48"/>
  <c r="K14" i="48"/>
  <c r="K25" i="48"/>
  <c r="F26" i="125"/>
  <c r="M14" i="125"/>
  <c r="M26" i="125"/>
  <c r="K35" i="86"/>
  <c r="O35" i="86"/>
  <c r="G60" i="86"/>
  <c r="M34" i="70"/>
  <c r="O34" i="20"/>
  <c r="H45" i="61"/>
  <c r="M33" i="210"/>
  <c r="N33" i="210"/>
  <c r="J45" i="110"/>
  <c r="L47" i="125"/>
  <c r="N33" i="66"/>
  <c r="J51" i="196"/>
  <c r="N4" i="196" s="1"/>
  <c r="E45" i="215"/>
  <c r="K14" i="215"/>
  <c r="M24" i="215"/>
  <c r="M34" i="215"/>
  <c r="M44" i="215"/>
  <c r="L45" i="215"/>
  <c r="O14" i="215"/>
  <c r="E45" i="216"/>
  <c r="P75" i="219"/>
  <c r="G99" i="219"/>
  <c r="K42" i="210"/>
  <c r="F24" i="221"/>
  <c r="M14" i="221"/>
  <c r="N98" i="219"/>
  <c r="L46" i="161"/>
  <c r="N24" i="216"/>
  <c r="K14" i="222"/>
  <c r="M24" i="222"/>
  <c r="F24" i="223"/>
  <c r="K24" i="224"/>
  <c r="K34" i="224"/>
  <c r="O24" i="224"/>
  <c r="O34" i="224"/>
  <c r="O14" i="224"/>
  <c r="K13" i="254"/>
  <c r="M23" i="254"/>
  <c r="L43" i="254"/>
  <c r="G43" i="254"/>
  <c r="I33" i="254"/>
  <c r="F33" i="254" s="1"/>
  <c r="F18" i="254"/>
  <c r="F23" i="254" s="1"/>
  <c r="J43" i="254"/>
  <c r="F5" i="254"/>
  <c r="F13" i="254" s="1"/>
  <c r="F24" i="233"/>
  <c r="F14" i="147"/>
  <c r="O24" i="1"/>
  <c r="F12" i="213"/>
  <c r="O46" i="177"/>
  <c r="N28" i="219"/>
  <c r="I14" i="80"/>
  <c r="I35" i="86"/>
  <c r="F35" i="86" s="1"/>
  <c r="L45" i="43"/>
  <c r="J43" i="210"/>
  <c r="I14" i="221"/>
  <c r="I14" i="216"/>
  <c r="L44" i="66"/>
  <c r="N4" i="66" s="1"/>
  <c r="I24" i="223"/>
  <c r="L45" i="110"/>
  <c r="N24" i="215"/>
  <c r="I44" i="207"/>
  <c r="F44" i="207" s="1"/>
  <c r="N14" i="110"/>
  <c r="I24" i="221"/>
  <c r="N50" i="196"/>
  <c r="M44" i="187"/>
  <c r="K14" i="43"/>
  <c r="F24" i="229"/>
  <c r="G45" i="229"/>
  <c r="K45" i="161"/>
  <c r="O24" i="177"/>
  <c r="I14" i="70"/>
  <c r="J45" i="208"/>
  <c r="J44" i="209"/>
  <c r="I14" i="40"/>
  <c r="I46" i="177"/>
  <c r="I24" i="208"/>
  <c r="I44" i="208"/>
  <c r="F44" i="208" s="1"/>
  <c r="I35" i="161"/>
  <c r="F35" i="161" s="1"/>
  <c r="I24" i="177"/>
  <c r="L45" i="70"/>
  <c r="I26" i="125"/>
  <c r="K99" i="219"/>
  <c r="I33" i="210"/>
  <c r="F33" i="210" s="1"/>
  <c r="N36" i="125"/>
  <c r="I14" i="209"/>
  <c r="I34" i="147"/>
  <c r="F34" i="147" s="1"/>
  <c r="I24" i="110"/>
  <c r="I32" i="223"/>
  <c r="F32" i="223" s="1"/>
  <c r="I24" i="78"/>
  <c r="N45" i="161"/>
  <c r="J45" i="1"/>
  <c r="L43" i="218"/>
  <c r="I12" i="213"/>
  <c r="I24" i="43"/>
  <c r="I41" i="247"/>
  <c r="M14" i="208"/>
  <c r="M24" i="208"/>
  <c r="M34" i="208"/>
  <c r="O14" i="208"/>
  <c r="O24" i="208"/>
  <c r="O34" i="208"/>
  <c r="F24" i="80"/>
  <c r="I41" i="213"/>
  <c r="F41" i="213" s="1"/>
  <c r="L45" i="1"/>
  <c r="I24" i="1"/>
  <c r="I30" i="196"/>
  <c r="J44" i="40"/>
  <c r="I44" i="1"/>
  <c r="F44" i="1" s="1"/>
  <c r="I44" i="20"/>
  <c r="F44" i="20" s="1"/>
  <c r="I24" i="209"/>
  <c r="I14" i="92"/>
  <c r="I34" i="221"/>
  <c r="F34" i="221" s="1"/>
  <c r="I75" i="219"/>
  <c r="F75" i="219" s="1"/>
  <c r="I24" i="224"/>
  <c r="I34" i="80"/>
  <c r="F34" i="80" s="1"/>
  <c r="I15" i="161"/>
  <c r="I44" i="92"/>
  <c r="F44" i="92" s="1"/>
  <c r="I45" i="23"/>
  <c r="F45" i="23" s="1"/>
  <c r="I24" i="207"/>
  <c r="K12" i="213"/>
  <c r="E42" i="213"/>
  <c r="O15" i="161"/>
  <c r="M25" i="161"/>
  <c r="O14" i="80"/>
  <c r="K14" i="80"/>
  <c r="M24" i="80"/>
  <c r="K34" i="80"/>
  <c r="M34" i="147"/>
  <c r="O14" i="187"/>
  <c r="M14" i="187"/>
  <c r="M14" i="212"/>
  <c r="K14" i="212"/>
  <c r="O14" i="212"/>
  <c r="K45" i="212"/>
  <c r="M45" i="206"/>
  <c r="K24" i="155"/>
  <c r="M34" i="155"/>
  <c r="E45" i="155"/>
  <c r="F14" i="177"/>
  <c r="N34" i="177"/>
  <c r="F24" i="40"/>
  <c r="K33" i="40"/>
  <c r="M43" i="40"/>
  <c r="N44" i="48"/>
  <c r="K14" i="125"/>
  <c r="O14" i="125"/>
  <c r="F14" i="125"/>
  <c r="O43" i="66"/>
  <c r="O44" i="66" s="1"/>
  <c r="O59" i="86"/>
  <c r="M14" i="70"/>
  <c r="M44" i="20"/>
  <c r="H45" i="20"/>
  <c r="F14" i="43"/>
  <c r="O14" i="43"/>
  <c r="M40" i="196"/>
  <c r="M14" i="61"/>
  <c r="O34" i="61"/>
  <c r="M34" i="61"/>
  <c r="K34" i="61"/>
  <c r="O44" i="61"/>
  <c r="K44" i="61"/>
  <c r="M13" i="210"/>
  <c r="I23" i="210"/>
  <c r="M23" i="210"/>
  <c r="N14" i="78"/>
  <c r="F14" i="215"/>
  <c r="G45" i="207"/>
  <c r="O14" i="92"/>
  <c r="G44" i="66"/>
  <c r="O34" i="43"/>
  <c r="N44" i="215"/>
  <c r="H45" i="237"/>
  <c r="M24" i="237"/>
  <c r="O24" i="237"/>
  <c r="K44" i="237"/>
  <c r="E45" i="241"/>
  <c r="E43" i="252"/>
  <c r="N34" i="147"/>
  <c r="M44" i="147"/>
  <c r="K34" i="92"/>
  <c r="E45" i="20"/>
  <c r="M14" i="43"/>
  <c r="E51" i="196"/>
  <c r="O17" i="196"/>
  <c r="O40" i="196"/>
  <c r="N14" i="61"/>
  <c r="G43" i="210"/>
  <c r="N40" i="196"/>
  <c r="H45" i="215"/>
  <c r="K24" i="221"/>
  <c r="N14" i="218"/>
  <c r="O34" i="222"/>
  <c r="M36" i="238"/>
  <c r="M46" i="238"/>
  <c r="N44" i="231"/>
  <c r="K14" i="230"/>
  <c r="O24" i="233"/>
  <c r="K34" i="233"/>
  <c r="N34" i="244"/>
  <c r="O14" i="247"/>
  <c r="M14" i="247"/>
  <c r="N13" i="249"/>
  <c r="O23" i="249"/>
  <c r="N13" i="250"/>
  <c r="O42" i="250"/>
  <c r="N23" i="252"/>
  <c r="N42" i="253"/>
  <c r="K14" i="236"/>
  <c r="J45" i="236"/>
  <c r="M34" i="236"/>
  <c r="N24" i="240"/>
  <c r="H43" i="250"/>
  <c r="G43" i="251"/>
  <c r="L43" i="252"/>
  <c r="N23" i="253"/>
  <c r="F23" i="250"/>
  <c r="N42" i="250"/>
  <c r="J43" i="250"/>
  <c r="F23" i="213"/>
  <c r="I32" i="213"/>
  <c r="F25" i="208"/>
  <c r="I34" i="208"/>
  <c r="F34" i="208" s="1"/>
  <c r="F7" i="207"/>
  <c r="F14" i="207" s="1"/>
  <c r="I14" i="207"/>
  <c r="F37" i="155"/>
  <c r="I44" i="155"/>
  <c r="F44" i="155" s="1"/>
  <c r="F28" i="110"/>
  <c r="I34" i="110"/>
  <c r="F34" i="110" s="1"/>
  <c r="F25" i="48"/>
  <c r="N34" i="80"/>
  <c r="L45" i="80"/>
  <c r="O34" i="207"/>
  <c r="O24" i="40"/>
  <c r="F42" i="229"/>
  <c r="I44" i="229"/>
  <c r="I13" i="253"/>
  <c r="F8" i="253"/>
  <c r="F13" i="253" s="1"/>
  <c r="F24" i="208"/>
  <c r="J45" i="61"/>
  <c r="L45" i="48"/>
  <c r="O24" i="147"/>
  <c r="F31" i="196"/>
  <c r="I40" i="196"/>
  <c r="F40" i="196" s="1"/>
  <c r="I14" i="236"/>
  <c r="F8" i="236"/>
  <c r="F14" i="236" s="1"/>
  <c r="I44" i="48"/>
  <c r="F44" i="48" s="1"/>
  <c r="I14" i="125"/>
  <c r="I13" i="210"/>
  <c r="M34" i="92"/>
  <c r="O24" i="221"/>
  <c r="I47" i="233"/>
  <c r="F35" i="233"/>
  <c r="I44" i="61"/>
  <c r="I43" i="66"/>
  <c r="F14" i="80"/>
  <c r="F37" i="210"/>
  <c r="I42" i="210"/>
  <c r="L45" i="237"/>
  <c r="O43" i="209"/>
  <c r="F24" i="177"/>
  <c r="N26" i="238"/>
  <c r="F14" i="209"/>
  <c r="F14" i="23"/>
  <c r="F43" i="242"/>
  <c r="I44" i="242"/>
  <c r="M14" i="40"/>
  <c r="F24" i="1"/>
  <c r="I14" i="215"/>
  <c r="I14" i="43"/>
  <c r="I24" i="40"/>
  <c r="I14" i="147"/>
  <c r="E46" i="206"/>
  <c r="M24" i="40"/>
  <c r="I14" i="48"/>
  <c r="F11" i="48"/>
  <c r="F14" i="48" s="1"/>
  <c r="F28" i="241"/>
  <c r="I34" i="241"/>
  <c r="F34" i="241" s="1"/>
  <c r="F14" i="221"/>
  <c r="I23" i="252"/>
  <c r="K14" i="235"/>
  <c r="O23" i="250"/>
  <c r="O33" i="250"/>
  <c r="M13" i="252"/>
  <c r="N44" i="147"/>
  <c r="M24" i="229"/>
  <c r="I23" i="250"/>
  <c r="K33" i="253"/>
  <c r="O25" i="206"/>
  <c r="L43" i="249"/>
  <c r="N42" i="249"/>
  <c r="K42" i="250"/>
  <c r="M23" i="249"/>
  <c r="I33" i="249"/>
  <c r="F33" i="249" s="1"/>
  <c r="F24" i="249"/>
  <c r="O14" i="1"/>
  <c r="O41" i="213"/>
  <c r="M45" i="161"/>
  <c r="E45" i="147"/>
  <c r="O34" i="92"/>
  <c r="O15" i="206"/>
  <c r="N35" i="161"/>
  <c r="J43" i="249"/>
  <c r="N33" i="249"/>
  <c r="K44" i="48"/>
  <c r="N33" i="250"/>
  <c r="K23" i="251"/>
  <c r="O13" i="252"/>
  <c r="J43" i="252"/>
  <c r="O23" i="253"/>
  <c r="O42" i="253"/>
  <c r="K24" i="229"/>
  <c r="K33" i="249"/>
  <c r="M13" i="250"/>
  <c r="I42" i="250"/>
  <c r="F42" i="250" s="1"/>
  <c r="M23" i="251"/>
  <c r="I23" i="251"/>
  <c r="K33" i="252"/>
  <c r="H43" i="253"/>
  <c r="I23" i="253"/>
  <c r="M33" i="249"/>
  <c r="G43" i="249"/>
  <c r="O13" i="250"/>
  <c r="M33" i="250"/>
  <c r="K33" i="250"/>
  <c r="K13" i="251"/>
  <c r="E43" i="251"/>
  <c r="O23" i="251"/>
  <c r="K13" i="252"/>
  <c r="I42" i="253"/>
  <c r="F42" i="253" s="1"/>
  <c r="N45" i="23"/>
  <c r="O14" i="229"/>
  <c r="I13" i="249"/>
  <c r="O13" i="249"/>
  <c r="I23" i="249"/>
  <c r="M42" i="249"/>
  <c r="M42" i="250"/>
  <c r="O33" i="251"/>
  <c r="K42" i="251"/>
  <c r="L43" i="251"/>
  <c r="K23" i="252"/>
  <c r="O33" i="252"/>
  <c r="M33" i="252"/>
  <c r="O42" i="249"/>
  <c r="O13" i="251"/>
  <c r="M13" i="251"/>
  <c r="M42" i="251"/>
  <c r="M23" i="252"/>
  <c r="K42" i="252"/>
  <c r="I42" i="252"/>
  <c r="F42" i="252" s="1"/>
  <c r="K42" i="253"/>
  <c r="N13" i="253"/>
  <c r="M13" i="249"/>
  <c r="F13" i="249"/>
  <c r="K23" i="249"/>
  <c r="I42" i="249"/>
  <c r="F42" i="249" s="1"/>
  <c r="K23" i="250"/>
  <c r="M33" i="251"/>
  <c r="O23" i="252"/>
  <c r="I33" i="252"/>
  <c r="F33" i="252" s="1"/>
  <c r="N43" i="66"/>
  <c r="F7" i="1"/>
  <c r="F14" i="1" s="1"/>
  <c r="I14" i="1"/>
  <c r="F22" i="213"/>
  <c r="F17" i="161"/>
  <c r="F25" i="161" s="1"/>
  <c r="I25" i="161"/>
  <c r="F39" i="209"/>
  <c r="I43" i="209"/>
  <c r="F42" i="80"/>
  <c r="I44" i="80"/>
  <c r="F5" i="208"/>
  <c r="F14" i="208" s="1"/>
  <c r="I14" i="208"/>
  <c r="F37" i="147"/>
  <c r="I44" i="147"/>
  <c r="F21" i="187"/>
  <c r="F24" i="187" s="1"/>
  <c r="I24" i="187"/>
  <c r="F27" i="207"/>
  <c r="I34" i="207"/>
  <c r="F22" i="92"/>
  <c r="F24" i="92" s="1"/>
  <c r="I24" i="92"/>
  <c r="F6" i="212"/>
  <c r="F14" i="212" s="1"/>
  <c r="I14" i="212"/>
  <c r="F19" i="206"/>
  <c r="F25" i="206" s="1"/>
  <c r="I25" i="206"/>
  <c r="F11" i="155"/>
  <c r="F14" i="155" s="1"/>
  <c r="I14" i="155"/>
  <c r="F7" i="110"/>
  <c r="F14" i="110" s="1"/>
  <c r="I14" i="110"/>
  <c r="O14" i="177"/>
  <c r="J45" i="43"/>
  <c r="N24" i="43"/>
  <c r="F18" i="215"/>
  <c r="F24" i="215" s="1"/>
  <c r="I24" i="215"/>
  <c r="F43" i="216"/>
  <c r="I44" i="216"/>
  <c r="M22" i="213"/>
  <c r="E45" i="110"/>
  <c r="I44" i="237"/>
  <c r="F40" i="237"/>
  <c r="E46" i="161"/>
  <c r="I33" i="253"/>
  <c r="F33" i="253" s="1"/>
  <c r="O34" i="229"/>
  <c r="I42" i="251"/>
  <c r="F37" i="251"/>
  <c r="N42" i="251"/>
  <c r="J43" i="251"/>
  <c r="F23" i="252"/>
  <c r="K34" i="237"/>
  <c r="O14" i="236"/>
  <c r="M44" i="237"/>
  <c r="M13" i="253"/>
  <c r="O33" i="253"/>
  <c r="F23" i="249"/>
  <c r="I13" i="251"/>
  <c r="F6" i="251"/>
  <c r="F13" i="251" s="1"/>
  <c r="M42" i="252"/>
  <c r="G43" i="252"/>
  <c r="K23" i="253"/>
  <c r="K13" i="249"/>
  <c r="O33" i="249"/>
  <c r="M23" i="250"/>
  <c r="F13" i="250"/>
  <c r="F23" i="251"/>
  <c r="G43" i="253"/>
  <c r="M23" i="253"/>
  <c r="O13" i="253"/>
  <c r="I33" i="251"/>
  <c r="F33" i="251" s="1"/>
  <c r="K13" i="253"/>
  <c r="M33" i="253"/>
  <c r="E43" i="249"/>
  <c r="I13" i="250"/>
  <c r="I33" i="250"/>
  <c r="F24" i="250"/>
  <c r="H43" i="251"/>
  <c r="F5" i="252"/>
  <c r="F13" i="252" s="1"/>
  <c r="I13" i="252"/>
  <c r="F23" i="253"/>
  <c r="L43" i="253"/>
  <c r="F26" i="253"/>
  <c r="L43" i="250"/>
  <c r="N42" i="252"/>
  <c r="N33" i="253"/>
  <c r="N4" i="155" l="1"/>
  <c r="N36" i="238"/>
  <c r="N4" i="240"/>
  <c r="N4" i="207"/>
  <c r="N4" i="209"/>
  <c r="N45" i="187"/>
  <c r="N4" i="233"/>
  <c r="N45" i="20"/>
  <c r="N4" i="212"/>
  <c r="N4" i="208"/>
  <c r="O45" i="221"/>
  <c r="N4" i="238"/>
  <c r="I45" i="245"/>
  <c r="F43" i="256"/>
  <c r="O45" i="235"/>
  <c r="I45" i="78"/>
  <c r="F45" i="78" s="1"/>
  <c r="M45" i="231"/>
  <c r="N47" i="223"/>
  <c r="K45" i="235"/>
  <c r="K4" i="235" s="1"/>
  <c r="K45" i="43"/>
  <c r="K4" i="43" s="1"/>
  <c r="N45" i="235"/>
  <c r="M45" i="230"/>
  <c r="I4" i="257"/>
  <c r="N4" i="48"/>
  <c r="K45" i="1"/>
  <c r="K4" i="1" s="1"/>
  <c r="N45" i="147"/>
  <c r="K45" i="245"/>
  <c r="K4" i="245" s="1"/>
  <c r="K45" i="241"/>
  <c r="K4" i="241" s="1"/>
  <c r="N45" i="226"/>
  <c r="O43" i="218"/>
  <c r="N4" i="223"/>
  <c r="N45" i="43"/>
  <c r="O4" i="219"/>
  <c r="I46" i="212"/>
  <c r="I4" i="212" s="1"/>
  <c r="O44" i="40"/>
  <c r="I51" i="228"/>
  <c r="F51" i="228" s="1"/>
  <c r="N4" i="147"/>
  <c r="M45" i="240"/>
  <c r="N45" i="229"/>
  <c r="N4" i="86"/>
  <c r="N4" i="224"/>
  <c r="K45" i="231"/>
  <c r="K4" i="231" s="1"/>
  <c r="K45" i="242"/>
  <c r="K4" i="242" s="1"/>
  <c r="N4" i="242" s="1"/>
  <c r="K57" i="247"/>
  <c r="K4" i="247" s="1"/>
  <c r="N4" i="247" s="1"/>
  <c r="O45" i="241"/>
  <c r="N4" i="222"/>
  <c r="K48" i="233"/>
  <c r="K4" i="233" s="1"/>
  <c r="M45" i="235"/>
  <c r="O45" i="245"/>
  <c r="I45" i="230"/>
  <c r="I4" i="230" s="1"/>
  <c r="I45" i="236"/>
  <c r="F45" i="236" s="1"/>
  <c r="N49" i="225"/>
  <c r="M45" i="1"/>
  <c r="N4" i="40"/>
  <c r="O45" i="231"/>
  <c r="N4" i="187"/>
  <c r="N48" i="233"/>
  <c r="K47" i="223"/>
  <c r="K4" i="223" s="1"/>
  <c r="I47" i="238"/>
  <c r="F47" i="238" s="1"/>
  <c r="O43" i="210"/>
  <c r="N45" i="244"/>
  <c r="O45" i="242"/>
  <c r="K45" i="155"/>
  <c r="K4" i="155" s="1"/>
  <c r="K45" i="229"/>
  <c r="K4" i="229" s="1"/>
  <c r="N51" i="196"/>
  <c r="N45" i="222"/>
  <c r="N45" i="241"/>
  <c r="K45" i="187"/>
  <c r="K4" i="187" s="1"/>
  <c r="M49" i="225"/>
  <c r="M45" i="242"/>
  <c r="I45" i="224"/>
  <c r="I4" i="224" s="1"/>
  <c r="N4" i="254"/>
  <c r="O43" i="254"/>
  <c r="N45" i="230"/>
  <c r="N42" i="213"/>
  <c r="O46" i="23"/>
  <c r="K51" i="228"/>
  <c r="K4" i="228" s="1"/>
  <c r="N60" i="86"/>
  <c r="N45" i="92"/>
  <c r="K47" i="238"/>
  <c r="K4" i="238" s="1"/>
  <c r="O45" i="20"/>
  <c r="N45" i="78"/>
  <c r="M45" i="245"/>
  <c r="N4" i="234"/>
  <c r="O45" i="239"/>
  <c r="M45" i="229"/>
  <c r="K44" i="40"/>
  <c r="K4" i="40" s="1"/>
  <c r="N45" i="216"/>
  <c r="O45" i="230"/>
  <c r="O45" i="240"/>
  <c r="O45" i="236"/>
  <c r="O60" i="86"/>
  <c r="N4" i="161"/>
  <c r="O45" i="92"/>
  <c r="M44" i="209"/>
  <c r="N45" i="207"/>
  <c r="N45" i="231"/>
  <c r="N4" i="231" s="1"/>
  <c r="K45" i="20"/>
  <c r="K4" i="20" s="1"/>
  <c r="O45" i="78"/>
  <c r="O45" i="70"/>
  <c r="M46" i="212"/>
  <c r="I98" i="219"/>
  <c r="F98" i="219" s="1"/>
  <c r="P99" i="219"/>
  <c r="N47" i="177"/>
  <c r="K45" i="236"/>
  <c r="N45" i="236"/>
  <c r="N57" i="247"/>
  <c r="M51" i="196"/>
  <c r="M46" i="23"/>
  <c r="K45" i="239"/>
  <c r="K4" i="239" s="1"/>
  <c r="M45" i="241"/>
  <c r="O49" i="225"/>
  <c r="K49" i="225"/>
  <c r="K4" i="225" s="1"/>
  <c r="M57" i="247"/>
  <c r="N4" i="110"/>
  <c r="O47" i="223"/>
  <c r="N4" i="239"/>
  <c r="M51" i="228"/>
  <c r="O45" i="147"/>
  <c r="M45" i="222"/>
  <c r="O51" i="228"/>
  <c r="K44" i="209"/>
  <c r="K4" i="209" s="1"/>
  <c r="M45" i="48"/>
  <c r="K47" i="125"/>
  <c r="K4" i="125" s="1"/>
  <c r="N45" i="70"/>
  <c r="K43" i="218"/>
  <c r="K4" i="218" s="1"/>
  <c r="O45" i="234"/>
  <c r="M45" i="226"/>
  <c r="O45" i="216"/>
  <c r="O45" i="48"/>
  <c r="M42" i="213"/>
  <c r="I45" i="239"/>
  <c r="I4" i="239" s="1"/>
  <c r="K45" i="244"/>
  <c r="K4" i="244" s="1"/>
  <c r="K44" i="66"/>
  <c r="K4" i="66" s="1"/>
  <c r="N4" i="251"/>
  <c r="K45" i="92"/>
  <c r="K4" i="92" s="1"/>
  <c r="I45" i="231"/>
  <c r="I4" i="231" s="1"/>
  <c r="N4" i="125"/>
  <c r="I45" i="222"/>
  <c r="I4" i="222" s="1"/>
  <c r="M44" i="66"/>
  <c r="K46" i="23"/>
  <c r="K4" i="23" s="1"/>
  <c r="N51" i="228"/>
  <c r="O45" i="222"/>
  <c r="N46" i="212"/>
  <c r="M45" i="207"/>
  <c r="K45" i="226"/>
  <c r="K4" i="226" s="1"/>
  <c r="K60" i="86"/>
  <c r="K4" i="86" s="1"/>
  <c r="O45" i="110"/>
  <c r="M60" i="86"/>
  <c r="M48" i="233"/>
  <c r="K45" i="78"/>
  <c r="K4" i="78" s="1"/>
  <c r="M45" i="110"/>
  <c r="K46" i="206"/>
  <c r="K5" i="206" s="1"/>
  <c r="N44" i="209"/>
  <c r="N45" i="110"/>
  <c r="K43" i="251"/>
  <c r="K4" i="251" s="1"/>
  <c r="M45" i="43"/>
  <c r="M45" i="155"/>
  <c r="M45" i="187"/>
  <c r="F43" i="255"/>
  <c r="O45" i="244"/>
  <c r="N4" i="78"/>
  <c r="O45" i="237"/>
  <c r="O45" i="215"/>
  <c r="M43" i="254"/>
  <c r="N45" i="239"/>
  <c r="N4" i="215"/>
  <c r="K45" i="234"/>
  <c r="K4" i="234" s="1"/>
  <c r="M45" i="20"/>
  <c r="M45" i="80"/>
  <c r="M45" i="221"/>
  <c r="K45" i="240"/>
  <c r="K4" i="240" s="1"/>
  <c r="O47" i="238"/>
  <c r="N45" i="224"/>
  <c r="I49" i="225"/>
  <c r="F49" i="225" s="1"/>
  <c r="I45" i="215"/>
  <c r="I4" i="215" s="1"/>
  <c r="M47" i="238"/>
  <c r="K43" i="254"/>
  <c r="K4" i="254" s="1"/>
  <c r="N4" i="213"/>
  <c r="K51" i="196"/>
  <c r="K4" i="196" s="1"/>
  <c r="I60" i="86"/>
  <c r="F60" i="86" s="1"/>
  <c r="M45" i="215"/>
  <c r="M45" i="237"/>
  <c r="M45" i="208"/>
  <c r="M45" i="224"/>
  <c r="K45" i="215"/>
  <c r="K4" i="215" s="1"/>
  <c r="M45" i="244"/>
  <c r="M45" i="234"/>
  <c r="O45" i="226"/>
  <c r="M45" i="216"/>
  <c r="M45" i="78"/>
  <c r="K45" i="147"/>
  <c r="K4" i="147" s="1"/>
  <c r="M45" i="239"/>
  <c r="I46" i="206"/>
  <c r="I5" i="206" s="1"/>
  <c r="M43" i="210"/>
  <c r="I44" i="40"/>
  <c r="I4" i="40" s="1"/>
  <c r="O57" i="247"/>
  <c r="K45" i="221"/>
  <c r="K4" i="221" s="1"/>
  <c r="K45" i="61"/>
  <c r="K4" i="61" s="1"/>
  <c r="I46" i="23"/>
  <c r="I4" i="23" s="1"/>
  <c r="N99" i="219"/>
  <c r="K47" i="177"/>
  <c r="K4" i="177" s="1"/>
  <c r="O47" i="125"/>
  <c r="O46" i="161"/>
  <c r="I43" i="249"/>
  <c r="F43" i="249" s="1"/>
  <c r="M43" i="253"/>
  <c r="O45" i="61"/>
  <c r="O45" i="207"/>
  <c r="O45" i="155"/>
  <c r="I45" i="48"/>
  <c r="F45" i="48" s="1"/>
  <c r="I42" i="213"/>
  <c r="I4" i="213" s="1"/>
  <c r="M45" i="61"/>
  <c r="M46" i="206"/>
  <c r="K45" i="80"/>
  <c r="K4" i="80" s="1"/>
  <c r="O99" i="219"/>
  <c r="K45" i="70"/>
  <c r="K4" i="70" s="1"/>
  <c r="K46" i="212"/>
  <c r="K4" i="212" s="1"/>
  <c r="N4" i="221"/>
  <c r="K43" i="210"/>
  <c r="K4" i="210" s="1"/>
  <c r="N43" i="210"/>
  <c r="N4" i="210"/>
  <c r="I45" i="92"/>
  <c r="F45" i="92" s="1"/>
  <c r="I47" i="125"/>
  <c r="F47" i="125" s="1"/>
  <c r="L99" i="219"/>
  <c r="L4" i="219" s="1"/>
  <c r="N45" i="221"/>
  <c r="K45" i="208"/>
  <c r="K4" i="208" s="1"/>
  <c r="M43" i="218"/>
  <c r="K45" i="216"/>
  <c r="K4" i="216" s="1"/>
  <c r="O48" i="233"/>
  <c r="K45" i="222"/>
  <c r="K4" i="222" s="1"/>
  <c r="N5" i="206"/>
  <c r="N46" i="206"/>
  <c r="I45" i="70"/>
  <c r="I4" i="70" s="1"/>
  <c r="N47" i="125"/>
  <c r="N45" i="48"/>
  <c r="I45" i="155"/>
  <c r="F45" i="155" s="1"/>
  <c r="O45" i="1"/>
  <c r="O44" i="209"/>
  <c r="M45" i="236"/>
  <c r="I57" i="247"/>
  <c r="N45" i="215"/>
  <c r="M47" i="125"/>
  <c r="O46" i="212"/>
  <c r="O45" i="208"/>
  <c r="K45" i="207"/>
  <c r="K4" i="207" s="1"/>
  <c r="I45" i="244"/>
  <c r="I4" i="244" s="1"/>
  <c r="N4" i="23"/>
  <c r="M47" i="223"/>
  <c r="K45" i="110"/>
  <c r="K4" i="110" s="1"/>
  <c r="N45" i="245"/>
  <c r="N4" i="20"/>
  <c r="N4" i="252"/>
  <c r="K45" i="230"/>
  <c r="K4" i="230" s="1"/>
  <c r="K42" i="213"/>
  <c r="K4" i="213" s="1"/>
  <c r="O45" i="80"/>
  <c r="O42" i="213"/>
  <c r="N45" i="234"/>
  <c r="M43" i="251"/>
  <c r="O45" i="224"/>
  <c r="I43" i="254"/>
  <c r="I4" i="254" s="1"/>
  <c r="I45" i="187"/>
  <c r="F45" i="187" s="1"/>
  <c r="I43" i="218"/>
  <c r="I4" i="218" s="1"/>
  <c r="M45" i="92"/>
  <c r="N46" i="161"/>
  <c r="M47" i="177"/>
  <c r="F45" i="224"/>
  <c r="I46" i="161"/>
  <c r="I4" i="161" s="1"/>
  <c r="K45" i="48"/>
  <c r="K4" i="48" s="1"/>
  <c r="O51" i="196"/>
  <c r="O45" i="229"/>
  <c r="I45" i="208"/>
  <c r="I4" i="208" s="1"/>
  <c r="O43" i="252"/>
  <c r="O43" i="250"/>
  <c r="M45" i="70"/>
  <c r="K45" i="224"/>
  <c r="K4" i="224" s="1"/>
  <c r="I45" i="235"/>
  <c r="O47" i="177"/>
  <c r="O43" i="251"/>
  <c r="N46" i="23"/>
  <c r="F45" i="239"/>
  <c r="I45" i="1"/>
  <c r="F45" i="1" s="1"/>
  <c r="N4" i="70"/>
  <c r="F44" i="234"/>
  <c r="I45" i="234"/>
  <c r="N4" i="92"/>
  <c r="M45" i="147"/>
  <c r="N44" i="40"/>
  <c r="O46" i="206"/>
  <c r="O45" i="43"/>
  <c r="I99" i="219"/>
  <c r="I45" i="226"/>
  <c r="F44" i="226"/>
  <c r="K46" i="161"/>
  <c r="K4" i="161" s="1"/>
  <c r="N45" i="155"/>
  <c r="O45" i="187"/>
  <c r="N45" i="240"/>
  <c r="F34" i="240"/>
  <c r="I45" i="240"/>
  <c r="N43" i="254"/>
  <c r="I51" i="196"/>
  <c r="I4" i="196" s="1"/>
  <c r="M43" i="249"/>
  <c r="K43" i="252"/>
  <c r="K4" i="252" s="1"/>
  <c r="K43" i="250"/>
  <c r="K4" i="250" s="1"/>
  <c r="N44" i="66"/>
  <c r="I43" i="253"/>
  <c r="F43" i="253" s="1"/>
  <c r="M46" i="161"/>
  <c r="M44" i="40"/>
  <c r="I45" i="43"/>
  <c r="F45" i="43" s="1"/>
  <c r="I45" i="20"/>
  <c r="F45" i="20" s="1"/>
  <c r="F46" i="177"/>
  <c r="I47" i="177"/>
  <c r="N43" i="218"/>
  <c r="M43" i="250"/>
  <c r="K45" i="237"/>
  <c r="K4" i="237" s="1"/>
  <c r="I45" i="221"/>
  <c r="I4" i="221" s="1"/>
  <c r="N4" i="1"/>
  <c r="N45" i="1"/>
  <c r="I47" i="223"/>
  <c r="N45" i="208"/>
  <c r="N4" i="249"/>
  <c r="N43" i="249"/>
  <c r="N47" i="238"/>
  <c r="I45" i="241"/>
  <c r="I43" i="252"/>
  <c r="I4" i="252" s="1"/>
  <c r="F44" i="242"/>
  <c r="I45" i="242"/>
  <c r="F47" i="233"/>
  <c r="I48" i="233"/>
  <c r="F44" i="229"/>
  <c r="I45" i="229"/>
  <c r="F32" i="213"/>
  <c r="N43" i="251"/>
  <c r="O43" i="249"/>
  <c r="O43" i="253"/>
  <c r="F43" i="66"/>
  <c r="I44" i="66"/>
  <c r="N43" i="252"/>
  <c r="N45" i="80"/>
  <c r="N4" i="80"/>
  <c r="M43" i="252"/>
  <c r="F42" i="210"/>
  <c r="I43" i="210"/>
  <c r="K43" i="249"/>
  <c r="K4" i="249" s="1"/>
  <c r="N4" i="237"/>
  <c r="N45" i="237"/>
  <c r="K43" i="253"/>
  <c r="K4" i="253" s="1"/>
  <c r="I45" i="110"/>
  <c r="I4" i="110" s="1"/>
  <c r="F44" i="61"/>
  <c r="I45" i="61"/>
  <c r="N4" i="61"/>
  <c r="N45" i="61"/>
  <c r="F45" i="245"/>
  <c r="I4" i="245"/>
  <c r="I43" i="251"/>
  <c r="F42" i="251"/>
  <c r="F34" i="207"/>
  <c r="I45" i="207"/>
  <c r="F45" i="208"/>
  <c r="F44" i="237"/>
  <c r="I45" i="237"/>
  <c r="N4" i="253"/>
  <c r="N43" i="253"/>
  <c r="F33" i="250"/>
  <c r="I43" i="250"/>
  <c r="F44" i="80"/>
  <c r="I45" i="80"/>
  <c r="I45" i="216"/>
  <c r="F44" i="216"/>
  <c r="F43" i="209"/>
  <c r="I44" i="209"/>
  <c r="F45" i="215"/>
  <c r="I45" i="147"/>
  <c r="F44" i="147"/>
  <c r="N4" i="43"/>
  <c r="N43" i="250"/>
  <c r="N4" i="250"/>
  <c r="I4" i="228" l="1"/>
  <c r="K4" i="236"/>
  <c r="N4" i="236"/>
  <c r="F45" i="70"/>
  <c r="N4" i="218"/>
  <c r="N4" i="230"/>
  <c r="N4" i="241"/>
  <c r="I4" i="125"/>
  <c r="I4" i="86"/>
  <c r="I4" i="1"/>
  <c r="I4" i="78"/>
  <c r="F46" i="206"/>
  <c r="I4" i="187"/>
  <c r="I4" i="249"/>
  <c r="F46" i="212"/>
  <c r="F42" i="213"/>
  <c r="I4" i="225"/>
  <c r="F51" i="196"/>
  <c r="I4" i="238"/>
  <c r="I4" i="236"/>
  <c r="I4" i="253"/>
  <c r="F45" i="230"/>
  <c r="F43" i="252"/>
  <c r="F45" i="221"/>
  <c r="F44" i="40"/>
  <c r="F43" i="218"/>
  <c r="F45" i="222"/>
  <c r="F45" i="231"/>
  <c r="I4" i="48"/>
  <c r="F43" i="254"/>
  <c r="I4" i="92"/>
  <c r="I4" i="20"/>
  <c r="I4" i="43"/>
  <c r="F46" i="23"/>
  <c r="F45" i="244"/>
  <c r="I4" i="155"/>
  <c r="F57" i="247"/>
  <c r="I4" i="247"/>
  <c r="F46" i="161"/>
  <c r="I4" i="219"/>
  <c r="F99" i="219"/>
  <c r="F45" i="234"/>
  <c r="I4" i="234"/>
  <c r="F45" i="235"/>
  <c r="I4" i="235"/>
  <c r="F45" i="226"/>
  <c r="I4" i="226"/>
  <c r="I4" i="240"/>
  <c r="F45" i="240"/>
  <c r="F47" i="177"/>
  <c r="I4" i="177"/>
  <c r="F47" i="223"/>
  <c r="I4" i="223"/>
  <c r="F45" i="229"/>
  <c r="I4" i="229"/>
  <c r="F44" i="66"/>
  <c r="I4" i="66"/>
  <c r="I4" i="233"/>
  <c r="F48" i="233"/>
  <c r="F45" i="110"/>
  <c r="I4" i="242"/>
  <c r="F45" i="242"/>
  <c r="I4" i="241"/>
  <c r="F45" i="241"/>
  <c r="F45" i="61"/>
  <c r="I4" i="61"/>
  <c r="F43" i="210"/>
  <c r="I4" i="210"/>
  <c r="I4" i="237"/>
  <c r="F45" i="237"/>
  <c r="I4" i="251"/>
  <c r="F43" i="251"/>
  <c r="I4" i="209"/>
  <c r="F44" i="209"/>
  <c r="I4" i="250"/>
  <c r="F43" i="250"/>
  <c r="F45" i="207"/>
  <c r="I4" i="207"/>
  <c r="I4" i="80"/>
  <c r="F45" i="80"/>
  <c r="F45" i="216"/>
  <c r="I4" i="216"/>
  <c r="F45" i="147"/>
  <c r="I4" i="147"/>
</calcChain>
</file>

<file path=xl/sharedStrings.xml><?xml version="1.0" encoding="utf-8"?>
<sst xmlns="http://schemas.openxmlformats.org/spreadsheetml/2006/main" count="2880" uniqueCount="413">
  <si>
    <t>GASTOS PUNTUALES</t>
  </si>
  <si>
    <t>COMPENSACION GASTOS GENERALES</t>
  </si>
  <si>
    <t>GASTOS GENERALES</t>
  </si>
  <si>
    <t>TOTAL DE GASTOS     P + G</t>
  </si>
  <si>
    <t>MES</t>
  </si>
  <si>
    <t>REFERENCIA</t>
  </si>
  <si>
    <t>OBSERVACIONES</t>
  </si>
  <si>
    <t>TARIFA EXTRA</t>
  </si>
  <si>
    <t>AVISA</t>
  </si>
  <si>
    <t>DIF-PUNT</t>
  </si>
  <si>
    <t>FACTURAS</t>
  </si>
  <si>
    <t>TICKETS</t>
  </si>
  <si>
    <t>TOTAL</t>
  </si>
  <si>
    <t>COMPENSADO</t>
  </si>
  <si>
    <t>ENTREGADOS</t>
  </si>
  <si>
    <t>RESTO</t>
  </si>
  <si>
    <t>TOTAL BOLSA GASTOS</t>
  </si>
  <si>
    <t>ENERO</t>
  </si>
  <si>
    <t>FEBRERO</t>
  </si>
  <si>
    <t>MARZO</t>
  </si>
  <si>
    <t>TOTAL T-1</t>
  </si>
  <si>
    <t>ABRIL</t>
  </si>
  <si>
    <t>MAYO</t>
  </si>
  <si>
    <t>JUNIO</t>
  </si>
  <si>
    <t>TOTAL T-2</t>
  </si>
  <si>
    <t>JULIO</t>
  </si>
  <si>
    <t>AGOSTO</t>
  </si>
  <si>
    <t xml:space="preserve"> </t>
  </si>
  <si>
    <t>SEPTIEMBRE</t>
  </si>
  <si>
    <t>TOTAL T-3</t>
  </si>
  <si>
    <t>OCTUBRE</t>
  </si>
  <si>
    <t>DICIEMBRE</t>
  </si>
  <si>
    <t>TOTAL T-4</t>
  </si>
  <si>
    <t>TOTAL  2016</t>
  </si>
  <si>
    <t>ALBA RAMIO</t>
  </si>
  <si>
    <t>TOTAL BOLSA GASTO</t>
  </si>
  <si>
    <t>NOVIEMBRE</t>
  </si>
  <si>
    <t>ALBERT REQUENA</t>
  </si>
  <si>
    <t>SALDO  2023</t>
  </si>
  <si>
    <t>EL APAGON PAIS BASC</t>
  </si>
  <si>
    <t>ALQUILER FURGO+DIETAS+GASOLINA</t>
  </si>
  <si>
    <t>HOTEL</t>
  </si>
  <si>
    <t>ANNA FONTANET</t>
  </si>
  <si>
    <t>GASTOS CEDIDOS A LAURA MILENA REF.007 JUNIO</t>
  </si>
  <si>
    <t>GASTOS CEDIDOS A FATIMA CAMPOS TREPAT REF. DIA DE L'EMRESA</t>
  </si>
  <si>
    <t>GASTOS CEDIDOS A EMMANUEL DANET REF. MOLINAR JUNY</t>
  </si>
  <si>
    <t>GASTOS CEDIDOS A MAURO PAGANINI REF ESNAYOS ABRIL</t>
  </si>
  <si>
    <t>BARBARA CAPPI</t>
  </si>
  <si>
    <t>ESPAI CARRER 2023</t>
  </si>
  <si>
    <t>PUNTUAL TRABAJADORA</t>
  </si>
  <si>
    <t>GASTOS CEDIDOS A DALMAU BOADA REF. SONAR24</t>
  </si>
  <si>
    <t>GASTOS CEDIDOS A DALMAU BOADA REF. COU AZ</t>
  </si>
  <si>
    <t>CAROLINA STEFANO</t>
  </si>
  <si>
    <t>SALDO  2018+2019+2021</t>
  </si>
  <si>
    <t>OJO ANTES DE USAR VER CON FINA YA QUE SON DEL 2018</t>
  </si>
  <si>
    <t>ADRIANA SEGURADO</t>
  </si>
  <si>
    <t>SALDO  2022</t>
  </si>
  <si>
    <t>GASTADOS</t>
  </si>
  <si>
    <t>NO USAR</t>
  </si>
  <si>
    <t>EROS I PSIQUE 1ERA PART</t>
  </si>
  <si>
    <t>GENERALES</t>
  </si>
  <si>
    <t>REF. DRAMATURGA XATO</t>
  </si>
  <si>
    <t>EROS I PSIQUE 5 DE JULIO</t>
  </si>
  <si>
    <t>GASOLINA</t>
  </si>
  <si>
    <t>PASSEJADES</t>
  </si>
  <si>
    <t>DIDAC GILABERT</t>
  </si>
  <si>
    <t>ELENA LALUCAT</t>
  </si>
  <si>
    <t>EULALIA CUXART</t>
  </si>
  <si>
    <t>ASTADALA ENERO</t>
  </si>
  <si>
    <t>GENERALES 1ER TRIM</t>
  </si>
  <si>
    <t xml:space="preserve">FREYA MARIE </t>
  </si>
  <si>
    <t>ESTELADA ENERO</t>
  </si>
  <si>
    <t>generales</t>
  </si>
  <si>
    <t>GASTON SANCHEZ</t>
  </si>
  <si>
    <t>GIRONA</t>
  </si>
  <si>
    <t>FACTURAS TRANSPORTE</t>
  </si>
  <si>
    <t>DANILO FACELLI</t>
  </si>
  <si>
    <t>BAJA EN 2023</t>
  </si>
  <si>
    <t>GASTOS CEDIDOS A NICOLAS CHEVALIE REF. CANTABRIA</t>
  </si>
  <si>
    <t>GASTOS CEDIDOS A EMMANUEL DANTET REF. BIBLIOTEQUES JUNY</t>
  </si>
  <si>
    <t>GASTOS CEDIDOS A XAVIER GARCIA ILLA REF GAT BORNAIX</t>
  </si>
  <si>
    <t>GASTOS CEDIDOS A XAVIER GARCIA ILLA REF LA SEDETA</t>
  </si>
  <si>
    <t>GASTOS CEDIDOS A MATIAS NESPOLO REF. SERVICIO PRENSA Y COMUNICACIÓN</t>
  </si>
  <si>
    <t>DALMAU BOADA</t>
  </si>
  <si>
    <t>ALCOVERT</t>
  </si>
  <si>
    <t>COMPRA THOMANN MUSICA</t>
  </si>
  <si>
    <t>DAVID PRIEGO</t>
  </si>
  <si>
    <t>ELISABETTA CAU</t>
  </si>
  <si>
    <t>SALDO  2021</t>
  </si>
  <si>
    <t>SON DEL 2021</t>
  </si>
  <si>
    <t>SUS GASTOS SON DEL 2021</t>
  </si>
  <si>
    <t>GASTOS CEDIDOS A RICARDO GASTON REF. ENSAYO ESPECTULO</t>
  </si>
  <si>
    <t>GASTOS CEDIDOS A DIDAC GILABERT REF: NILACK CASELLES</t>
  </si>
  <si>
    <t>GASTOS CEDIDOS A JORDI VILA REF. MUSICAENDINS GIRONA</t>
  </si>
  <si>
    <t>GASTOS CEDIDOS A DALMAU BOADA CRUSTONADA 1</t>
  </si>
  <si>
    <t>GAIA MAGRANE</t>
  </si>
  <si>
    <t>BAJA EN 2024</t>
  </si>
  <si>
    <t>SUIZA</t>
  </si>
  <si>
    <t>DESTILLANTDANSA</t>
  </si>
  <si>
    <t>GASTOS CEDIDOS A MATIAS NESPOLO</t>
  </si>
  <si>
    <t>GEMMA BERENGUER</t>
  </si>
  <si>
    <t xml:space="preserve">GASTOS CEDIDOS A GLORIA MATAMALA PARA CUADRAR NOMINA </t>
  </si>
  <si>
    <t>GASTOS CEDIDOS A INES GUARDIA  PARA CUADRA NOMINA SPORTING MARZO</t>
  </si>
  <si>
    <t>GASTOS CEDDOS PARA SONIA GOMEZ PARA CUADRAR NOMINA CALIDOSCOPIA GIRONA MARZO</t>
  </si>
  <si>
    <t>THOMAS DANTHONY</t>
  </si>
  <si>
    <t>PUNTUALES</t>
  </si>
  <si>
    <t>SPEEDBALL 1/4</t>
  </si>
  <si>
    <t>IRIDIA</t>
  </si>
  <si>
    <t>FENIX</t>
  </si>
  <si>
    <t>RESTOCK ESCAPE</t>
  </si>
  <si>
    <t>BEL FULL DELIMBO</t>
  </si>
  <si>
    <t>DELIMBO</t>
  </si>
  <si>
    <t>THOR ESCOLA MARZO</t>
  </si>
  <si>
    <t>ARYZ DEC23 MAR24</t>
  </si>
  <si>
    <t>LARA 8M</t>
  </si>
  <si>
    <t>PUNTUALES  + GENERALES</t>
  </si>
  <si>
    <t xml:space="preserve">THOR ESCOLA </t>
  </si>
  <si>
    <t>GASTOS PARA PAGAR NOMINA SIN ALTA</t>
  </si>
  <si>
    <t>GASTOS APLICADOS A GUIILEN FONT PARA CUADRAR NOMINA MAYO</t>
  </si>
  <si>
    <t xml:space="preserve">RESKATE RAMBLES </t>
  </si>
  <si>
    <t>MATERIALES</t>
  </si>
  <si>
    <t>RESKATE REFUGI</t>
  </si>
  <si>
    <t>VIDEO RAMBLES</t>
  </si>
  <si>
    <t>PETRA RESTOCK 24</t>
  </si>
  <si>
    <t>SELEKA</t>
  </si>
  <si>
    <t>FLOR BCN RESTOCK</t>
  </si>
  <si>
    <t>LAURO</t>
  </si>
  <si>
    <t>RESKATE COOP</t>
  </si>
  <si>
    <t>GEORGIA VARDAROU</t>
  </si>
  <si>
    <t>GRZEGORZ WALDEMAR</t>
  </si>
  <si>
    <t>GASTOS CEDIDOS A DIDAC GILABERT REF. FAUNA</t>
  </si>
  <si>
    <t>HECTOR GRANADA COROLEU</t>
  </si>
  <si>
    <t>IRENE ROYO</t>
  </si>
  <si>
    <t>IGNACIO RICCI</t>
  </si>
  <si>
    <t>SALDO  2019</t>
  </si>
  <si>
    <t>INES BOZA</t>
  </si>
  <si>
    <t>JADE MORIN</t>
  </si>
  <si>
    <t>SON DEL 2022</t>
  </si>
  <si>
    <t>JORDI GASPAR</t>
  </si>
  <si>
    <t xml:space="preserve">BAJA </t>
  </si>
  <si>
    <t>GASTOS CEDIDOS A DIDAC GILABERT REF: TRENGO 24</t>
  </si>
  <si>
    <t>GASTOS CEDIDOS A INES GUARDIA REF.EURO SPORTING</t>
  </si>
  <si>
    <t>GASTOS CEDIDOS A DALMAU BOADA REF. CRUSTONADA 2</t>
  </si>
  <si>
    <t>JORDI PUJADES</t>
  </si>
  <si>
    <t>ADRILANDIA</t>
  </si>
  <si>
    <t>GTOS GENERALES 2022</t>
  </si>
  <si>
    <t xml:space="preserve">OJO ESTA EN NEGATIVO NO TIENE GASTOS PARA APLICARLE EN LA NOMINA </t>
  </si>
  <si>
    <t>JORGE ALBUERNE JUANCO</t>
  </si>
  <si>
    <t>labonitalaboral</t>
  </si>
  <si>
    <t>GASTOS APLICADOS A REF. FRANK A LA FRESCA</t>
  </si>
  <si>
    <t>GASTOS APLICADOS A REF. ARANDA</t>
  </si>
  <si>
    <t>GASTOS APLICADOS A REF. FRANK A LA FRESCA 2</t>
  </si>
  <si>
    <t>JORGE DA ROCHA</t>
  </si>
  <si>
    <t>SALDO 2021</t>
  </si>
  <si>
    <t>ESTA DE BAJA HACE MUCHO!!QUE HACEMOS CON SUS GASTOS?</t>
  </si>
  <si>
    <t>GASTOS CEDIDOS A HECTOR GRANADA REF. CULTURA O EXTINCIÓ</t>
  </si>
  <si>
    <t>GASTOS CEDIDOS PARA MAURO PAGANINI</t>
  </si>
  <si>
    <t>KARL STETS</t>
  </si>
  <si>
    <t>BILBAO</t>
  </si>
  <si>
    <t>PTAL IVAN</t>
  </si>
  <si>
    <t>PTAL NICOLETTA</t>
  </si>
  <si>
    <t>ONA BERROCAL</t>
  </si>
  <si>
    <t>ERAN GASTO DE NEELAM QUE PASAN  A ONA</t>
  </si>
  <si>
    <t>SON GASTOS DEL 2022</t>
  </si>
  <si>
    <t>REF. VENTA DE VERANO</t>
  </si>
  <si>
    <t>LAURA MORALES</t>
  </si>
  <si>
    <t>SON DEL 2021!!</t>
  </si>
  <si>
    <t>LINDA VELLAR</t>
  </si>
  <si>
    <t>LISARD TRANIS</t>
  </si>
  <si>
    <t>LLUIS FERRER GONZALEZ SOLIS</t>
  </si>
  <si>
    <t>NO SE QUIEN ES Y EN BASE DE DATOS NO LO ENCUENTRO</t>
  </si>
  <si>
    <t>LLUIS LOPEZ</t>
  </si>
  <si>
    <t>BOLSA 2023</t>
  </si>
  <si>
    <t>TALLER MUSICS BOSSA 2022</t>
  </si>
  <si>
    <t>GASTOS CECIDOS A ALBA RAMIO REF RESIDENCIA LA CASCADE</t>
  </si>
  <si>
    <t>GASTOS CECIDOS A MARC THOMSON REF TND GATA ENERO</t>
  </si>
  <si>
    <t>MALENA ALBARRACIN</t>
  </si>
  <si>
    <t>MARIA INES GUARDIA</t>
  </si>
  <si>
    <t>ADEMAS TIENE 665,08 DEL 2019</t>
  </si>
  <si>
    <t>SUS GASTOS SON MUY VIEJOS QUE HACEMOS??</t>
  </si>
  <si>
    <t>TOTAL  2020</t>
  </si>
  <si>
    <t>MARGARITA PONCE</t>
  </si>
  <si>
    <t>LOCUCION DE VOZ</t>
  </si>
  <si>
    <t xml:space="preserve">TREN+DIETAS </t>
  </si>
  <si>
    <t>MARINA MULET</t>
  </si>
  <si>
    <t>SANT FELIU</t>
  </si>
  <si>
    <t>MARTA GARCIA CARDELLACH</t>
  </si>
  <si>
    <t>LOS GASTOS DEL 2022 ERAN POQUITOS Y NO SE LOS TUVE EN CUENTA EN EL 2023 PORQUE YA VENIAN ARRASTRANDO DEL 2018</t>
  </si>
  <si>
    <t>SE DIO DE BAJA TIENE MUCHO!</t>
  </si>
  <si>
    <t>MAURO PAGANINI</t>
  </si>
  <si>
    <t>tiene bolsa del 2018</t>
  </si>
  <si>
    <t>NICOLAS BENINCASA</t>
  </si>
  <si>
    <t>GASTOS GENERALES CARTON BATTITI</t>
  </si>
  <si>
    <t xml:space="preserve">GASTOS GENERALES </t>
  </si>
  <si>
    <t>NICOLAS CHEVALIE</t>
  </si>
  <si>
    <t>GASTOS APLICADOS EN REF ANIMALTIK CASTIFRIO</t>
  </si>
  <si>
    <t>STINA KOPRA</t>
  </si>
  <si>
    <t>NO TENGO CLARO SI ESTA DE BAJA/ EN LA BASE DE DATOS QUEDO PENDIENTE</t>
  </si>
  <si>
    <t>ROCIO AHUMADA</t>
  </si>
  <si>
    <t>EN 2020 NO TIENE NADA</t>
  </si>
  <si>
    <t>DE BAJA QUE HACEMOS CON SU BOLSA??</t>
  </si>
  <si>
    <t>SEBASTIAN DIAZ</t>
  </si>
  <si>
    <t>2022y 2023</t>
  </si>
  <si>
    <t>INGRID AND CO ANTICIPADA</t>
  </si>
  <si>
    <t>MALIKA CRAZY</t>
  </si>
  <si>
    <t>ENTREGA TODOS LOS GASTOS JUNTOS SIN ESPECIFICAR A QUE BOLOS CORRESPONDE</t>
  </si>
  <si>
    <t>MALIKA MAYO</t>
  </si>
  <si>
    <t>MALIKA MONTREUX</t>
  </si>
  <si>
    <t>INGRID VIDAL ZURICH</t>
  </si>
  <si>
    <t>SEBASTIAN GUZ</t>
  </si>
  <si>
    <t>GASTOS GENERALES APLICADOS EN NOMINA REF EL MASNOU HUMANUS</t>
  </si>
  <si>
    <t>NO SE SI ES MUCHO PARA PASARLO COMO GASTOS GENERALES VER CON NATI</t>
  </si>
  <si>
    <t>GASTOS GENERALES APLICADOS EN COLMENAR VIEJO</t>
  </si>
  <si>
    <t>GASTOS GENERALES APLICADOS EN TITIRIMUNDI</t>
  </si>
  <si>
    <t>GASTOS GENERALES APLICADOS EN MUECA</t>
  </si>
  <si>
    <t>GASTOS CEDIDOS A ROMINA KRAUSE EN MUECA</t>
  </si>
  <si>
    <t>GASTOS GENERALES APLCIADOS EN PETITA CASANELLAS</t>
  </si>
  <si>
    <t>GASTOS CEIDOS A ROMINA KRAUSE EN PETITA CASANELLAS</t>
  </si>
  <si>
    <t>GASTOS GENERALES APLICADOS EN TITIRIMUNDI 2</t>
  </si>
  <si>
    <t>GASTOS CEDIDOS A JORGE ALBUERNE CABARET PALESTINA</t>
  </si>
  <si>
    <t>GASTOS APLICADOS EN IBIZA HUMANUS</t>
  </si>
  <si>
    <t>SANT JOAN DE MORO</t>
  </si>
  <si>
    <t>FRA ALAPISTA</t>
  </si>
  <si>
    <t>SONIA GOMEZ</t>
  </si>
  <si>
    <t>USADOS EN BOLO REF : BAILARINA TREMP</t>
  </si>
  <si>
    <t>USADOS EN BOLO REF : TRENCAPISTAS LA CALDERA</t>
  </si>
  <si>
    <t>GASTOS PALIPACOS EN REF. FIRAMEDITERRANEA+TORTOSA</t>
  </si>
  <si>
    <t xml:space="preserve">THAIS JULIA </t>
  </si>
  <si>
    <t>THOMAS ZETTEL</t>
  </si>
  <si>
    <t>tiene 2018</t>
  </si>
  <si>
    <t>SALDO  2020</t>
  </si>
  <si>
    <t>VER QUE HACEMOS CON SU BOLSA DE GASTOS</t>
  </si>
  <si>
    <t>AGITART</t>
  </si>
  <si>
    <t>MARIA MORA DIC 2021</t>
  </si>
  <si>
    <t>MODENA</t>
  </si>
  <si>
    <t>GTOS NICO BENINCASA</t>
  </si>
  <si>
    <t>ONE DONE CUSTOMS</t>
  </si>
  <si>
    <t>GTOS GENERALES</t>
  </si>
  <si>
    <t>DARMSTADT</t>
  </si>
  <si>
    <t>GTOS GENERALES ELENA LALUCAT</t>
  </si>
  <si>
    <t>MAUBEUGE</t>
  </si>
  <si>
    <t>GTOS GENERALES  ORIOL PLA</t>
  </si>
  <si>
    <t>FLORSHEIM</t>
  </si>
  <si>
    <t>GTOS GENERALES CIA TERCIO INCLUSO</t>
  </si>
  <si>
    <t>CERDANYOLA</t>
  </si>
  <si>
    <t>GTOS GENERALES PARA CANDID</t>
  </si>
  <si>
    <t>CAPOEIRA PALMARES</t>
  </si>
  <si>
    <t>EASYLENT</t>
  </si>
  <si>
    <t>SPACE DOG SL</t>
  </si>
  <si>
    <t>VALENCIA</t>
  </si>
  <si>
    <t>GTOS GENERALES PARA ELISA KEISANEN 10 AL 14/11</t>
  </si>
  <si>
    <t>ACTUACIO PPCM</t>
  </si>
  <si>
    <t>GTOS GENERALES PARA ALBA RAMIO 12 AL 13/11</t>
  </si>
  <si>
    <t>MUSIAL ASUNTOS PROPIOS</t>
  </si>
  <si>
    <t>GATOS GENERALES PARA ADRIANA SEGURADO</t>
  </si>
  <si>
    <t>VIZNAR</t>
  </si>
  <si>
    <t>GASTOS PUNTUALES PARA MARIA MENCIAS</t>
  </si>
  <si>
    <t>ONA DANCE</t>
  </si>
  <si>
    <t>GASTOS PUNTALES PARA ELENA LALUCAT</t>
  </si>
  <si>
    <t>OMNIUN GALA JOAN FUSTER</t>
  </si>
  <si>
    <t>GASTOS PUNTUALES PARA FATIMA CAMPOS</t>
  </si>
  <si>
    <t>CAN TORRO PRIMER TRIMESTRE</t>
  </si>
  <si>
    <t>GASTOS PUNTUALES PARA EMMANUEL DANET</t>
  </si>
  <si>
    <t xml:space="preserve">CREACION FALENE </t>
  </si>
  <si>
    <t>GASTOS PARA NICOLAS BENINCASA</t>
  </si>
  <si>
    <t xml:space="preserve">ALEMANIA NOVIEMBRE </t>
  </si>
  <si>
    <t>GATOS PARA NACHO RICCI</t>
  </si>
  <si>
    <t>TECNICO IMAGINARIA</t>
  </si>
  <si>
    <t>PALMA</t>
  </si>
  <si>
    <t xml:space="preserve">GASTOS PARA NURIA LLAUSÍ </t>
  </si>
  <si>
    <t>GALERIA BARNADAS DICIEMBRE</t>
  </si>
  <si>
    <t>GASTOS PARA ONA YUEAN BERROCAL</t>
  </si>
  <si>
    <t>DIVERDIVENDRES</t>
  </si>
  <si>
    <t>GASTOS PARA MARTA GARCIA CARDELLACH</t>
  </si>
  <si>
    <t>ENFERMERAS PARLANTES</t>
  </si>
  <si>
    <t>GASTOS PARA LAURA FREIJO</t>
  </si>
  <si>
    <t>CATALINA 1 DICIEMBRE</t>
  </si>
  <si>
    <t>GASTOS PARA ELISA KEISANEN</t>
  </si>
  <si>
    <t>DICIEMBRE ALEMANIA</t>
  </si>
  <si>
    <t xml:space="preserve">GASTOS PARA IGNACIO RICCI </t>
  </si>
  <si>
    <t>NAVIDAD NIVAR</t>
  </si>
  <si>
    <t>GASTOS PARA MARIA MENCIAS</t>
  </si>
  <si>
    <t>TIZIANO CAFFI</t>
  </si>
  <si>
    <t>FRA ANTICIPADA CONFERENCIA</t>
  </si>
  <si>
    <t>MATERIAL FOTOGRAFICO</t>
  </si>
  <si>
    <t>VICENTE MARTINEZ ANDREU</t>
  </si>
  <si>
    <t>CASO RARO</t>
  </si>
  <si>
    <t>VER BASE DE DATOS/ NO PAGO CUOTA TIENE UNA FRA PENDIENTE DE COBRO Y QUIERE QUEDARSE EN LACOOPERATIVA</t>
  </si>
  <si>
    <t>VICTORIA EUGENIA CARLOS ALBACETE</t>
  </si>
  <si>
    <t>XAVI GARCIA ILLA</t>
  </si>
  <si>
    <t>JAVI/XAVI SANCHEZ</t>
  </si>
  <si>
    <t>CIA ELE</t>
  </si>
  <si>
    <t>CIA LAS PERLAS</t>
  </si>
  <si>
    <t>SANTA EULALIA ABRIL</t>
  </si>
  <si>
    <t>TRANSPORTE Y MATERIALES</t>
  </si>
  <si>
    <t>LAS SISTARS</t>
  </si>
  <si>
    <t>COMPRA LINOLEO</t>
  </si>
  <si>
    <t>GASTOS APLICADOS EN BOLO REF: ACTUACIO TIANA</t>
  </si>
  <si>
    <t>NEUS CANALIAS + RAQUEL VIÑUAJES</t>
  </si>
  <si>
    <t>CIA CIRCOBAYA</t>
  </si>
  <si>
    <t>TORREJON DE ARDOZ</t>
  </si>
  <si>
    <t>PTAL TECNICO</t>
  </si>
  <si>
    <t>CIA SOM NOISE</t>
  </si>
  <si>
    <t>BAJA! QUE HACEMOS CON SUS GASTOS?</t>
  </si>
  <si>
    <t>CIA TERCIO INCLUSO</t>
  </si>
  <si>
    <t>CIA TWISTING</t>
  </si>
  <si>
    <t>LO MISMO ESTAN DE BAJA Y TIENEN BOLSA DE GASTOS</t>
  </si>
  <si>
    <t>CIA XUCRUT TEATRE ALBERT+AINHOA</t>
  </si>
  <si>
    <t>PARA GASTOS IR A PESTAÑA ALBERT REQUENA</t>
  </si>
  <si>
    <t>FACTURAS MATERIALES + VARIOS</t>
  </si>
  <si>
    <t>MATARRANYA</t>
  </si>
  <si>
    <t>MATERIALES + HOTEL ARANDA</t>
  </si>
  <si>
    <t>GASTOS APLICADOS EN SANT JOAN DE MORO</t>
  </si>
  <si>
    <t>GASTOS APLICADOS EN CABEZA DE BUEY</t>
  </si>
  <si>
    <t>GASTOS CEDIDOS A XAVIER GARCIA REF FESTIVAL MARESME</t>
  </si>
  <si>
    <t>GASTOS CEDIOS A XAVIER GARCIA REF. SANT CELONI</t>
  </si>
  <si>
    <t>GASTOS CEDIDOS A MATIAS NESPOLO REF SERVICIO PRENSA 2</t>
  </si>
  <si>
    <t>GASTOS GENERALES APLICADOS EN REGIDURIA BERGAMOTO</t>
  </si>
  <si>
    <t>GASTOS CEDIDOS A ANGEL ROSET REF.MEDIEVAL TORTOSA</t>
  </si>
  <si>
    <t>GASTOS GENERALES APLICADOS EN REF VICTOR BALAGUER</t>
  </si>
  <si>
    <t xml:space="preserve">GASTOS APLICADOS EN BARBERA DEL VALLES </t>
  </si>
  <si>
    <t>GASTOS APLICADOS EN EL MASNOU</t>
  </si>
  <si>
    <t>GASTOS APLICADOS EN CIRCDANYA</t>
  </si>
  <si>
    <t>GASTOS APLICADOS EN SANT MARTI</t>
  </si>
  <si>
    <t>GASTOS APLICADOS A CIRCOBAYA REF. CAMPINH HOLIDAY</t>
  </si>
  <si>
    <t>GASOLINA ( SOLO HE PODIDO APLICAR 35,00 )</t>
  </si>
  <si>
    <t>GASTOS APLICADOS EN REF ANIMATIK URBION</t>
  </si>
  <si>
    <t>GASTOS APLICADOS EN REF: LES FILLES DE LILIT</t>
  </si>
  <si>
    <t>GASTOS GENERALES APLICADOS EN LA ULTIMA FACTURA DEL FITT</t>
  </si>
  <si>
    <t>GASTOS APLICADOS A HECTOR GRANADA REF. ULTIMA FRA FITT</t>
  </si>
  <si>
    <t xml:space="preserve">GASTOS APLICADOS REF. WHITE DREESS </t>
  </si>
  <si>
    <t>GASTOS APLICADOS EN REF FRIKIS SEGURA</t>
  </si>
  <si>
    <t xml:space="preserve">GASTOS CEDIDOS A XAVIER GARCIA ILLA </t>
  </si>
  <si>
    <t>GASTOS APLICADOS A XAVIER GARCIA REF. RADIOFORMULA VALLCARCA</t>
  </si>
  <si>
    <t>GASTOS APLICADOS A MAURO PAGANINI REF. BOLO VALLVIDRERA</t>
  </si>
  <si>
    <t xml:space="preserve">GASTOS APLICADOS ALBA RAMIO REF.LES BORD  </t>
  </si>
  <si>
    <t>BRUNCH 24</t>
  </si>
  <si>
    <t>MONFERRATO</t>
  </si>
  <si>
    <t>PEAJE</t>
  </si>
  <si>
    <t>DIETAS</t>
  </si>
  <si>
    <t>LOCUCIO PROJECTE AINA</t>
  </si>
  <si>
    <t>RENFE</t>
  </si>
  <si>
    <t xml:space="preserve">GASTOS CEDIDOS A MAURO PAGANINI REF BOLO MAYO </t>
  </si>
  <si>
    <t>GASTOS CEDIDOS A XAVIER GARCIA ILLA REF TARRAGONA</t>
  </si>
  <si>
    <t>SPEED 2/4</t>
  </si>
  <si>
    <t>Juan PA Primus</t>
  </si>
  <si>
    <t>Peu de Mosca</t>
  </si>
  <si>
    <t>GEBRAN</t>
  </si>
  <si>
    <t>PAAC</t>
  </si>
  <si>
    <t>EXCITEMENTS</t>
  </si>
  <si>
    <t>EU MOSCA PRINTS</t>
  </si>
  <si>
    <t>LAURA SORIANO</t>
  </si>
  <si>
    <t>LA LATA DE BOMBILLAS SL</t>
  </si>
  <si>
    <t>PRIMUS MAX LOEFFLER</t>
  </si>
  <si>
    <t>FF+PRIMUS</t>
  </si>
  <si>
    <t>GEBRAN+PAC</t>
  </si>
  <si>
    <t>SUMA DE LOS 2 BOLOS</t>
  </si>
  <si>
    <t>MATERIALES+GASOLEO+HOTEL+VARIOS</t>
  </si>
  <si>
    <t>GASTOS APLICADOS REF. TRAMPOLI I CEL</t>
  </si>
  <si>
    <t>GASTOS CEDIDOS A ELENA LALUCAT REF: ESCALANTE</t>
  </si>
  <si>
    <t>ZG</t>
  </si>
  <si>
    <t>GASTOS APLCIADOS EN CASTELLON HUMANUS</t>
  </si>
  <si>
    <t>GASTOS APLICADOS EN MIRANDA EBRO</t>
  </si>
  <si>
    <t>GASTOS APLICADOS EN MIM SUECA</t>
  </si>
  <si>
    <t>GASTOS APLICADOS CORNELLA+ALELLA</t>
  </si>
  <si>
    <t>Puntual ALELLA</t>
  </si>
  <si>
    <t>Puntual CRAZY BEGUR</t>
  </si>
  <si>
    <t>Puntual LA MERCE 2024</t>
  </si>
  <si>
    <t>Puntual FRILCIS SEGURA</t>
  </si>
  <si>
    <t>FRA ASOC CARRETERA Y MANTA</t>
  </si>
  <si>
    <t>PUNTUAL ESCALANTE</t>
  </si>
  <si>
    <t>FRA ACTURA ART</t>
  </si>
  <si>
    <t>PARKING+DIETAS</t>
  </si>
  <si>
    <t>GASTOS CEDIDS A HECTOR GRANADA REF: JORNADES INCLUSIO</t>
  </si>
  <si>
    <t>Gasoleo, dietas, materiales</t>
  </si>
  <si>
    <t>NOVEMBRE</t>
  </si>
  <si>
    <t>GASTOS CEDIDOS A HECTOR GRANADA  REF. ARTS DE TEATRE</t>
  </si>
  <si>
    <t>ZABALLA AGUSTINA</t>
  </si>
  <si>
    <t>Materiales de arte</t>
  </si>
  <si>
    <t>GASTOS CEDIDOS A GEMMA BERENGUER REF MASBOQUERA</t>
  </si>
  <si>
    <t>GASTOS CEDIDOS A HECTOR GRANADA  REF. T DE TEATRE</t>
  </si>
  <si>
    <t>Combustible + taxi</t>
  </si>
  <si>
    <t xml:space="preserve">GASTOS CEDIDOS A XAVIER GARCIA REF. APOLO </t>
  </si>
  <si>
    <t>PUNTUAL - XUCRUT TEATRE</t>
  </si>
  <si>
    <t>ALQUILER COCHE Y GASOLINA</t>
  </si>
  <si>
    <t>FRA INGRID GUIVERNAU</t>
  </si>
  <si>
    <t>FRA IVAN TOMASEVIC</t>
  </si>
  <si>
    <t>"MADRID DESTINO 22/11"</t>
  </si>
  <si>
    <t>GASOLINA, OPTICA Y VARIOS</t>
  </si>
  <si>
    <t>APLICADOS EN EROS PSIGUE SALLENT</t>
  </si>
  <si>
    <t xml:space="preserve">APLICADOS  EN JORNADA INCLUSIO SOCIAL </t>
  </si>
  <si>
    <t>GASTOS APLICADOS A ELENA LALUCAT REF MANIFESTA 2024</t>
  </si>
  <si>
    <t>VARIOS</t>
  </si>
  <si>
    <t>Puntual "Puerta"</t>
  </si>
  <si>
    <t>Materiales</t>
  </si>
  <si>
    <t>Puntuales "Bolo Madrid"</t>
  </si>
  <si>
    <t>Dietas, gasoleo y hospedaje</t>
  </si>
  <si>
    <t>AMEBA FEST</t>
  </si>
  <si>
    <t>"COLGADOS MADRID"</t>
  </si>
  <si>
    <t>GASOLINA, MATERIAL</t>
  </si>
  <si>
    <t>PUNTUAL "NIKE PREMIER"</t>
  </si>
  <si>
    <t>TELEFONO IPHONE</t>
  </si>
  <si>
    <t>PUNTUAL "SERIGRAFIA"</t>
  </si>
  <si>
    <t>PUNTUAL "TARJETAS EL ESPACIO"</t>
  </si>
  <si>
    <t>GASTOS APLICADOS  EN LA NOMINA RE: CREA DONA</t>
  </si>
  <si>
    <t>Compra de materiales varios</t>
  </si>
  <si>
    <t>CIA LAS CALVAS</t>
  </si>
  <si>
    <t>TOTAL  2025</t>
  </si>
  <si>
    <t>PUNTUAL "SEVILLA"</t>
  </si>
  <si>
    <t>Dieta, hoespedaje, gasolina</t>
  </si>
  <si>
    <t>Combustible + materiales</t>
  </si>
  <si>
    <t>esto es de 2024 , no se tiene que poner en enro de 2025 ?</t>
  </si>
  <si>
    <t>GASTOS APLICADOS EN ASSISTENCIALS MAQUINARIA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</si>
</sst>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42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12"/>
      <color rgb="FF00B05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theme="1" tint="4.9989318521683403E-2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Verdana"/>
      <family val="2"/>
    </font>
    <font>
      <sz val="11"/>
      <color rgb="FF9C6500"/>
      <name val="Calibri"/>
      <family val="2"/>
      <scheme val="minor"/>
    </font>
    <font>
      <sz val="14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7030A0"/>
      <name val="Calibri"/>
      <family val="2"/>
      <charset val="1"/>
    </font>
    <font>
      <sz val="11"/>
      <color rgb="FF00B05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  <charset val="1"/>
      <scheme val="minor"/>
    </font>
    <font>
      <b/>
      <sz val="12"/>
      <name val="Calibri"/>
      <family val="2"/>
    </font>
    <font>
      <sz val="11"/>
      <name val="Calibri"/>
      <family val="2"/>
      <scheme val="minor"/>
    </font>
    <font>
      <sz val="12"/>
      <color rgb="FF92D050"/>
      <name val="Calibri"/>
      <family val="2"/>
      <charset val="1"/>
    </font>
    <font>
      <sz val="11"/>
      <color rgb="FF00B050"/>
      <name val="Calibri"/>
      <family val="2"/>
      <charset val="1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  <charset val="1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  <charset val="1"/>
    </font>
    <font>
      <b/>
      <sz val="14"/>
      <name val="Calibri"/>
      <family val="2"/>
    </font>
    <font>
      <sz val="12"/>
      <name val="Calibri"/>
      <family val="2"/>
    </font>
    <font>
      <b/>
      <sz val="12"/>
      <color rgb="FF00B050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rgb="FF00CC00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0000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rgb="FF31859C"/>
        <bgColor rgb="FF009999"/>
      </patternFill>
    </fill>
    <fill>
      <patternFill patternType="solid">
        <fgColor rgb="FF77933C"/>
        <bgColor rgb="FF62A73B"/>
      </patternFill>
    </fill>
    <fill>
      <patternFill patternType="solid">
        <fgColor rgb="FFE46C0A"/>
        <bgColor rgb="FFFF9900"/>
      </patternFill>
    </fill>
    <fill>
      <patternFill patternType="solid">
        <fgColor rgb="FFC4BD97"/>
        <bgColor rgb="FFC3D69B"/>
      </patternFill>
    </fill>
    <fill>
      <patternFill patternType="solid">
        <fgColor rgb="FFB7DEE8"/>
        <bgColor rgb="FFD9D9D9"/>
      </patternFill>
    </fill>
    <fill>
      <patternFill patternType="solid">
        <fgColor rgb="FFD7E4BD"/>
        <bgColor rgb="FFD9D9D9"/>
      </patternFill>
    </fill>
    <fill>
      <patternFill patternType="solid">
        <fgColor rgb="FFFCD5B5"/>
        <bgColor rgb="FFD9D9D9"/>
      </patternFill>
    </fill>
    <fill>
      <patternFill patternType="solid">
        <fgColor rgb="FF604A7B"/>
        <bgColor rgb="FF333399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9999"/>
      </patternFill>
    </fill>
    <fill>
      <patternFill patternType="solid">
        <fgColor theme="0"/>
        <bgColor rgb="FFD9D9D9"/>
      </patternFill>
    </fill>
    <fill>
      <patternFill patternType="solid">
        <fgColor rgb="FFFFFF00"/>
        <bgColor rgb="FFC3D69B"/>
      </patternFill>
    </fill>
    <fill>
      <patternFill patternType="solid">
        <fgColor rgb="FFFFFF00"/>
        <bgColor rgb="FF009999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1">
    <xf numFmtId="0" fontId="0" fillId="0" borderId="0"/>
    <xf numFmtId="0" fontId="13" fillId="0" borderId="0"/>
    <xf numFmtId="0" fontId="16" fillId="0" borderId="0"/>
    <xf numFmtId="44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9" fillId="14" borderId="0" applyNumberFormat="0" applyBorder="0" applyAlignment="0" applyProtection="0"/>
  </cellStyleXfs>
  <cellXfs count="248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2" fontId="0" fillId="0" borderId="0" xfId="0" applyNumberFormat="1"/>
    <xf numFmtId="2" fontId="2" fillId="3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1" xfId="0" applyNumberFormat="1" applyBorder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7" fillId="13" borderId="0" xfId="0" applyFont="1" applyFill="1"/>
    <xf numFmtId="0" fontId="7" fillId="16" borderId="2" xfId="0" applyFont="1" applyFill="1" applyBorder="1"/>
    <xf numFmtId="0" fontId="7" fillId="16" borderId="0" xfId="0" applyFont="1" applyFill="1"/>
    <xf numFmtId="0" fontId="3" fillId="11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0" fillId="0" borderId="6" xfId="0" applyBorder="1"/>
    <xf numFmtId="2" fontId="0" fillId="0" borderId="6" xfId="0" applyNumberFormat="1" applyBorder="1"/>
    <xf numFmtId="0" fontId="0" fillId="0" borderId="4" xfId="0" applyBorder="1"/>
    <xf numFmtId="0" fontId="7" fillId="16" borderId="7" xfId="0" applyFont="1" applyFill="1" applyBorder="1"/>
    <xf numFmtId="0" fontId="0" fillId="0" borderId="7" xfId="0" applyBorder="1"/>
    <xf numFmtId="0" fontId="3" fillId="4" borderId="7" xfId="0" applyFont="1" applyFill="1" applyBorder="1"/>
    <xf numFmtId="0" fontId="0" fillId="4" borderId="6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2" fillId="3" borderId="7" xfId="0" applyFont="1" applyFill="1" applyBorder="1"/>
    <xf numFmtId="0" fontId="0" fillId="3" borderId="6" xfId="0" applyFill="1" applyBorder="1"/>
    <xf numFmtId="0" fontId="0" fillId="3" borderId="4" xfId="0" applyFill="1" applyBorder="1"/>
    <xf numFmtId="2" fontId="0" fillId="3" borderId="4" xfId="0" applyNumberFormat="1" applyFill="1" applyBorder="1"/>
    <xf numFmtId="0" fontId="0" fillId="17" borderId="0" xfId="0" applyFill="1"/>
    <xf numFmtId="0" fontId="0" fillId="18" borderId="0" xfId="0" applyFill="1"/>
    <xf numFmtId="0" fontId="3" fillId="13" borderId="1" xfId="0" applyFont="1" applyFill="1" applyBorder="1" applyAlignment="1">
      <alignment horizontal="center"/>
    </xf>
    <xf numFmtId="0" fontId="5" fillId="0" borderId="4" xfId="0" applyFont="1" applyBorder="1"/>
    <xf numFmtId="0" fontId="20" fillId="0" borderId="0" xfId="0" applyFont="1"/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6" xfId="0" applyFont="1" applyBorder="1"/>
    <xf numFmtId="0" fontId="11" fillId="4" borderId="6" xfId="0" applyFont="1" applyFill="1" applyBorder="1"/>
    <xf numFmtId="0" fontId="11" fillId="3" borderId="6" xfId="0" applyFont="1" applyFill="1" applyBorder="1"/>
    <xf numFmtId="0" fontId="11" fillId="0" borderId="1" xfId="0" applyFont="1" applyBorder="1"/>
    <xf numFmtId="0" fontId="11" fillId="4" borderId="4" xfId="0" applyFont="1" applyFill="1" applyBorder="1"/>
    <xf numFmtId="0" fontId="11" fillId="3" borderId="4" xfId="0" applyFont="1" applyFill="1" applyBorder="1"/>
    <xf numFmtId="0" fontId="21" fillId="3" borderId="0" xfId="0" applyFont="1" applyFill="1" applyAlignment="1">
      <alignment horizontal="center"/>
    </xf>
    <xf numFmtId="0" fontId="10" fillId="4" borderId="7" xfId="0" applyFont="1" applyFill="1" applyBorder="1"/>
    <xf numFmtId="2" fontId="11" fillId="4" borderId="4" xfId="0" applyNumberFormat="1" applyFont="1" applyFill="1" applyBorder="1"/>
    <xf numFmtId="0" fontId="3" fillId="0" borderId="7" xfId="0" applyFont="1" applyBorder="1"/>
    <xf numFmtId="0" fontId="24" fillId="0" borderId="8" xfId="1" applyFont="1" applyBorder="1"/>
    <xf numFmtId="0" fontId="0" fillId="4" borderId="0" xfId="0" applyFill="1"/>
    <xf numFmtId="0" fontId="26" fillId="0" borderId="0" xfId="0" applyFont="1"/>
    <xf numFmtId="0" fontId="24" fillId="15" borderId="1" xfId="1" applyFont="1" applyFill="1" applyBorder="1"/>
    <xf numFmtId="0" fontId="15" fillId="0" borderId="4" xfId="0" applyFont="1" applyBorder="1"/>
    <xf numFmtId="0" fontId="5" fillId="15" borderId="11" xfId="0" applyFont="1" applyFill="1" applyBorder="1"/>
    <xf numFmtId="0" fontId="14" fillId="15" borderId="11" xfId="0" applyFont="1" applyFill="1" applyBorder="1"/>
    <xf numFmtId="2" fontId="20" fillId="0" borderId="0" xfId="0" applyNumberFormat="1" applyFont="1"/>
    <xf numFmtId="0" fontId="11" fillId="0" borderId="5" xfId="0" applyFont="1" applyBorder="1"/>
    <xf numFmtId="0" fontId="10" fillId="13" borderId="0" xfId="0" applyFont="1" applyFill="1" applyAlignment="1">
      <alignment horizontal="left"/>
    </xf>
    <xf numFmtId="0" fontId="5" fillId="0" borderId="3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10" fillId="0" borderId="12" xfId="0" applyFont="1" applyBorder="1"/>
    <xf numFmtId="2" fontId="11" fillId="0" borderId="12" xfId="0" applyNumberFormat="1" applyFont="1" applyBorder="1"/>
    <xf numFmtId="0" fontId="0" fillId="0" borderId="12" xfId="0" applyBorder="1"/>
    <xf numFmtId="2" fontId="11" fillId="0" borderId="12" xfId="0" applyNumberFormat="1" applyFont="1" applyBorder="1" applyAlignment="1">
      <alignment horizontal="center"/>
    </xf>
    <xf numFmtId="2" fontId="11" fillId="4" borderId="12" xfId="0" applyNumberFormat="1" applyFont="1" applyFill="1" applyBorder="1"/>
    <xf numFmtId="2" fontId="10" fillId="2" borderId="12" xfId="0" applyNumberFormat="1" applyFont="1" applyFill="1" applyBorder="1"/>
    <xf numFmtId="2" fontId="2" fillId="3" borderId="12" xfId="0" applyNumberFormat="1" applyFont="1" applyFill="1" applyBorder="1"/>
    <xf numFmtId="0" fontId="2" fillId="12" borderId="12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right"/>
    </xf>
    <xf numFmtId="2" fontId="2" fillId="7" borderId="12" xfId="0" applyNumberFormat="1" applyFont="1" applyFill="1" applyBorder="1"/>
    <xf numFmtId="2" fontId="2" fillId="6" borderId="12" xfId="0" applyNumberFormat="1" applyFont="1" applyFill="1" applyBorder="1"/>
    <xf numFmtId="0" fontId="3" fillId="0" borderId="12" xfId="0" applyFont="1" applyBorder="1"/>
    <xf numFmtId="2" fontId="0" fillId="0" borderId="12" xfId="0" applyNumberFormat="1" applyBorder="1"/>
    <xf numFmtId="2" fontId="0" fillId="4" borderId="12" xfId="0" applyNumberFormat="1" applyFill="1" applyBorder="1"/>
    <xf numFmtId="2" fontId="2" fillId="2" borderId="12" xfId="0" applyNumberFormat="1" applyFont="1" applyFill="1" applyBorder="1"/>
    <xf numFmtId="0" fontId="5" fillId="0" borderId="12" xfId="0" applyFont="1" applyBorder="1"/>
    <xf numFmtId="0" fontId="0" fillId="0" borderId="3" xfId="0" applyBorder="1"/>
    <xf numFmtId="0" fontId="1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2" xfId="0" applyFont="1" applyBorder="1"/>
    <xf numFmtId="0" fontId="0" fillId="18" borderId="7" xfId="0" applyFill="1" applyBorder="1"/>
    <xf numFmtId="2" fontId="5" fillId="0" borderId="12" xfId="0" applyNumberFormat="1" applyFont="1" applyBorder="1"/>
    <xf numFmtId="0" fontId="0" fillId="0" borderId="12" xfId="0" applyBorder="1" applyAlignment="1">
      <alignment vertical="center"/>
    </xf>
    <xf numFmtId="0" fontId="5" fillId="15" borderId="12" xfId="0" applyFont="1" applyFill="1" applyBorder="1"/>
    <xf numFmtId="2" fontId="12" fillId="15" borderId="12" xfId="0" applyNumberFormat="1" applyFont="1" applyFill="1" applyBorder="1"/>
    <xf numFmtId="0" fontId="11" fillId="15" borderId="12" xfId="0" applyFont="1" applyFill="1" applyBorder="1"/>
    <xf numFmtId="0" fontId="0" fillId="15" borderId="12" xfId="0" applyFill="1" applyBorder="1"/>
    <xf numFmtId="0" fontId="3" fillId="15" borderId="12" xfId="0" applyFont="1" applyFill="1" applyBorder="1"/>
    <xf numFmtId="2" fontId="0" fillId="15" borderId="12" xfId="0" applyNumberFormat="1" applyFill="1" applyBorder="1"/>
    <xf numFmtId="0" fontId="11" fillId="15" borderId="12" xfId="0" applyFont="1" applyFill="1" applyBorder="1" applyAlignment="1">
      <alignment wrapText="1"/>
    </xf>
    <xf numFmtId="2" fontId="12" fillId="0" borderId="12" xfId="0" applyNumberFormat="1" applyFont="1" applyBorder="1"/>
    <xf numFmtId="0" fontId="28" fillId="13" borderId="12" xfId="0" applyFont="1" applyFill="1" applyBorder="1"/>
    <xf numFmtId="2" fontId="0" fillId="13" borderId="12" xfId="0" applyNumberFormat="1" applyFill="1" applyBorder="1"/>
    <xf numFmtId="0" fontId="7" fillId="0" borderId="12" xfId="0" applyFont="1" applyBorder="1"/>
    <xf numFmtId="2" fontId="7" fillId="0" borderId="12" xfId="0" applyNumberFormat="1" applyFont="1" applyBorder="1"/>
    <xf numFmtId="0" fontId="25" fillId="13" borderId="12" xfId="0" applyFont="1" applyFill="1" applyBorder="1"/>
    <xf numFmtId="0" fontId="3" fillId="20" borderId="3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wrapText="1"/>
    </xf>
    <xf numFmtId="0" fontId="22" fillId="0" borderId="7" xfId="0" applyFont="1" applyBorder="1"/>
    <xf numFmtId="0" fontId="14" fillId="15" borderId="12" xfId="0" applyFont="1" applyFill="1" applyBorder="1"/>
    <xf numFmtId="0" fontId="5" fillId="0" borderId="12" xfId="0" applyFont="1" applyBorder="1" applyAlignment="1">
      <alignment wrapText="1"/>
    </xf>
    <xf numFmtId="0" fontId="9" fillId="0" borderId="12" xfId="0" applyFont="1" applyBorder="1"/>
    <xf numFmtId="0" fontId="3" fillId="21" borderId="12" xfId="0" applyFont="1" applyFill="1" applyBorder="1" applyAlignment="1">
      <alignment horizontal="right"/>
    </xf>
    <xf numFmtId="0" fontId="14" fillId="0" borderId="12" xfId="0" applyFont="1" applyBorder="1" applyAlignment="1">
      <alignment vertical="center"/>
    </xf>
    <xf numFmtId="0" fontId="15" fillId="0" borderId="12" xfId="0" applyFont="1" applyBorder="1"/>
    <xf numFmtId="0" fontId="14" fillId="0" borderId="12" xfId="0" applyFont="1" applyBorder="1" applyAlignment="1">
      <alignment vertical="center" wrapText="1"/>
    </xf>
    <xf numFmtId="0" fontId="26" fillId="13" borderId="6" xfId="0" applyFont="1" applyFill="1" applyBorder="1"/>
    <xf numFmtId="0" fontId="0" fillId="13" borderId="6" xfId="0" applyFill="1" applyBorder="1"/>
    <xf numFmtId="0" fontId="14" fillId="0" borderId="12" xfId="0" applyFont="1" applyBorder="1" applyAlignment="1">
      <alignment wrapText="1"/>
    </xf>
    <xf numFmtId="2" fontId="11" fillId="15" borderId="12" xfId="0" applyNumberFormat="1" applyFont="1" applyFill="1" applyBorder="1"/>
    <xf numFmtId="0" fontId="23" fillId="0" borderId="12" xfId="0" applyFont="1" applyBorder="1"/>
    <xf numFmtId="2" fontId="0" fillId="0" borderId="4" xfId="0" applyNumberFormat="1" applyBorder="1"/>
    <xf numFmtId="0" fontId="29" fillId="15" borderId="11" xfId="0" applyFont="1" applyFill="1" applyBorder="1"/>
    <xf numFmtId="0" fontId="5" fillId="15" borderId="4" xfId="0" applyFont="1" applyFill="1" applyBorder="1"/>
    <xf numFmtId="0" fontId="5" fillId="15" borderId="5" xfId="0" applyFont="1" applyFill="1" applyBorder="1"/>
    <xf numFmtId="0" fontId="5" fillId="15" borderId="12" xfId="0" applyFont="1" applyFill="1" applyBorder="1" applyAlignment="1">
      <alignment horizontal="left"/>
    </xf>
    <xf numFmtId="0" fontId="22" fillId="13" borderId="12" xfId="0" applyFont="1" applyFill="1" applyBorder="1"/>
    <xf numFmtId="2" fontId="3" fillId="15" borderId="12" xfId="0" applyNumberFormat="1" applyFont="1" applyFill="1" applyBorder="1"/>
    <xf numFmtId="0" fontId="5" fillId="0" borderId="6" xfId="0" applyFont="1" applyBorder="1"/>
    <xf numFmtId="0" fontId="5" fillId="4" borderId="6" xfId="0" applyFont="1" applyFill="1" applyBorder="1"/>
    <xf numFmtId="0" fontId="5" fillId="4" borderId="4" xfId="0" applyFont="1" applyFill="1" applyBorder="1"/>
    <xf numFmtId="2" fontId="10" fillId="19" borderId="15" xfId="0" applyNumberFormat="1" applyFont="1" applyFill="1" applyBorder="1"/>
    <xf numFmtId="2" fontId="2" fillId="5" borderId="15" xfId="0" applyNumberFormat="1" applyFont="1" applyFill="1" applyBorder="1"/>
    <xf numFmtId="0" fontId="5" fillId="0" borderId="15" xfId="0" applyFont="1" applyBorder="1" applyAlignment="1">
      <alignment vertical="center"/>
    </xf>
    <xf numFmtId="0" fontId="11" fillId="0" borderId="15" xfId="0" applyFont="1" applyBorder="1"/>
    <xf numFmtId="0" fontId="30" fillId="0" borderId="12" xfId="0" applyFont="1" applyBorder="1"/>
    <xf numFmtId="2" fontId="30" fillId="0" borderId="12" xfId="0" applyNumberFormat="1" applyFont="1" applyBorder="1"/>
    <xf numFmtId="2" fontId="10" fillId="22" borderId="15" xfId="0" applyNumberFormat="1" applyFont="1" applyFill="1" applyBorder="1"/>
    <xf numFmtId="0" fontId="5" fillId="0" borderId="5" xfId="0" applyFont="1" applyBorder="1"/>
    <xf numFmtId="0" fontId="1" fillId="0" borderId="16" xfId="0" applyFont="1" applyBorder="1" applyAlignment="1">
      <alignment wrapText="1"/>
    </xf>
    <xf numFmtId="0" fontId="7" fillId="15" borderId="12" xfId="0" applyFont="1" applyFill="1" applyBorder="1"/>
    <xf numFmtId="0" fontId="32" fillId="0" borderId="12" xfId="0" applyFont="1" applyBorder="1"/>
    <xf numFmtId="0" fontId="33" fillId="0" borderId="12" xfId="0" applyFont="1" applyBorder="1"/>
    <xf numFmtId="2" fontId="33" fillId="0" borderId="12" xfId="0" applyNumberFormat="1" applyFont="1" applyBorder="1"/>
    <xf numFmtId="0" fontId="33" fillId="0" borderId="0" xfId="0" applyFont="1"/>
    <xf numFmtId="0" fontId="11" fillId="0" borderId="4" xfId="0" applyFont="1" applyBorder="1"/>
    <xf numFmtId="0" fontId="11" fillId="0" borderId="3" xfId="0" applyFont="1" applyBorder="1"/>
    <xf numFmtId="0" fontId="5" fillId="0" borderId="15" xfId="0" applyFont="1" applyBorder="1"/>
    <xf numFmtId="0" fontId="34" fillId="0" borderId="0" xfId="0" applyFont="1"/>
    <xf numFmtId="0" fontId="33" fillId="13" borderId="12" xfId="0" applyFont="1" applyFill="1" applyBorder="1"/>
    <xf numFmtId="0" fontId="33" fillId="13" borderId="7" xfId="0" applyFont="1" applyFill="1" applyBorder="1"/>
    <xf numFmtId="0" fontId="33" fillId="13" borderId="2" xfId="0" applyFont="1" applyFill="1" applyBorder="1"/>
    <xf numFmtId="2" fontId="33" fillId="22" borderId="15" xfId="0" applyNumberFormat="1" applyFont="1" applyFill="1" applyBorder="1"/>
    <xf numFmtId="0" fontId="33" fillId="21" borderId="12" xfId="0" applyFont="1" applyFill="1" applyBorder="1" applyAlignment="1">
      <alignment horizontal="right"/>
    </xf>
    <xf numFmtId="0" fontId="0" fillId="13" borderId="12" xfId="0" applyFill="1" applyBorder="1"/>
    <xf numFmtId="0" fontId="7" fillId="13" borderId="12" xfId="0" applyFont="1" applyFill="1" applyBorder="1"/>
    <xf numFmtId="0" fontId="10" fillId="0" borderId="0" xfId="0" applyFont="1" applyAlignment="1">
      <alignment horizontal="right" wrapText="1"/>
    </xf>
    <xf numFmtId="0" fontId="35" fillId="0" borderId="0" xfId="0" applyFont="1"/>
    <xf numFmtId="0" fontId="11" fillId="13" borderId="12" xfId="0" applyFont="1" applyFill="1" applyBorder="1"/>
    <xf numFmtId="0" fontId="22" fillId="15" borderId="12" xfId="0" applyFont="1" applyFill="1" applyBorder="1"/>
    <xf numFmtId="2" fontId="22" fillId="15" borderId="12" xfId="0" applyNumberFormat="1" applyFont="1" applyFill="1" applyBorder="1"/>
    <xf numFmtId="0" fontId="36" fillId="21" borderId="12" xfId="0" applyFont="1" applyFill="1" applyBorder="1" applyAlignment="1">
      <alignment horizontal="right"/>
    </xf>
    <xf numFmtId="0" fontId="35" fillId="13" borderId="12" xfId="0" applyFont="1" applyFill="1" applyBorder="1"/>
    <xf numFmtId="0" fontId="34" fillId="13" borderId="0" xfId="0" applyFont="1" applyFill="1"/>
    <xf numFmtId="0" fontId="35" fillId="13" borderId="0" xfId="0" applyFont="1" applyFill="1"/>
    <xf numFmtId="0" fontId="5" fillId="13" borderId="12" xfId="0" applyFont="1" applyFill="1" applyBorder="1"/>
    <xf numFmtId="0" fontId="4" fillId="13" borderId="0" xfId="0" applyFont="1" applyFill="1"/>
    <xf numFmtId="0" fontId="6" fillId="13" borderId="0" xfId="0" applyFont="1" applyFill="1"/>
    <xf numFmtId="2" fontId="11" fillId="13" borderId="12" xfId="0" applyNumberFormat="1" applyFont="1" applyFill="1" applyBorder="1"/>
    <xf numFmtId="0" fontId="32" fillId="13" borderId="12" xfId="0" applyFont="1" applyFill="1" applyBorder="1"/>
    <xf numFmtId="0" fontId="28" fillId="0" borderId="12" xfId="0" applyFont="1" applyBorder="1"/>
    <xf numFmtId="2" fontId="37" fillId="0" borderId="0" xfId="0" applyNumberFormat="1" applyFont="1" applyAlignment="1">
      <alignment horizontal="center" vertical="center"/>
    </xf>
    <xf numFmtId="2" fontId="38" fillId="19" borderId="15" xfId="0" applyNumberFormat="1" applyFont="1" applyFill="1" applyBorder="1"/>
    <xf numFmtId="0" fontId="5" fillId="0" borderId="0" xfId="0" applyFont="1"/>
    <xf numFmtId="0" fontId="27" fillId="0" borderId="16" xfId="0" applyFont="1" applyBorder="1"/>
    <xf numFmtId="0" fontId="27" fillId="15" borderId="16" xfId="0" applyFont="1" applyFill="1" applyBorder="1" applyAlignment="1">
      <alignment wrapText="1"/>
    </xf>
    <xf numFmtId="0" fontId="8" fillId="0" borderId="12" xfId="0" applyFont="1" applyBorder="1"/>
    <xf numFmtId="0" fontId="5" fillId="15" borderId="16" xfId="0" applyFont="1" applyFill="1" applyBorder="1"/>
    <xf numFmtId="0" fontId="5" fillId="15" borderId="16" xfId="0" applyFont="1" applyFill="1" applyBorder="1" applyAlignment="1">
      <alignment wrapText="1"/>
    </xf>
    <xf numFmtId="0" fontId="5" fillId="0" borderId="16" xfId="0" applyFont="1" applyBorder="1" applyAlignment="1">
      <alignment wrapText="1"/>
    </xf>
    <xf numFmtId="0" fontId="11" fillId="15" borderId="16" xfId="0" applyFont="1" applyFill="1" applyBorder="1" applyAlignment="1">
      <alignment wrapText="1"/>
    </xf>
    <xf numFmtId="0" fontId="14" fillId="0" borderId="16" xfId="0" applyFont="1" applyBorder="1"/>
    <xf numFmtId="0" fontId="14" fillId="15" borderId="16" xfId="0" applyFont="1" applyFill="1" applyBorder="1"/>
    <xf numFmtId="0" fontId="14" fillId="0" borderId="16" xfId="0" applyFont="1" applyBorder="1" applyAlignment="1">
      <alignment wrapText="1"/>
    </xf>
    <xf numFmtId="0" fontId="5" fillId="0" borderId="16" xfId="0" applyFont="1" applyBorder="1"/>
    <xf numFmtId="0" fontId="31" fillId="0" borderId="16" xfId="0" applyFont="1" applyBorder="1"/>
    <xf numFmtId="0" fontId="3" fillId="4" borderId="10" xfId="0" applyFont="1" applyFill="1" applyBorder="1"/>
    <xf numFmtId="0" fontId="0" fillId="4" borderId="2" xfId="0" applyFill="1" applyBorder="1"/>
    <xf numFmtId="0" fontId="39" fillId="0" borderId="12" xfId="0" applyFont="1" applyBorder="1"/>
    <xf numFmtId="2" fontId="0" fillId="0" borderId="12" xfId="0" applyNumberFormat="1" applyBorder="1" applyAlignment="1">
      <alignment horizontal="center"/>
    </xf>
    <xf numFmtId="0" fontId="3" fillId="11" borderId="12" xfId="0" applyFont="1" applyFill="1" applyBorder="1" applyAlignment="1">
      <alignment horizontal="center" vertical="center"/>
    </xf>
    <xf numFmtId="2" fontId="10" fillId="0" borderId="15" xfId="0" applyNumberFormat="1" applyFont="1" applyBorder="1"/>
    <xf numFmtId="0" fontId="0" fillId="0" borderId="17" xfId="0" applyBorder="1"/>
    <xf numFmtId="0" fontId="2" fillId="12" borderId="17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right"/>
    </xf>
    <xf numFmtId="2" fontId="2" fillId="7" borderId="17" xfId="0" applyNumberFormat="1" applyFont="1" applyFill="1" applyBorder="1"/>
    <xf numFmtId="2" fontId="2" fillId="6" borderId="17" xfId="0" applyNumberFormat="1" applyFont="1" applyFill="1" applyBorder="1"/>
    <xf numFmtId="0" fontId="3" fillId="0" borderId="17" xfId="0" applyFont="1" applyBorder="1"/>
    <xf numFmtId="0" fontId="11" fillId="0" borderId="17" xfId="0" applyFont="1" applyBorder="1"/>
    <xf numFmtId="2" fontId="0" fillId="0" borderId="17" xfId="0" applyNumberFormat="1" applyBorder="1"/>
    <xf numFmtId="2" fontId="0" fillId="4" borderId="17" xfId="0" applyNumberFormat="1" applyFill="1" applyBorder="1"/>
    <xf numFmtId="2" fontId="2" fillId="2" borderId="17" xfId="0" applyNumberFormat="1" applyFont="1" applyFill="1" applyBorder="1"/>
    <xf numFmtId="0" fontId="2" fillId="0" borderId="12" xfId="0" applyFont="1" applyBorder="1" applyAlignment="1">
      <alignment horizontal="center" wrapText="1"/>
    </xf>
    <xf numFmtId="0" fontId="5" fillId="0" borderId="17" xfId="0" applyFont="1" applyBorder="1"/>
    <xf numFmtId="2" fontId="40" fillId="0" borderId="15" xfId="0" applyNumberFormat="1" applyFont="1" applyBorder="1"/>
    <xf numFmtId="2" fontId="38" fillId="15" borderId="12" xfId="0" applyNumberFormat="1" applyFont="1" applyFill="1" applyBorder="1"/>
    <xf numFmtId="0" fontId="22" fillId="0" borderId="12" xfId="0" applyFont="1" applyBorder="1"/>
    <xf numFmtId="0" fontId="5" fillId="0" borderId="3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 applyAlignment="1">
      <alignment vertical="center"/>
    </xf>
    <xf numFmtId="0" fontId="5" fillId="0" borderId="21" xfId="0" applyFont="1" applyBorder="1"/>
    <xf numFmtId="0" fontId="0" fillId="0" borderId="20" xfId="0" applyBorder="1"/>
    <xf numFmtId="0" fontId="5" fillId="0" borderId="22" xfId="0" applyFont="1" applyBorder="1" applyAlignment="1">
      <alignment vertical="center"/>
    </xf>
    <xf numFmtId="0" fontId="5" fillId="0" borderId="23" xfId="0" applyFont="1" applyBorder="1"/>
    <xf numFmtId="2" fontId="12" fillId="13" borderId="12" xfId="0" applyNumberFormat="1" applyFont="1" applyFill="1" applyBorder="1"/>
    <xf numFmtId="0" fontId="3" fillId="15" borderId="7" xfId="0" applyFont="1" applyFill="1" applyBorder="1"/>
    <xf numFmtId="2" fontId="11" fillId="0" borderId="4" xfId="0" applyNumberFormat="1" applyFont="1" applyBorder="1"/>
    <xf numFmtId="2" fontId="11" fillId="15" borderId="4" xfId="0" applyNumberFormat="1" applyFont="1" applyFill="1" applyBorder="1"/>
    <xf numFmtId="0" fontId="5" fillId="15" borderId="3" xfId="0" applyFont="1" applyFill="1" applyBorder="1"/>
    <xf numFmtId="0" fontId="5" fillId="15" borderId="15" xfId="0" applyFont="1" applyFill="1" applyBorder="1"/>
    <xf numFmtId="0" fontId="11" fillId="15" borderId="18" xfId="0" applyFont="1" applyFill="1" applyBorder="1"/>
    <xf numFmtId="0" fontId="11" fillId="15" borderId="19" xfId="0" applyFont="1" applyFill="1" applyBorder="1"/>
    <xf numFmtId="0" fontId="11" fillId="15" borderId="24" xfId="0" applyFont="1" applyFill="1" applyBorder="1"/>
    <xf numFmtId="0" fontId="11" fillId="15" borderId="25" xfId="0" applyFont="1" applyFill="1" applyBorder="1"/>
    <xf numFmtId="0" fontId="11" fillId="15" borderId="26" xfId="0" applyFont="1" applyFill="1" applyBorder="1"/>
    <xf numFmtId="0" fontId="11" fillId="15" borderId="27" xfId="0" applyFont="1" applyFill="1" applyBorder="1"/>
    <xf numFmtId="0" fontId="28" fillId="16" borderId="2" xfId="0" applyFont="1" applyFill="1" applyBorder="1"/>
    <xf numFmtId="0" fontId="38" fillId="0" borderId="12" xfId="0" applyFont="1" applyBorder="1"/>
    <xf numFmtId="2" fontId="7" fillId="0" borderId="17" xfId="0" applyNumberFormat="1" applyFont="1" applyBorder="1"/>
    <xf numFmtId="0" fontId="41" fillId="0" borderId="12" xfId="0" applyFont="1" applyBorder="1"/>
    <xf numFmtId="2" fontId="22" fillId="0" borderId="12" xfId="0" applyNumberFormat="1" applyFont="1" applyBorder="1"/>
    <xf numFmtId="0" fontId="11" fillId="13" borderId="0" xfId="0" applyFont="1" applyFill="1"/>
    <xf numFmtId="2" fontId="0" fillId="0" borderId="17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3" fillId="11" borderId="17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wrapText="1"/>
    </xf>
    <xf numFmtId="0" fontId="3" fillId="9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wrapText="1"/>
    </xf>
    <xf numFmtId="0" fontId="3" fillId="11" borderId="12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 wrapText="1"/>
    </xf>
    <xf numFmtId="0" fontId="25" fillId="13" borderId="9" xfId="0" applyFont="1" applyFill="1" applyBorder="1" applyAlignment="1">
      <alignment horizontal="center" vertical="center" wrapText="1"/>
    </xf>
    <xf numFmtId="0" fontId="25" fillId="13" borderId="10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</cellXfs>
  <cellStyles count="11">
    <cellStyle name="Moneda 2" xfId="3" xr:uid="{00000000-0005-0000-0000-000000000000}"/>
    <cellStyle name="Neutral 2" xfId="10" xr:uid="{00000000-0005-0000-0000-000001000000}"/>
    <cellStyle name="Normal" xfId="0" builtinId="0"/>
    <cellStyle name="Normal 2" xfId="1" xr:uid="{00000000-0005-0000-0000-000003000000}"/>
    <cellStyle name="Normal 2 2" xfId="6" xr:uid="{00000000-0005-0000-0000-000004000000}"/>
    <cellStyle name="Normal 2 3" xfId="7" xr:uid="{00000000-0005-0000-0000-000005000000}"/>
    <cellStyle name="Normal 2 4" xfId="8" xr:uid="{00000000-0005-0000-0000-000006000000}"/>
    <cellStyle name="Normal 2 5" xfId="4" xr:uid="{00000000-0005-0000-0000-000007000000}"/>
    <cellStyle name="Normal 2 6" xfId="5" xr:uid="{00000000-0005-0000-0000-000008000000}"/>
    <cellStyle name="Normal 3" xfId="9" xr:uid="{00000000-0005-0000-0000-000009000000}"/>
    <cellStyle name="Normal 4" xfId="2" xr:uid="{00000000-0005-0000-0000-00000A000000}"/>
  </cellStyles>
  <dxfs count="5"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</font>
      <fill>
        <patternFill patternType="solid">
          <fgColor indexed="64"/>
          <bgColor theme="1"/>
        </patternFill>
      </fill>
    </dxf>
    <dxf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 style="thin">
          <color indexed="8"/>
        </vertical>
        <horizontal style="thin">
          <color indexed="8"/>
        </horizontal>
      </border>
    </dxf>
  </dxfs>
  <tableStyles count="1" defaultTableStyle="TableStyleMedium9" defaultPivotStyle="PivotStyleLight16">
    <tableStyle name="CONTROL MES" pivot="0" count="3" xr9:uid="{00000000-0011-0000-FFFF-FFFF00000000}">
      <tableStyleElement type="wholeTable" dxfId="4"/>
      <tableStyleElement type="headerRow" dxfId="3"/>
      <tableStyleElement type="firstRowStripe" dxfId="2"/>
    </tableStyle>
  </tableStyles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44"/>
  <sheetViews>
    <sheetView zoomScale="85" zoomScaleNormal="85"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/>
      <c r="C1" s="38"/>
      <c r="G1" s="229" t="s">
        <v>0</v>
      </c>
      <c r="H1" s="229"/>
      <c r="I1" s="229"/>
      <c r="J1" s="230" t="s">
        <v>1</v>
      </c>
      <c r="K1" s="230"/>
      <c r="L1" s="231" t="s">
        <v>2</v>
      </c>
      <c r="M1" s="231"/>
      <c r="N1" s="231"/>
      <c r="O1" s="232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187" t="s">
        <v>8</v>
      </c>
      <c r="F2" s="187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2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188"/>
      <c r="N3" s="188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189">
        <f>I43</f>
        <v>0</v>
      </c>
      <c r="J4" s="186"/>
      <c r="K4" s="190">
        <f>K43</f>
        <v>0</v>
      </c>
      <c r="L4" s="24" t="s">
        <v>16</v>
      </c>
      <c r="M4" s="16"/>
      <c r="N4" s="126">
        <f>L43-J43+N3</f>
        <v>0</v>
      </c>
      <c r="O4" s="25"/>
    </row>
    <row r="5" spans="1:15" ht="23.25" customHeight="1" x14ac:dyDescent="0.25">
      <c r="A5" s="191" t="s">
        <v>17</v>
      </c>
      <c r="B5" s="192"/>
      <c r="C5" s="192"/>
      <c r="D5" s="193"/>
      <c r="E5" s="186"/>
      <c r="F5" s="193">
        <f t="shared" ref="F5:F12" si="0">I5-E5</f>
        <v>0</v>
      </c>
      <c r="G5" s="193">
        <v>0</v>
      </c>
      <c r="H5" s="193">
        <v>0</v>
      </c>
      <c r="I5" s="193">
        <f t="shared" ref="I5:I12" si="1">SUM(G5:H5)</f>
        <v>0</v>
      </c>
      <c r="J5" s="193">
        <v>0</v>
      </c>
      <c r="K5" s="193">
        <f t="shared" ref="K5:K12" si="2">SUM(J5)</f>
        <v>0</v>
      </c>
      <c r="L5" s="193">
        <v>0</v>
      </c>
      <c r="M5" s="193">
        <f t="shared" ref="M5:M12" si="3">L5</f>
        <v>0</v>
      </c>
      <c r="N5" s="227"/>
      <c r="O5" s="193">
        <f t="shared" ref="O5:O12" si="4">G5+H5+L5</f>
        <v>0</v>
      </c>
    </row>
    <row r="6" spans="1:15" ht="23.25" customHeight="1" x14ac:dyDescent="0.25">
      <c r="A6" s="191"/>
      <c r="B6" s="192"/>
      <c r="C6" s="192"/>
      <c r="D6" s="193"/>
      <c r="E6" s="186"/>
      <c r="F6" s="193">
        <f t="shared" si="0"/>
        <v>0</v>
      </c>
      <c r="G6" s="193">
        <v>0</v>
      </c>
      <c r="H6" s="193">
        <v>0</v>
      </c>
      <c r="I6" s="193">
        <f t="shared" si="1"/>
        <v>0</v>
      </c>
      <c r="J6" s="193">
        <v>0</v>
      </c>
      <c r="K6" s="193">
        <f t="shared" si="2"/>
        <v>0</v>
      </c>
      <c r="L6" s="193">
        <v>0</v>
      </c>
      <c r="M6" s="193">
        <f t="shared" si="3"/>
        <v>0</v>
      </c>
      <c r="N6" s="227"/>
      <c r="O6" s="193">
        <f t="shared" si="4"/>
        <v>0</v>
      </c>
    </row>
    <row r="7" spans="1:15" ht="23.25" customHeight="1" x14ac:dyDescent="0.25">
      <c r="A7" s="191"/>
      <c r="B7" s="192"/>
      <c r="C7" s="192"/>
      <c r="D7" s="193"/>
      <c r="E7" s="186"/>
      <c r="F7" s="193">
        <f t="shared" si="0"/>
        <v>0</v>
      </c>
      <c r="G7" s="193">
        <v>0</v>
      </c>
      <c r="H7" s="193">
        <v>0</v>
      </c>
      <c r="I7" s="193">
        <f t="shared" si="1"/>
        <v>0</v>
      </c>
      <c r="J7" s="193">
        <v>0</v>
      </c>
      <c r="K7" s="193">
        <f t="shared" si="2"/>
        <v>0</v>
      </c>
      <c r="L7" s="193">
        <v>0</v>
      </c>
      <c r="M7" s="193">
        <f t="shared" si="3"/>
        <v>0</v>
      </c>
      <c r="N7" s="227"/>
      <c r="O7" s="193">
        <f t="shared" si="4"/>
        <v>0</v>
      </c>
    </row>
    <row r="8" spans="1:15" ht="23.25" customHeight="1" x14ac:dyDescent="0.25">
      <c r="A8" s="191" t="s">
        <v>18</v>
      </c>
      <c r="B8" s="192"/>
      <c r="C8" s="192"/>
      <c r="D8" s="193"/>
      <c r="E8" s="186"/>
      <c r="F8" s="193">
        <f t="shared" si="0"/>
        <v>0</v>
      </c>
      <c r="G8" s="193">
        <v>0</v>
      </c>
      <c r="H8" s="193">
        <v>0</v>
      </c>
      <c r="I8" s="193">
        <f t="shared" si="1"/>
        <v>0</v>
      </c>
      <c r="J8" s="193">
        <v>0</v>
      </c>
      <c r="K8" s="193">
        <f t="shared" si="2"/>
        <v>0</v>
      </c>
      <c r="L8" s="193">
        <v>0</v>
      </c>
      <c r="M8" s="193">
        <f t="shared" si="3"/>
        <v>0</v>
      </c>
      <c r="N8" s="227"/>
      <c r="O8" s="193">
        <f t="shared" si="4"/>
        <v>0</v>
      </c>
    </row>
    <row r="9" spans="1:15" ht="23.25" customHeight="1" x14ac:dyDescent="0.25">
      <c r="A9" s="191"/>
      <c r="B9" s="192"/>
      <c r="C9" s="192"/>
      <c r="D9" s="193"/>
      <c r="E9" s="186"/>
      <c r="F9" s="193">
        <f t="shared" si="0"/>
        <v>0</v>
      </c>
      <c r="G9" s="193">
        <v>0</v>
      </c>
      <c r="H9" s="193">
        <v>0</v>
      </c>
      <c r="I9" s="193">
        <f t="shared" si="1"/>
        <v>0</v>
      </c>
      <c r="J9" s="193">
        <v>0</v>
      </c>
      <c r="K9" s="193">
        <f t="shared" si="2"/>
        <v>0</v>
      </c>
      <c r="L9" s="193">
        <v>0</v>
      </c>
      <c r="M9" s="193">
        <f t="shared" si="3"/>
        <v>0</v>
      </c>
      <c r="N9" s="227"/>
      <c r="O9" s="193">
        <f t="shared" si="4"/>
        <v>0</v>
      </c>
    </row>
    <row r="10" spans="1:15" ht="23.25" customHeight="1" x14ac:dyDescent="0.25">
      <c r="A10" s="191" t="s">
        <v>19</v>
      </c>
      <c r="B10" s="192"/>
      <c r="C10" s="59"/>
      <c r="D10" s="193"/>
      <c r="E10" s="186"/>
      <c r="F10" s="193">
        <f t="shared" si="0"/>
        <v>0</v>
      </c>
      <c r="G10" s="193">
        <v>0</v>
      </c>
      <c r="H10" s="193">
        <v>0</v>
      </c>
      <c r="I10" s="193">
        <f t="shared" si="1"/>
        <v>0</v>
      </c>
      <c r="J10" s="193">
        <v>0</v>
      </c>
      <c r="K10" s="193">
        <f t="shared" si="2"/>
        <v>0</v>
      </c>
      <c r="L10" s="193">
        <v>0</v>
      </c>
      <c r="M10" s="193">
        <f t="shared" si="3"/>
        <v>0</v>
      </c>
      <c r="N10" s="227"/>
      <c r="O10" s="193">
        <f t="shared" si="4"/>
        <v>0</v>
      </c>
    </row>
    <row r="11" spans="1:15" ht="23.25" customHeight="1" x14ac:dyDescent="0.25">
      <c r="A11" s="191"/>
      <c r="B11" s="192"/>
      <c r="C11" s="192"/>
      <c r="D11" s="193"/>
      <c r="E11" s="186"/>
      <c r="F11" s="193">
        <f t="shared" si="0"/>
        <v>0</v>
      </c>
      <c r="G11" s="193">
        <v>0</v>
      </c>
      <c r="H11" s="193">
        <v>0</v>
      </c>
      <c r="I11" s="193">
        <f t="shared" si="1"/>
        <v>0</v>
      </c>
      <c r="J11" s="193">
        <v>0</v>
      </c>
      <c r="K11" s="193">
        <f t="shared" si="2"/>
        <v>0</v>
      </c>
      <c r="L11" s="193">
        <v>0</v>
      </c>
      <c r="M11" s="193">
        <f t="shared" si="3"/>
        <v>0</v>
      </c>
      <c r="N11" s="227"/>
      <c r="O11" s="193">
        <f t="shared" si="4"/>
        <v>0</v>
      </c>
    </row>
    <row r="12" spans="1:15" ht="23.25" customHeight="1" x14ac:dyDescent="0.25">
      <c r="A12" s="191"/>
      <c r="B12" s="192"/>
      <c r="C12" s="192"/>
      <c r="D12" s="193"/>
      <c r="E12" s="186"/>
      <c r="F12" s="193">
        <f t="shared" si="0"/>
        <v>0</v>
      </c>
      <c r="G12" s="193">
        <v>0</v>
      </c>
      <c r="H12" s="193">
        <v>0</v>
      </c>
      <c r="I12" s="193">
        <f t="shared" si="1"/>
        <v>0</v>
      </c>
      <c r="J12" s="193">
        <v>0</v>
      </c>
      <c r="K12" s="193">
        <f t="shared" si="2"/>
        <v>0</v>
      </c>
      <c r="L12" s="193">
        <v>0</v>
      </c>
      <c r="M12" s="193">
        <f t="shared" si="3"/>
        <v>0</v>
      </c>
      <c r="N12" s="227"/>
      <c r="O12" s="193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194">
        <f t="shared" ref="E13:M13" si="5">SUM(E5:E12)</f>
        <v>0</v>
      </c>
      <c r="F13" s="194">
        <f t="shared" si="5"/>
        <v>0</v>
      </c>
      <c r="G13" s="194">
        <f t="shared" si="5"/>
        <v>0</v>
      </c>
      <c r="H13" s="194">
        <f t="shared" si="5"/>
        <v>0</v>
      </c>
      <c r="I13" s="194">
        <f t="shared" si="5"/>
        <v>0</v>
      </c>
      <c r="J13" s="194">
        <f t="shared" si="5"/>
        <v>0</v>
      </c>
      <c r="K13" s="194">
        <f t="shared" si="5"/>
        <v>0</v>
      </c>
      <c r="L13" s="194">
        <f t="shared" si="5"/>
        <v>0</v>
      </c>
      <c r="M13" s="194">
        <f t="shared" si="5"/>
        <v>0</v>
      </c>
      <c r="N13" s="194">
        <f>L13-J13</f>
        <v>0</v>
      </c>
      <c r="O13" s="195">
        <f>SUM(O5:O12)</f>
        <v>0</v>
      </c>
    </row>
    <row r="14" spans="1:15" ht="23.25" customHeight="1" x14ac:dyDescent="0.25">
      <c r="A14" s="191" t="s">
        <v>21</v>
      </c>
      <c r="B14" s="192"/>
      <c r="C14" s="192"/>
      <c r="D14" s="193"/>
      <c r="E14" s="186"/>
      <c r="F14" s="193">
        <v>0</v>
      </c>
      <c r="G14" s="193">
        <v>0</v>
      </c>
      <c r="H14" s="193">
        <v>0</v>
      </c>
      <c r="I14" s="193">
        <f t="shared" ref="I14:I22" si="6">SUM(G14:H14)</f>
        <v>0</v>
      </c>
      <c r="J14" s="193">
        <v>0</v>
      </c>
      <c r="K14" s="193">
        <f t="shared" ref="K14:K22" si="7">SUM(J14)</f>
        <v>0</v>
      </c>
      <c r="L14" s="193">
        <v>0</v>
      </c>
      <c r="M14" s="193">
        <f t="shared" ref="M14:M22" si="8">L14</f>
        <v>0</v>
      </c>
      <c r="N14" s="227"/>
      <c r="O14" s="193">
        <f t="shared" ref="O14:O22" si="9">G14+H14+L14</f>
        <v>0</v>
      </c>
    </row>
    <row r="15" spans="1:15" ht="23.25" customHeight="1" x14ac:dyDescent="0.25">
      <c r="A15" s="191"/>
      <c r="B15" s="192"/>
      <c r="C15" s="192"/>
      <c r="D15" s="193"/>
      <c r="E15" s="186"/>
      <c r="F15" s="193">
        <v>0</v>
      </c>
      <c r="G15" s="193">
        <v>0</v>
      </c>
      <c r="H15" s="193">
        <v>0</v>
      </c>
      <c r="I15" s="193">
        <f t="shared" si="6"/>
        <v>0</v>
      </c>
      <c r="J15" s="193">
        <v>0</v>
      </c>
      <c r="K15" s="193">
        <f t="shared" si="7"/>
        <v>0</v>
      </c>
      <c r="L15" s="193">
        <v>0</v>
      </c>
      <c r="M15" s="193">
        <f t="shared" si="8"/>
        <v>0</v>
      </c>
      <c r="N15" s="227"/>
      <c r="O15" s="193">
        <f t="shared" si="9"/>
        <v>0</v>
      </c>
    </row>
    <row r="16" spans="1:15" ht="23.25" customHeight="1" x14ac:dyDescent="0.25">
      <c r="A16" s="191"/>
      <c r="B16" s="192"/>
      <c r="C16" s="192"/>
      <c r="D16" s="193"/>
      <c r="E16" s="186"/>
      <c r="F16" s="193">
        <v>0</v>
      </c>
      <c r="G16" s="193">
        <v>0</v>
      </c>
      <c r="H16" s="193">
        <v>0</v>
      </c>
      <c r="I16" s="193">
        <f t="shared" si="6"/>
        <v>0</v>
      </c>
      <c r="J16" s="193">
        <v>0</v>
      </c>
      <c r="K16" s="193">
        <f t="shared" si="7"/>
        <v>0</v>
      </c>
      <c r="L16" s="193">
        <v>0</v>
      </c>
      <c r="M16" s="193">
        <f t="shared" si="8"/>
        <v>0</v>
      </c>
      <c r="N16" s="227"/>
      <c r="O16" s="193">
        <f t="shared" si="9"/>
        <v>0</v>
      </c>
    </row>
    <row r="17" spans="1:15" ht="23.25" customHeight="1" x14ac:dyDescent="0.25">
      <c r="A17" s="191" t="s">
        <v>22</v>
      </c>
      <c r="B17" s="192"/>
      <c r="C17" s="192"/>
      <c r="D17" s="193"/>
      <c r="E17" s="186"/>
      <c r="F17" s="193">
        <v>0</v>
      </c>
      <c r="G17" s="193">
        <v>0</v>
      </c>
      <c r="H17" s="193">
        <v>0</v>
      </c>
      <c r="I17" s="193">
        <f t="shared" si="6"/>
        <v>0</v>
      </c>
      <c r="J17" s="193">
        <v>0</v>
      </c>
      <c r="K17" s="193">
        <f t="shared" si="7"/>
        <v>0</v>
      </c>
      <c r="L17" s="193">
        <v>0</v>
      </c>
      <c r="M17" s="193">
        <f t="shared" si="8"/>
        <v>0</v>
      </c>
      <c r="N17" s="227"/>
      <c r="O17" s="193">
        <f t="shared" si="9"/>
        <v>0</v>
      </c>
    </row>
    <row r="18" spans="1:15" ht="23.25" customHeight="1" x14ac:dyDescent="0.25">
      <c r="A18" s="191"/>
      <c r="B18" s="192"/>
      <c r="C18" s="192"/>
      <c r="D18" s="193"/>
      <c r="E18" s="186"/>
      <c r="F18" s="193">
        <f>I18-E18</f>
        <v>0</v>
      </c>
      <c r="G18" s="193">
        <v>0</v>
      </c>
      <c r="H18" s="193">
        <v>0</v>
      </c>
      <c r="I18" s="193">
        <f t="shared" si="6"/>
        <v>0</v>
      </c>
      <c r="J18" s="193">
        <v>0</v>
      </c>
      <c r="K18" s="193">
        <f t="shared" si="7"/>
        <v>0</v>
      </c>
      <c r="L18" s="193">
        <v>0</v>
      </c>
      <c r="M18" s="193">
        <f t="shared" si="8"/>
        <v>0</v>
      </c>
      <c r="N18" s="227"/>
      <c r="O18" s="193">
        <f t="shared" si="9"/>
        <v>0</v>
      </c>
    </row>
    <row r="19" spans="1:15" ht="23.25" customHeight="1" x14ac:dyDescent="0.25">
      <c r="A19" s="191"/>
      <c r="B19" s="192"/>
      <c r="C19" s="192"/>
      <c r="D19" s="193"/>
      <c r="E19" s="186"/>
      <c r="F19" s="193">
        <f>I19-E19</f>
        <v>0</v>
      </c>
      <c r="G19" s="193">
        <v>0</v>
      </c>
      <c r="H19" s="193">
        <v>0</v>
      </c>
      <c r="I19" s="193">
        <f t="shared" si="6"/>
        <v>0</v>
      </c>
      <c r="J19" s="193">
        <v>0</v>
      </c>
      <c r="K19" s="193">
        <f t="shared" si="7"/>
        <v>0</v>
      </c>
      <c r="L19" s="193">
        <v>0</v>
      </c>
      <c r="M19" s="193">
        <f t="shared" si="8"/>
        <v>0</v>
      </c>
      <c r="N19" s="227"/>
      <c r="O19" s="193">
        <f t="shared" si="9"/>
        <v>0</v>
      </c>
    </row>
    <row r="20" spans="1:15" ht="23.25" customHeight="1" x14ac:dyDescent="0.25">
      <c r="A20" s="191" t="s">
        <v>23</v>
      </c>
      <c r="B20" s="192"/>
      <c r="D20" s="193"/>
      <c r="E20" s="186"/>
      <c r="F20" s="193">
        <f>I20-E20</f>
        <v>0</v>
      </c>
      <c r="G20" s="193">
        <v>0</v>
      </c>
      <c r="H20" s="193">
        <v>0</v>
      </c>
      <c r="I20" s="193">
        <f t="shared" si="6"/>
        <v>0</v>
      </c>
      <c r="J20" s="193">
        <v>0</v>
      </c>
      <c r="K20" s="193">
        <f t="shared" si="7"/>
        <v>0</v>
      </c>
      <c r="L20" s="193">
        <v>0</v>
      </c>
      <c r="M20" s="193">
        <f t="shared" si="8"/>
        <v>0</v>
      </c>
      <c r="N20" s="227"/>
      <c r="O20" s="193">
        <f t="shared" si="9"/>
        <v>0</v>
      </c>
    </row>
    <row r="21" spans="1:15" ht="23.25" customHeight="1" x14ac:dyDescent="0.25">
      <c r="A21" s="191"/>
      <c r="B21" s="192"/>
      <c r="C21" s="192"/>
      <c r="D21" s="193"/>
      <c r="E21" s="186"/>
      <c r="F21" s="193">
        <f>I21-E21</f>
        <v>0</v>
      </c>
      <c r="G21" s="193">
        <v>0</v>
      </c>
      <c r="H21" s="193">
        <v>0</v>
      </c>
      <c r="I21" s="193">
        <f t="shared" si="6"/>
        <v>0</v>
      </c>
      <c r="J21" s="193">
        <v>0</v>
      </c>
      <c r="K21" s="193">
        <f t="shared" si="7"/>
        <v>0</v>
      </c>
      <c r="L21" s="193">
        <v>0</v>
      </c>
      <c r="M21" s="193">
        <f t="shared" si="8"/>
        <v>0</v>
      </c>
      <c r="N21" s="227"/>
      <c r="O21" s="193">
        <f t="shared" si="9"/>
        <v>0</v>
      </c>
    </row>
    <row r="22" spans="1:15" ht="23.25" customHeight="1" x14ac:dyDescent="0.25">
      <c r="A22" s="191"/>
      <c r="B22" s="192"/>
      <c r="C22" s="192"/>
      <c r="D22" s="193"/>
      <c r="E22" s="186"/>
      <c r="F22" s="193">
        <f>I22-E22</f>
        <v>0</v>
      </c>
      <c r="G22" s="193">
        <v>0</v>
      </c>
      <c r="H22" s="193">
        <v>0</v>
      </c>
      <c r="I22" s="193">
        <f t="shared" si="6"/>
        <v>0</v>
      </c>
      <c r="J22" s="193">
        <v>0</v>
      </c>
      <c r="K22" s="193">
        <f t="shared" si="7"/>
        <v>0</v>
      </c>
      <c r="L22" s="193">
        <v>0</v>
      </c>
      <c r="M22" s="193">
        <f t="shared" si="8"/>
        <v>0</v>
      </c>
      <c r="N22" s="227"/>
      <c r="O22" s="193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194">
        <f t="shared" ref="E23:M23" si="10">SUM(E14:E22)</f>
        <v>0</v>
      </c>
      <c r="F23" s="194">
        <f t="shared" si="10"/>
        <v>0</v>
      </c>
      <c r="G23" s="194">
        <f t="shared" si="10"/>
        <v>0</v>
      </c>
      <c r="H23" s="194">
        <f t="shared" si="10"/>
        <v>0</v>
      </c>
      <c r="I23" s="194">
        <f t="shared" si="10"/>
        <v>0</v>
      </c>
      <c r="J23" s="194">
        <f t="shared" si="10"/>
        <v>0</v>
      </c>
      <c r="K23" s="194">
        <f t="shared" si="10"/>
        <v>0</v>
      </c>
      <c r="L23" s="194">
        <f t="shared" si="10"/>
        <v>0</v>
      </c>
      <c r="M23" s="194">
        <f t="shared" si="10"/>
        <v>0</v>
      </c>
      <c r="N23" s="194">
        <f>L23-J23</f>
        <v>0</v>
      </c>
      <c r="O23" s="195">
        <f>SUM(O14:O22)</f>
        <v>0</v>
      </c>
    </row>
    <row r="24" spans="1:15" ht="23.25" customHeight="1" x14ac:dyDescent="0.25">
      <c r="A24" s="191" t="s">
        <v>25</v>
      </c>
      <c r="B24" s="168"/>
      <c r="C24" s="192"/>
      <c r="D24" s="193"/>
      <c r="E24" s="186"/>
      <c r="F24" s="193">
        <f t="shared" ref="F24:F43" si="11">I24-E24</f>
        <v>0</v>
      </c>
      <c r="G24" s="193">
        <v>0</v>
      </c>
      <c r="H24" s="193">
        <v>0</v>
      </c>
      <c r="I24" s="193">
        <f t="shared" ref="I24:I32" si="12">SUM(G24:H24)</f>
        <v>0</v>
      </c>
      <c r="J24" s="193">
        <v>0</v>
      </c>
      <c r="K24" s="193">
        <f t="shared" ref="K24:K32" si="13">SUM(J24)</f>
        <v>0</v>
      </c>
      <c r="L24" s="193">
        <v>0</v>
      </c>
      <c r="M24" s="193">
        <f t="shared" ref="M24:M32" si="14">L24</f>
        <v>0</v>
      </c>
      <c r="N24" s="227"/>
      <c r="O24" s="193">
        <f t="shared" ref="O24:O32" si="15">G24+H24+L24</f>
        <v>0</v>
      </c>
    </row>
    <row r="25" spans="1:15" ht="23.25" customHeight="1" x14ac:dyDescent="0.25">
      <c r="A25" s="191"/>
      <c r="B25" s="169"/>
      <c r="C25" s="192"/>
      <c r="D25" s="193"/>
      <c r="E25" s="186"/>
      <c r="F25" s="193">
        <f t="shared" si="11"/>
        <v>0</v>
      </c>
      <c r="G25" s="193">
        <v>0</v>
      </c>
      <c r="H25" s="193">
        <v>0</v>
      </c>
      <c r="I25" s="193">
        <f t="shared" si="12"/>
        <v>0</v>
      </c>
      <c r="J25" s="193">
        <v>0</v>
      </c>
      <c r="K25" s="193">
        <f t="shared" si="13"/>
        <v>0</v>
      </c>
      <c r="L25" s="193">
        <v>0</v>
      </c>
      <c r="M25" s="193">
        <f t="shared" si="14"/>
        <v>0</v>
      </c>
      <c r="N25" s="227"/>
      <c r="O25" s="193">
        <f t="shared" si="15"/>
        <v>0</v>
      </c>
    </row>
    <row r="26" spans="1:15" ht="23.25" customHeight="1" x14ac:dyDescent="0.25">
      <c r="A26" s="191"/>
      <c r="B26" s="192"/>
      <c r="C26" s="192"/>
      <c r="D26" s="193"/>
      <c r="E26" s="186"/>
      <c r="F26" s="193">
        <f t="shared" si="11"/>
        <v>0</v>
      </c>
      <c r="G26" s="193">
        <v>0</v>
      </c>
      <c r="H26" s="193">
        <v>0</v>
      </c>
      <c r="I26" s="193">
        <f t="shared" si="12"/>
        <v>0</v>
      </c>
      <c r="J26" s="193">
        <v>0</v>
      </c>
      <c r="K26" s="193">
        <f t="shared" si="13"/>
        <v>0</v>
      </c>
      <c r="L26" s="193">
        <v>0</v>
      </c>
      <c r="M26" s="193">
        <f t="shared" si="14"/>
        <v>0</v>
      </c>
      <c r="N26" s="227"/>
      <c r="O26" s="193">
        <f t="shared" si="15"/>
        <v>0</v>
      </c>
    </row>
    <row r="27" spans="1:15" ht="23.25" customHeight="1" x14ac:dyDescent="0.25">
      <c r="A27" s="191" t="s">
        <v>26</v>
      </c>
      <c r="B27" s="192"/>
      <c r="C27" s="192"/>
      <c r="D27" s="193" t="s">
        <v>27</v>
      </c>
      <c r="E27" s="186"/>
      <c r="F27" s="193">
        <f t="shared" si="11"/>
        <v>0</v>
      </c>
      <c r="G27" s="193">
        <v>0</v>
      </c>
      <c r="H27" s="193">
        <v>0</v>
      </c>
      <c r="I27" s="193">
        <f t="shared" si="12"/>
        <v>0</v>
      </c>
      <c r="J27" s="193">
        <v>0</v>
      </c>
      <c r="K27" s="193">
        <f t="shared" si="13"/>
        <v>0</v>
      </c>
      <c r="L27" s="193">
        <v>0</v>
      </c>
      <c r="M27" s="193">
        <f t="shared" si="14"/>
        <v>0</v>
      </c>
      <c r="N27" s="227"/>
      <c r="O27" s="193">
        <f t="shared" si="15"/>
        <v>0</v>
      </c>
    </row>
    <row r="28" spans="1:15" ht="23.25" customHeight="1" x14ac:dyDescent="0.25">
      <c r="A28" s="191"/>
      <c r="B28" s="192"/>
      <c r="C28" s="192"/>
      <c r="D28" s="193"/>
      <c r="E28" s="186"/>
      <c r="F28" s="193">
        <f t="shared" si="11"/>
        <v>0</v>
      </c>
      <c r="G28" s="193">
        <v>0</v>
      </c>
      <c r="H28" s="193">
        <v>0</v>
      </c>
      <c r="I28" s="193">
        <f t="shared" si="12"/>
        <v>0</v>
      </c>
      <c r="J28" s="193">
        <v>0</v>
      </c>
      <c r="K28" s="193">
        <f t="shared" si="13"/>
        <v>0</v>
      </c>
      <c r="L28" s="193">
        <v>0</v>
      </c>
      <c r="M28" s="193">
        <f t="shared" si="14"/>
        <v>0</v>
      </c>
      <c r="N28" s="227"/>
      <c r="O28" s="193">
        <f t="shared" si="15"/>
        <v>0</v>
      </c>
    </row>
    <row r="29" spans="1:15" ht="23.25" customHeight="1" x14ac:dyDescent="0.25">
      <c r="A29" s="191"/>
      <c r="B29" s="192"/>
      <c r="C29" s="192"/>
      <c r="D29" s="193"/>
      <c r="E29" s="186"/>
      <c r="F29" s="193">
        <f t="shared" si="11"/>
        <v>0</v>
      </c>
      <c r="G29" s="193">
        <v>0</v>
      </c>
      <c r="H29" s="193">
        <v>0</v>
      </c>
      <c r="I29" s="193">
        <f t="shared" si="12"/>
        <v>0</v>
      </c>
      <c r="J29" s="193">
        <v>0</v>
      </c>
      <c r="K29" s="193">
        <f t="shared" si="13"/>
        <v>0</v>
      </c>
      <c r="L29" s="193">
        <v>0</v>
      </c>
      <c r="M29" s="193">
        <f t="shared" si="14"/>
        <v>0</v>
      </c>
      <c r="N29" s="227"/>
      <c r="O29" s="193">
        <f t="shared" si="15"/>
        <v>0</v>
      </c>
    </row>
    <row r="30" spans="1:15" ht="23.25" customHeight="1" x14ac:dyDescent="0.25">
      <c r="A30" s="191" t="s">
        <v>28</v>
      </c>
      <c r="B30" s="192"/>
      <c r="C30" s="192"/>
      <c r="D30" s="193"/>
      <c r="E30" s="186"/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f t="shared" si="13"/>
        <v>0</v>
      </c>
      <c r="L30" s="193">
        <v>0</v>
      </c>
      <c r="M30" s="193">
        <f t="shared" si="14"/>
        <v>0</v>
      </c>
      <c r="N30" s="227"/>
      <c r="O30" s="193">
        <f t="shared" si="15"/>
        <v>0</v>
      </c>
    </row>
    <row r="31" spans="1:15" ht="23.25" customHeight="1" x14ac:dyDescent="0.25">
      <c r="A31" s="191"/>
      <c r="B31" s="192"/>
      <c r="C31" s="192"/>
      <c r="D31" s="193"/>
      <c r="E31" s="186"/>
      <c r="F31" s="193">
        <f t="shared" si="11"/>
        <v>0</v>
      </c>
      <c r="G31" s="193">
        <v>0</v>
      </c>
      <c r="H31" s="193">
        <v>0</v>
      </c>
      <c r="I31" s="193">
        <f t="shared" si="12"/>
        <v>0</v>
      </c>
      <c r="J31" s="193">
        <v>0</v>
      </c>
      <c r="K31" s="193">
        <f t="shared" si="13"/>
        <v>0</v>
      </c>
      <c r="L31" s="193">
        <v>0</v>
      </c>
      <c r="M31" s="193">
        <f t="shared" si="14"/>
        <v>0</v>
      </c>
      <c r="N31" s="227"/>
      <c r="O31" s="193">
        <f t="shared" si="15"/>
        <v>0</v>
      </c>
    </row>
    <row r="32" spans="1:15" ht="23.25" customHeight="1" x14ac:dyDescent="0.25">
      <c r="A32" s="191"/>
      <c r="B32" s="192"/>
      <c r="C32" s="192"/>
      <c r="D32" s="193"/>
      <c r="E32" s="186"/>
      <c r="F32" s="193">
        <f t="shared" si="11"/>
        <v>0</v>
      </c>
      <c r="G32" s="193">
        <v>0</v>
      </c>
      <c r="H32" s="193">
        <v>0</v>
      </c>
      <c r="I32" s="193">
        <f t="shared" si="12"/>
        <v>0</v>
      </c>
      <c r="J32" s="193">
        <v>0</v>
      </c>
      <c r="K32" s="193">
        <f t="shared" si="13"/>
        <v>0</v>
      </c>
      <c r="L32" s="193">
        <v>0</v>
      </c>
      <c r="M32" s="193">
        <f t="shared" si="14"/>
        <v>0</v>
      </c>
      <c r="N32" s="227"/>
      <c r="O32" s="193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194">
        <f>SUM(E24:E32)</f>
        <v>0</v>
      </c>
      <c r="F33" s="194">
        <f t="shared" si="11"/>
        <v>0</v>
      </c>
      <c r="G33" s="194">
        <f t="shared" ref="G33:M33" si="16">SUM(G24:G32)</f>
        <v>0</v>
      </c>
      <c r="H33" s="194">
        <f t="shared" si="16"/>
        <v>0</v>
      </c>
      <c r="I33" s="194">
        <f t="shared" si="16"/>
        <v>0</v>
      </c>
      <c r="J33" s="194">
        <f t="shared" si="16"/>
        <v>0</v>
      </c>
      <c r="K33" s="194">
        <f t="shared" si="16"/>
        <v>0</v>
      </c>
      <c r="L33" s="194">
        <f t="shared" si="16"/>
        <v>0</v>
      </c>
      <c r="M33" s="194">
        <f t="shared" si="16"/>
        <v>0</v>
      </c>
      <c r="N33" s="194">
        <f>L33-J33</f>
        <v>0</v>
      </c>
      <c r="O33" s="195">
        <f>SUM(O24:O32)</f>
        <v>0</v>
      </c>
    </row>
    <row r="34" spans="1:15" s="14" customFormat="1" ht="23.25" customHeight="1" x14ac:dyDescent="0.25">
      <c r="A34" s="63" t="s">
        <v>30</v>
      </c>
      <c r="B34" s="192"/>
      <c r="C34" s="192"/>
      <c r="D34" s="64"/>
      <c r="E34" s="192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7"/>
      <c r="O34" s="64">
        <f t="shared" ref="O34:O41" si="20">G34+H34+L34</f>
        <v>0</v>
      </c>
    </row>
    <row r="35" spans="1:15" ht="23.25" customHeight="1" x14ac:dyDescent="0.25">
      <c r="A35" s="191"/>
      <c r="B35" s="192"/>
      <c r="C35" s="192"/>
      <c r="D35" s="193"/>
      <c r="E35" s="186"/>
      <c r="F35" s="193">
        <v>0</v>
      </c>
      <c r="G35" s="193">
        <v>0</v>
      </c>
      <c r="H35" s="193">
        <v>0</v>
      </c>
      <c r="I35" s="193">
        <f t="shared" si="17"/>
        <v>0</v>
      </c>
      <c r="J35" s="193">
        <v>0</v>
      </c>
      <c r="K35" s="193">
        <f t="shared" si="18"/>
        <v>0</v>
      </c>
      <c r="L35" s="193">
        <v>0</v>
      </c>
      <c r="M35" s="193">
        <f t="shared" si="19"/>
        <v>0</v>
      </c>
      <c r="N35" s="227"/>
      <c r="O35" s="193">
        <f t="shared" si="20"/>
        <v>0</v>
      </c>
    </row>
    <row r="36" spans="1:15" ht="23.25" customHeight="1" x14ac:dyDescent="0.25">
      <c r="A36" s="191"/>
      <c r="B36" s="192"/>
      <c r="C36" s="192"/>
      <c r="D36" s="193"/>
      <c r="E36" s="186"/>
      <c r="F36" s="193">
        <v>0</v>
      </c>
      <c r="G36" s="193">
        <v>0</v>
      </c>
      <c r="H36" s="193">
        <v>0</v>
      </c>
      <c r="I36" s="193">
        <f t="shared" si="17"/>
        <v>0</v>
      </c>
      <c r="J36" s="193">
        <v>0</v>
      </c>
      <c r="K36" s="193">
        <f t="shared" si="18"/>
        <v>0</v>
      </c>
      <c r="L36" s="193">
        <v>0</v>
      </c>
      <c r="M36" s="193">
        <f t="shared" si="19"/>
        <v>0</v>
      </c>
      <c r="N36" s="227"/>
      <c r="O36" s="193">
        <f t="shared" si="20"/>
        <v>0</v>
      </c>
    </row>
    <row r="37" spans="1:15" ht="23.25" customHeight="1" x14ac:dyDescent="0.25">
      <c r="B37" s="192"/>
      <c r="C37" s="192"/>
      <c r="D37" s="193"/>
      <c r="E37" s="186"/>
      <c r="F37" s="193">
        <f t="shared" si="11"/>
        <v>0</v>
      </c>
      <c r="G37" s="193">
        <v>0</v>
      </c>
      <c r="H37" s="193">
        <v>0</v>
      </c>
      <c r="I37" s="193">
        <f t="shared" si="17"/>
        <v>0</v>
      </c>
      <c r="J37" s="193">
        <v>0</v>
      </c>
      <c r="K37" s="193">
        <f t="shared" si="18"/>
        <v>0</v>
      </c>
      <c r="L37" s="193">
        <v>0</v>
      </c>
      <c r="M37" s="193">
        <f t="shared" si="19"/>
        <v>0</v>
      </c>
      <c r="N37" s="227"/>
      <c r="O37" s="193">
        <f t="shared" si="20"/>
        <v>0</v>
      </c>
    </row>
    <row r="38" spans="1:15" ht="23.25" customHeight="1" x14ac:dyDescent="0.25">
      <c r="A38" s="63" t="s">
        <v>31</v>
      </c>
      <c r="B38" s="192"/>
      <c r="C38" s="192"/>
      <c r="D38" s="193"/>
      <c r="E38" s="186"/>
      <c r="F38" s="193">
        <v>0</v>
      </c>
      <c r="G38" s="193">
        <v>0</v>
      </c>
      <c r="H38" s="193">
        <v>0</v>
      </c>
      <c r="I38" s="193">
        <f t="shared" si="17"/>
        <v>0</v>
      </c>
      <c r="J38" s="193">
        <v>0</v>
      </c>
      <c r="K38" s="193">
        <f t="shared" si="18"/>
        <v>0</v>
      </c>
      <c r="L38" s="193">
        <v>0</v>
      </c>
      <c r="M38" s="193">
        <f t="shared" si="19"/>
        <v>0</v>
      </c>
      <c r="N38" s="228"/>
      <c r="O38" s="193">
        <f t="shared" si="20"/>
        <v>0</v>
      </c>
    </row>
    <row r="39" spans="1:15" ht="23.25" customHeight="1" x14ac:dyDescent="0.25">
      <c r="A39" s="65"/>
      <c r="B39" s="192"/>
      <c r="C39" s="192"/>
      <c r="D39" s="193"/>
      <c r="E39" s="186"/>
      <c r="F39" s="193">
        <v>0</v>
      </c>
      <c r="G39" s="193">
        <v>0</v>
      </c>
      <c r="H39" s="193">
        <v>0</v>
      </c>
      <c r="I39" s="193">
        <f t="shared" si="17"/>
        <v>0</v>
      </c>
      <c r="J39" s="193">
        <v>0</v>
      </c>
      <c r="K39" s="193">
        <f>SUM(J39)</f>
        <v>0</v>
      </c>
      <c r="L39" s="193">
        <v>0</v>
      </c>
      <c r="M39" s="193">
        <f>L39</f>
        <v>0</v>
      </c>
      <c r="N39" s="228"/>
      <c r="O39" s="193">
        <f>G39+H39+L39</f>
        <v>0</v>
      </c>
    </row>
    <row r="40" spans="1:15" ht="23.25" customHeight="1" x14ac:dyDescent="0.25">
      <c r="A40" s="65"/>
      <c r="C40" s="192"/>
      <c r="D40" s="193"/>
      <c r="E40" s="186"/>
      <c r="F40" s="193">
        <v>0</v>
      </c>
      <c r="G40" s="193">
        <v>0</v>
      </c>
      <c r="H40" s="193">
        <v>0</v>
      </c>
      <c r="I40" s="193">
        <f t="shared" si="17"/>
        <v>0</v>
      </c>
      <c r="J40" s="193">
        <v>0</v>
      </c>
      <c r="K40" s="193">
        <f>SUM(J40)</f>
        <v>0</v>
      </c>
      <c r="L40" s="193">
        <v>0</v>
      </c>
      <c r="M40" s="193">
        <f>L40</f>
        <v>0</v>
      </c>
      <c r="N40" s="228"/>
      <c r="O40" s="193">
        <f>G40+H40+L40</f>
        <v>0</v>
      </c>
    </row>
    <row r="41" spans="1:15" s="14" customFormat="1" ht="23.25" customHeight="1" x14ac:dyDescent="0.25">
      <c r="A41" s="63"/>
      <c r="B41" s="192"/>
      <c r="C41" s="192"/>
      <c r="D41" s="64"/>
      <c r="E41" s="192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0</v>
      </c>
      <c r="G43" s="69">
        <f>E42+G33+G23+G13</f>
        <v>0</v>
      </c>
      <c r="H43" s="69">
        <f t="shared" ref="H43:M43" si="22">H42+H33+H23+H13</f>
        <v>0</v>
      </c>
      <c r="I43" s="69">
        <f t="shared" si="22"/>
        <v>0</v>
      </c>
      <c r="J43" s="69">
        <f t="shared" si="22"/>
        <v>0</v>
      </c>
      <c r="K43" s="69">
        <f t="shared" si="22"/>
        <v>0</v>
      </c>
      <c r="L43" s="69">
        <f t="shared" si="22"/>
        <v>0</v>
      </c>
      <c r="M43" s="69">
        <f t="shared" si="22"/>
        <v>0</v>
      </c>
      <c r="N43" s="69">
        <f>L43-J43</f>
        <v>0</v>
      </c>
      <c r="O43" s="195">
        <f>O42+O33+O23+O13</f>
        <v>0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O1:O2"/>
    <mergeCell ref="N5:N12"/>
    <mergeCell ref="N14:N22"/>
    <mergeCell ref="N24:N32"/>
    <mergeCell ref="N34:N40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46"/>
  <sheetViews>
    <sheetView zoomScaleNormal="100" workbookViewId="0">
      <pane ySplit="4" topLeftCell="A29" activePane="bottomLeft" state="frozen"/>
      <selection pane="bottomLeft" activeCell="F23" sqref="F23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34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/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26">
        <f>L45-J4+N35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O1:O2"/>
    <mergeCell ref="N5:N13"/>
    <mergeCell ref="N15:N23"/>
    <mergeCell ref="N25:N33"/>
    <mergeCell ref="N35:N43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44"/>
  <sheetViews>
    <sheetView zoomScale="70" zoomScaleNormal="70" workbookViewId="0">
      <pane ySplit="4" topLeftCell="A20" activePane="bottomLeft" state="frozen"/>
      <selection pane="bottomLeft" activeCell="C37" sqref="C37"/>
    </sheetView>
  </sheetViews>
  <sheetFormatPr baseColWidth="10" defaultColWidth="9" defaultRowHeight="15.75" x14ac:dyDescent="0.25"/>
  <cols>
    <col min="1" max="1" width="12.125" customWidth="1"/>
    <col min="2" max="2" width="24.25" style="14" bestFit="1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37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 t="s">
        <v>38</v>
      </c>
      <c r="N3" s="71">
        <v>743.85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890.38</v>
      </c>
      <c r="J4" s="65"/>
      <c r="K4" s="73">
        <f>K43</f>
        <v>0</v>
      </c>
      <c r="L4" s="24" t="s">
        <v>16</v>
      </c>
      <c r="M4" s="221"/>
      <c r="N4" s="125">
        <f>L43-J43+N3</f>
        <v>1072.25</v>
      </c>
      <c r="O4" s="2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 t="s">
        <v>39</v>
      </c>
      <c r="C8" s="78" t="s">
        <v>40</v>
      </c>
      <c r="D8" s="85"/>
      <c r="E8" s="65"/>
      <c r="F8" s="75">
        <f t="shared" si="0"/>
        <v>530.71</v>
      </c>
      <c r="G8" s="75">
        <v>530.71</v>
      </c>
      <c r="H8" s="75">
        <v>0</v>
      </c>
      <c r="I8" s="75">
        <f t="shared" si="1"/>
        <v>530.71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530.71</v>
      </c>
    </row>
    <row r="9" spans="1:15" ht="23.25" customHeight="1" x14ac:dyDescent="0.25">
      <c r="A9" s="74"/>
      <c r="B9" s="78"/>
      <c r="C9" s="78" t="s">
        <v>41</v>
      </c>
      <c r="D9" s="85"/>
      <c r="E9" s="65"/>
      <c r="F9" s="75">
        <f t="shared" si="0"/>
        <v>124</v>
      </c>
      <c r="G9" s="75">
        <v>124</v>
      </c>
      <c r="H9" s="75">
        <v>0</v>
      </c>
      <c r="I9" s="75">
        <f t="shared" si="1"/>
        <v>124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124</v>
      </c>
    </row>
    <row r="10" spans="1:15" ht="23.25" customHeight="1" x14ac:dyDescent="0.25">
      <c r="A10" s="74" t="s">
        <v>19</v>
      </c>
      <c r="B10" s="78" t="s">
        <v>27</v>
      </c>
      <c r="C10" s="132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654.71</v>
      </c>
      <c r="G13" s="76">
        <f t="shared" si="5"/>
        <v>654.71</v>
      </c>
      <c r="H13" s="76">
        <f t="shared" si="5"/>
        <v>0</v>
      </c>
      <c r="I13" s="76">
        <f t="shared" si="5"/>
        <v>654.71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654.71</v>
      </c>
    </row>
    <row r="14" spans="1:15" ht="23.25" customHeight="1" x14ac:dyDescent="0.25">
      <c r="A14" s="74" t="s">
        <v>21</v>
      </c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 t="s">
        <v>60</v>
      </c>
      <c r="C30" s="83" t="s">
        <v>63</v>
      </c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328.4</v>
      </c>
      <c r="M30" s="75">
        <f t="shared" si="14"/>
        <v>328.4</v>
      </c>
      <c r="N30" s="228"/>
      <c r="O30" s="75">
        <f t="shared" si="15"/>
        <v>328.4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328.4</v>
      </c>
      <c r="M33" s="76">
        <f t="shared" si="16"/>
        <v>328.4</v>
      </c>
      <c r="N33" s="76">
        <f>L33-J33</f>
        <v>328.4</v>
      </c>
      <c r="O33" s="77">
        <f>SUM(O24:O32)</f>
        <v>328.4</v>
      </c>
    </row>
    <row r="34" spans="1:15" s="14" customFormat="1" ht="23.25" customHeight="1" x14ac:dyDescent="0.25">
      <c r="A34" s="63" t="s">
        <v>30</v>
      </c>
      <c r="B34" s="78"/>
      <c r="C34" s="78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63" t="s">
        <v>36</v>
      </c>
      <c r="B36" s="83" t="s">
        <v>383</v>
      </c>
      <c r="C36" s="83" t="s">
        <v>384</v>
      </c>
      <c r="D36" s="75"/>
      <c r="E36" s="65"/>
      <c r="F36" s="75">
        <v>0</v>
      </c>
      <c r="G36" s="75">
        <v>235.67</v>
      </c>
      <c r="H36" s="75">
        <v>0</v>
      </c>
      <c r="I36" s="75">
        <f t="shared" si="17"/>
        <v>235.67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235.67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78"/>
      <c r="C38" s="78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235.67</v>
      </c>
      <c r="F42" s="67">
        <f t="shared" si="11"/>
        <v>0</v>
      </c>
      <c r="G42" s="67">
        <f t="shared" ref="G42:M42" si="21">SUM(G34:G40)</f>
        <v>235.67</v>
      </c>
      <c r="H42" s="67">
        <f t="shared" si="21"/>
        <v>0</v>
      </c>
      <c r="I42" s="67">
        <f t="shared" si="21"/>
        <v>235.67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235.67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890.38</v>
      </c>
      <c r="G43" s="69">
        <f>E42+G33+G23+G13</f>
        <v>890.38</v>
      </c>
      <c r="H43" s="69">
        <f t="shared" ref="H43:M43" si="22">H42+H33+H23+H13</f>
        <v>0</v>
      </c>
      <c r="I43" s="69">
        <f t="shared" si="22"/>
        <v>890.38</v>
      </c>
      <c r="J43" s="69">
        <f t="shared" si="22"/>
        <v>0</v>
      </c>
      <c r="K43" s="69">
        <f t="shared" si="22"/>
        <v>0</v>
      </c>
      <c r="L43" s="69">
        <f t="shared" si="22"/>
        <v>328.4</v>
      </c>
      <c r="M43" s="69">
        <f t="shared" si="22"/>
        <v>328.4</v>
      </c>
      <c r="N43" s="69">
        <f>L43-J43</f>
        <v>328.4</v>
      </c>
      <c r="O43" s="77">
        <f>O42+O33+O23+O13</f>
        <v>1218.78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O1:O2"/>
    <mergeCell ref="N5:N12"/>
    <mergeCell ref="N14:N22"/>
    <mergeCell ref="N24:N32"/>
    <mergeCell ref="N34:N40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  <ignoredErrors>
    <ignoredError sqref="I14:I17 I34:I36 I38:I4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45"/>
  <sheetViews>
    <sheetView workbookViewId="0">
      <pane ySplit="4" topLeftCell="A14" activePane="bottomLeft" state="frozen"/>
      <selection pane="bottomLeft" activeCell="B22" sqref="B22"/>
    </sheetView>
  </sheetViews>
  <sheetFormatPr baseColWidth="10" defaultColWidth="9" defaultRowHeight="15.75" x14ac:dyDescent="0.25"/>
  <cols>
    <col min="1" max="1" width="12.125" customWidth="1"/>
    <col min="2" max="2" width="23.12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42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2021</v>
      </c>
      <c r="N3" s="71">
        <v>892.34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I44</f>
        <v>0</v>
      </c>
      <c r="J4" s="65"/>
      <c r="K4" s="73">
        <f>K44</f>
        <v>767.57999999999993</v>
      </c>
      <c r="L4" s="24" t="s">
        <v>16</v>
      </c>
      <c r="M4" s="16"/>
      <c r="N4" s="198">
        <f>L44-J44+N3</f>
        <v>124.7600000000001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 t="s">
        <v>43</v>
      </c>
      <c r="C21" s="78"/>
      <c r="D21" s="8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111.57</v>
      </c>
      <c r="K21" s="75">
        <f t="shared" si="8"/>
        <v>111.57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 t="s">
        <v>44</v>
      </c>
      <c r="C22" s="78"/>
      <c r="D22" s="8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200</v>
      </c>
      <c r="K22" s="75">
        <f t="shared" si="8"/>
        <v>200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78" t="s">
        <v>45</v>
      </c>
      <c r="C23" s="78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36.01</v>
      </c>
      <c r="K23" s="75">
        <f t="shared" si="8"/>
        <v>36.01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347.58</v>
      </c>
      <c r="K24" s="76">
        <f t="shared" si="11"/>
        <v>347.58</v>
      </c>
      <c r="L24" s="76">
        <f t="shared" si="11"/>
        <v>0</v>
      </c>
      <c r="M24" s="76">
        <f t="shared" si="11"/>
        <v>0</v>
      </c>
      <c r="N24" s="76">
        <f>L24-J24</f>
        <v>-347.58</v>
      </c>
      <c r="O24" s="77">
        <f>SUM(O15:O23)</f>
        <v>0</v>
      </c>
    </row>
    <row r="25" spans="1:15" ht="23.25" customHeight="1" x14ac:dyDescent="0.25">
      <c r="A25" s="74" t="s">
        <v>25</v>
      </c>
      <c r="B25" s="78" t="s">
        <v>46</v>
      </c>
      <c r="C25" s="78"/>
      <c r="D25" s="75"/>
      <c r="E25" s="65"/>
      <c r="F25" s="75">
        <f t="shared" ref="F25:F44" si="12">I25-E25</f>
        <v>0</v>
      </c>
      <c r="G25" s="75">
        <v>0</v>
      </c>
      <c r="H25" s="75">
        <v>0</v>
      </c>
      <c r="I25" s="75">
        <f t="shared" ref="I25:I32" si="13">SUM(G25:H25)</f>
        <v>0</v>
      </c>
      <c r="J25" s="75">
        <v>420</v>
      </c>
      <c r="K25" s="75">
        <f t="shared" ref="K25:K32" si="14">SUM(J25)</f>
        <v>420</v>
      </c>
      <c r="L25" s="75">
        <v>0</v>
      </c>
      <c r="M25" s="75">
        <f t="shared" ref="M25:M32" si="15">L25</f>
        <v>0</v>
      </c>
      <c r="N25" s="228"/>
      <c r="O25" s="75">
        <f t="shared" ref="O25:O32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26" t="s">
        <v>29</v>
      </c>
      <c r="B33" s="27"/>
      <c r="C33" s="28"/>
      <c r="D33" s="29"/>
      <c r="E33" s="76"/>
      <c r="F33" s="76">
        <f t="shared" si="12"/>
        <v>0</v>
      </c>
      <c r="G33" s="76">
        <v>0</v>
      </c>
      <c r="H33" s="76">
        <f>SUM(H25:H32)</f>
        <v>0</v>
      </c>
      <c r="I33" s="76">
        <v>0</v>
      </c>
      <c r="J33" s="76">
        <f>SUM(J25:J32)</f>
        <v>420</v>
      </c>
      <c r="K33" s="76">
        <f>SUM(K25:K32)</f>
        <v>420</v>
      </c>
      <c r="L33" s="76">
        <f>SUM(L25:L32)</f>
        <v>0</v>
      </c>
      <c r="M33" s="76">
        <f>SUM(M25:M32)</f>
        <v>0</v>
      </c>
      <c r="N33" s="76">
        <f>L33-J33</f>
        <v>-420</v>
      </c>
      <c r="O33" s="77">
        <f>SUM(O25:O32)</f>
        <v>0</v>
      </c>
    </row>
    <row r="34" spans="1:15" ht="23.25" customHeight="1" x14ac:dyDescent="0.25">
      <c r="A34" s="74" t="s">
        <v>30</v>
      </c>
      <c r="B34" s="65"/>
      <c r="C34" s="65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ref="I34:I42" si="17">SUM(G34:H34)</f>
        <v>0</v>
      </c>
      <c r="J34" s="75">
        <v>0</v>
      </c>
      <c r="K34" s="75">
        <f t="shared" ref="K34:K42" si="18">SUM(J34)</f>
        <v>0</v>
      </c>
      <c r="L34" s="75">
        <v>0</v>
      </c>
      <c r="M34" s="75">
        <f t="shared" ref="M34:M42" si="19">L34</f>
        <v>0</v>
      </c>
      <c r="N34" s="228"/>
      <c r="O34" s="75">
        <f t="shared" ref="O34:O42" si="20">G34+H34+L34</f>
        <v>0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A37" s="74" t="s">
        <v>36</v>
      </c>
      <c r="B37" s="65"/>
      <c r="C37" s="65"/>
      <c r="D37" s="65"/>
      <c r="E37" s="65"/>
      <c r="F37" s="75">
        <f t="shared" si="12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 t="shared" si="18"/>
        <v>0</v>
      </c>
      <c r="L39" s="75">
        <v>0</v>
      </c>
      <c r="M39" s="75">
        <f t="shared" si="19"/>
        <v>0</v>
      </c>
      <c r="N39" s="228"/>
      <c r="O39" s="75">
        <f t="shared" si="20"/>
        <v>0</v>
      </c>
    </row>
    <row r="40" spans="1:15" ht="23.25" customHeight="1" x14ac:dyDescent="0.25">
      <c r="A40" s="74" t="s">
        <v>31</v>
      </c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 t="shared" si="18"/>
        <v>0</v>
      </c>
      <c r="L40" s="75">
        <v>0</v>
      </c>
      <c r="M40" s="75">
        <f t="shared" si="19"/>
        <v>0</v>
      </c>
      <c r="N40" s="228"/>
      <c r="O40" s="75">
        <f t="shared" si="20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7"/>
        <v>0</v>
      </c>
      <c r="J41" s="75">
        <v>0</v>
      </c>
      <c r="K41" s="75">
        <f t="shared" si="18"/>
        <v>0</v>
      </c>
      <c r="L41" s="75">
        <v>0</v>
      </c>
      <c r="M41" s="75">
        <f t="shared" si="19"/>
        <v>0</v>
      </c>
      <c r="N41" s="228"/>
      <c r="O41" s="75">
        <f t="shared" si="20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7"/>
        <v>0</v>
      </c>
      <c r="J42" s="75">
        <v>0</v>
      </c>
      <c r="K42" s="75">
        <f t="shared" si="18"/>
        <v>0</v>
      </c>
      <c r="L42" s="75">
        <v>0</v>
      </c>
      <c r="M42" s="75">
        <f t="shared" si="19"/>
        <v>0</v>
      </c>
      <c r="N42" s="228"/>
      <c r="O42" s="75">
        <f t="shared" si="20"/>
        <v>0</v>
      </c>
    </row>
    <row r="43" spans="1:15" ht="23.25" customHeight="1" x14ac:dyDescent="0.25">
      <c r="A43" s="26" t="s">
        <v>32</v>
      </c>
      <c r="B43" s="27"/>
      <c r="C43" s="28"/>
      <c r="D43" s="29"/>
      <c r="E43" s="76">
        <f>SUM(G34:G42)</f>
        <v>0</v>
      </c>
      <c r="F43" s="76">
        <f t="shared" si="12"/>
        <v>0</v>
      </c>
      <c r="G43" s="76">
        <f t="shared" ref="G43:M43" si="21">SUM(G34:G42)</f>
        <v>0</v>
      </c>
      <c r="H43" s="76">
        <f t="shared" si="21"/>
        <v>0</v>
      </c>
      <c r="I43" s="76">
        <f t="shared" si="21"/>
        <v>0</v>
      </c>
      <c r="J43" s="76">
        <f t="shared" si="21"/>
        <v>0</v>
      </c>
      <c r="K43" s="76">
        <f t="shared" si="21"/>
        <v>0</v>
      </c>
      <c r="L43" s="76">
        <f t="shared" si="21"/>
        <v>0</v>
      </c>
      <c r="M43" s="76">
        <f t="shared" si="21"/>
        <v>0</v>
      </c>
      <c r="N43" s="76">
        <f>L43-J43</f>
        <v>0</v>
      </c>
      <c r="O43" s="77">
        <f>SUM(O34:O42)</f>
        <v>0</v>
      </c>
    </row>
    <row r="44" spans="1:15" ht="23.25" customHeight="1" x14ac:dyDescent="0.25">
      <c r="A44" s="30" t="s">
        <v>33</v>
      </c>
      <c r="B44" s="31"/>
      <c r="C44" s="32"/>
      <c r="D44" s="33"/>
      <c r="E44" s="69">
        <f>B43+E33+E24+E14</f>
        <v>0</v>
      </c>
      <c r="F44" s="69">
        <f t="shared" si="12"/>
        <v>0</v>
      </c>
      <c r="G44" s="69">
        <f>E43+G33+G24+G14</f>
        <v>0</v>
      </c>
      <c r="H44" s="69">
        <f t="shared" ref="H44:M44" si="22">H43+H33+H24+H14</f>
        <v>0</v>
      </c>
      <c r="I44" s="69">
        <f t="shared" si="22"/>
        <v>0</v>
      </c>
      <c r="J44" s="69">
        <f t="shared" si="22"/>
        <v>767.57999999999993</v>
      </c>
      <c r="K44" s="69">
        <f t="shared" si="22"/>
        <v>767.57999999999993</v>
      </c>
      <c r="L44" s="69">
        <f t="shared" si="22"/>
        <v>0</v>
      </c>
      <c r="M44" s="69">
        <f t="shared" si="22"/>
        <v>0</v>
      </c>
      <c r="N44" s="69">
        <f>L44-J44</f>
        <v>-767.57999999999993</v>
      </c>
      <c r="O44" s="77">
        <f>O43+O33+O24+O14</f>
        <v>0</v>
      </c>
    </row>
    <row r="45" spans="1:15" x14ac:dyDescent="0.25">
      <c r="A45" s="1"/>
      <c r="B45" s="1"/>
      <c r="C45" s="1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mergeCells count="8">
    <mergeCell ref="O1:O2"/>
    <mergeCell ref="N5:N13"/>
    <mergeCell ref="N15:N23"/>
    <mergeCell ref="N25:N32"/>
    <mergeCell ref="N34:N42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"/>
  <sheetViews>
    <sheetView workbookViewId="0">
      <pane ySplit="4" topLeftCell="A16" activePane="bottomLeft" state="frozen"/>
      <selection pane="bottomLeft" activeCell="B25" sqref="B25"/>
    </sheetView>
  </sheetViews>
  <sheetFormatPr baseColWidth="10" defaultColWidth="9" defaultRowHeight="15.75" x14ac:dyDescent="0.25"/>
  <cols>
    <col min="1" max="1" width="12.125" customWidth="1"/>
    <col min="2" max="2" width="27.875" customWidth="1"/>
    <col min="3" max="3" width="31.37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47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188.88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I49</f>
        <v>350</v>
      </c>
      <c r="J4" s="65"/>
      <c r="K4" s="73">
        <f>K49</f>
        <v>0</v>
      </c>
      <c r="L4" s="16" t="s">
        <v>35</v>
      </c>
      <c r="M4" s="17"/>
      <c r="N4" s="125">
        <f>L49-J49+N3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237" t="s">
        <v>48</v>
      </c>
      <c r="C8" s="65" t="s">
        <v>49</v>
      </c>
      <c r="D8" s="75"/>
      <c r="E8" s="65"/>
      <c r="F8" s="75">
        <f t="shared" si="0"/>
        <v>175</v>
      </c>
      <c r="G8" s="75">
        <v>175</v>
      </c>
      <c r="H8" s="75">
        <v>0</v>
      </c>
      <c r="I8" s="75">
        <f t="shared" si="1"/>
        <v>175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175</v>
      </c>
    </row>
    <row r="9" spans="1:15" ht="23.25" customHeight="1" x14ac:dyDescent="0.25">
      <c r="A9" s="74"/>
      <c r="B9" s="238"/>
      <c r="C9" s="65" t="s">
        <v>49</v>
      </c>
      <c r="D9" s="75"/>
      <c r="E9" s="65"/>
      <c r="F9" s="75">
        <f t="shared" si="0"/>
        <v>175</v>
      </c>
      <c r="G9" s="75">
        <v>175</v>
      </c>
      <c r="H9" s="75">
        <v>0</v>
      </c>
      <c r="I9" s="75">
        <f t="shared" si="1"/>
        <v>175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175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350</v>
      </c>
      <c r="G14" s="76">
        <f t="shared" si="5"/>
        <v>350</v>
      </c>
      <c r="H14" s="76">
        <f t="shared" si="5"/>
        <v>0</v>
      </c>
      <c r="I14" s="76">
        <f t="shared" si="5"/>
        <v>350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350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5" si="6">I15-E15</f>
        <v>0</v>
      </c>
      <c r="G15" s="75">
        <v>0</v>
      </c>
      <c r="H15" s="75">
        <v>0</v>
      </c>
      <c r="I15" s="75">
        <f t="shared" ref="I15:I25" si="7">SUM(G15:H15)</f>
        <v>0</v>
      </c>
      <c r="J15" s="75">
        <v>0</v>
      </c>
      <c r="K15" s="75">
        <f t="shared" ref="K15:K25" si="8">SUM(J15)</f>
        <v>0</v>
      </c>
      <c r="L15" s="75">
        <v>0</v>
      </c>
      <c r="M15" s="75">
        <f t="shared" ref="M15:M24" si="9">L15</f>
        <v>0</v>
      </c>
      <c r="N15" s="228"/>
      <c r="O15" s="75">
        <f t="shared" ref="O15:O26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79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50"/>
      <c r="B18" s="80"/>
      <c r="C18" s="54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50"/>
      <c r="B19" s="80"/>
      <c r="C19" s="54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50"/>
      <c r="B20" s="80"/>
      <c r="C20" s="54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50"/>
      <c r="B21" s="80"/>
      <c r="C21" s="54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50"/>
      <c r="B22" s="80"/>
      <c r="C22" s="5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50" t="s">
        <v>22</v>
      </c>
      <c r="B23" s="127"/>
      <c r="C23" s="37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50"/>
      <c r="B24" s="81"/>
      <c r="C24" s="37"/>
      <c r="D24" s="75"/>
      <c r="E24" s="65"/>
      <c r="F24" s="75">
        <f t="shared" si="6"/>
        <v>0</v>
      </c>
      <c r="G24" s="75">
        <v>0</v>
      </c>
      <c r="H24" s="75">
        <v>0</v>
      </c>
      <c r="I24" s="75">
        <f t="shared" si="7"/>
        <v>0</v>
      </c>
      <c r="J24" s="75">
        <v>0</v>
      </c>
      <c r="K24" s="75">
        <f t="shared" si="8"/>
        <v>0</v>
      </c>
      <c r="L24" s="75">
        <v>0</v>
      </c>
      <c r="M24" s="75">
        <f t="shared" si="9"/>
        <v>0</v>
      </c>
      <c r="N24" s="183"/>
      <c r="O24" s="75">
        <f t="shared" si="10"/>
        <v>0</v>
      </c>
    </row>
    <row r="25" spans="1:15" ht="23.25" customHeight="1" x14ac:dyDescent="0.25">
      <c r="A25" s="50" t="s">
        <v>23</v>
      </c>
      <c r="B25" s="81" t="s">
        <v>50</v>
      </c>
      <c r="C25" s="37"/>
      <c r="D25" s="75"/>
      <c r="E25" s="65"/>
      <c r="F25" s="75">
        <f t="shared" si="6"/>
        <v>0</v>
      </c>
      <c r="G25" s="75">
        <v>0</v>
      </c>
      <c r="H25" s="75">
        <v>0</v>
      </c>
      <c r="I25" s="75">
        <f t="shared" si="7"/>
        <v>0</v>
      </c>
      <c r="J25" s="75">
        <v>100</v>
      </c>
      <c r="K25" s="75">
        <f t="shared" si="8"/>
        <v>100</v>
      </c>
      <c r="L25" s="75">
        <v>0</v>
      </c>
      <c r="M25" s="75">
        <f t="shared" ref="M25:M26" si="11">SUM(L25)</f>
        <v>0</v>
      </c>
      <c r="N25" s="183"/>
      <c r="O25" s="75">
        <f t="shared" si="10"/>
        <v>0</v>
      </c>
    </row>
    <row r="26" spans="1:15" ht="23.25" customHeight="1" x14ac:dyDescent="0.25">
      <c r="A26" s="74"/>
      <c r="B26" s="81" t="s">
        <v>51</v>
      </c>
      <c r="C26" s="78"/>
      <c r="D26" s="115"/>
      <c r="E26" s="65"/>
      <c r="F26" s="75">
        <f t="shared" ref="F26" si="12">I26-E26</f>
        <v>0</v>
      </c>
      <c r="G26" s="75">
        <v>0</v>
      </c>
      <c r="H26" s="75">
        <v>0</v>
      </c>
      <c r="I26" s="75">
        <f t="shared" ref="I26" si="13">SUM(G26:H26)</f>
        <v>0</v>
      </c>
      <c r="J26" s="75">
        <v>88.88</v>
      </c>
      <c r="K26" s="75">
        <f t="shared" ref="K26" si="14">SUM(J26)</f>
        <v>88.88</v>
      </c>
      <c r="L26" s="75">
        <v>0</v>
      </c>
      <c r="M26" s="75">
        <f t="shared" si="11"/>
        <v>0</v>
      </c>
      <c r="N26" s="183"/>
      <c r="O26" s="75">
        <f t="shared" si="10"/>
        <v>0</v>
      </c>
    </row>
    <row r="27" spans="1:15" ht="23.25" customHeight="1" x14ac:dyDescent="0.25">
      <c r="A27" s="180" t="s">
        <v>24</v>
      </c>
      <c r="B27" s="52"/>
      <c r="C27" s="181"/>
      <c r="D27" s="29"/>
      <c r="E27" s="76">
        <f t="shared" ref="E27:M27" si="15">SUM(E15:E23)</f>
        <v>0</v>
      </c>
      <c r="F27" s="76">
        <f t="shared" si="15"/>
        <v>0</v>
      </c>
      <c r="G27" s="76">
        <f t="shared" si="15"/>
        <v>0</v>
      </c>
      <c r="H27" s="76">
        <f t="shared" si="15"/>
        <v>0</v>
      </c>
      <c r="I27" s="76">
        <f t="shared" si="15"/>
        <v>0</v>
      </c>
      <c r="J27" s="76">
        <f>SUM(J18:J26)</f>
        <v>188.88</v>
      </c>
      <c r="K27" s="76">
        <f>SUM(K15:K23)</f>
        <v>0</v>
      </c>
      <c r="L27" s="76">
        <f t="shared" si="15"/>
        <v>0</v>
      </c>
      <c r="M27" s="76">
        <f t="shared" si="15"/>
        <v>0</v>
      </c>
      <c r="N27" s="76">
        <f>L27-J27</f>
        <v>-188.88</v>
      </c>
      <c r="O27" s="77">
        <f>SUM(O15:O23)</f>
        <v>0</v>
      </c>
    </row>
    <row r="28" spans="1:15" ht="23.25" customHeight="1" x14ac:dyDescent="0.25">
      <c r="A28" s="50" t="s">
        <v>25</v>
      </c>
      <c r="B28" s="81"/>
      <c r="C28" s="37"/>
      <c r="D28" s="75"/>
      <c r="E28" s="65"/>
      <c r="F28" s="75">
        <f t="shared" ref="F28:F49" si="16">I28-E28</f>
        <v>0</v>
      </c>
      <c r="G28" s="75">
        <v>0</v>
      </c>
      <c r="H28" s="75">
        <v>0</v>
      </c>
      <c r="I28" s="75">
        <f t="shared" ref="I28:I38" si="17">SUM(G28:H28)</f>
        <v>0</v>
      </c>
      <c r="J28" s="75">
        <v>0</v>
      </c>
      <c r="K28" s="75">
        <f t="shared" ref="K28:K38" si="18">SUM(J28)</f>
        <v>0</v>
      </c>
      <c r="L28" s="75">
        <v>0</v>
      </c>
      <c r="M28" s="75">
        <f t="shared" ref="M28:M38" si="19">L28</f>
        <v>0</v>
      </c>
      <c r="N28" s="228"/>
      <c r="O28" s="75">
        <f t="shared" ref="O28:O38" si="20">G28+H28+L28</f>
        <v>0</v>
      </c>
    </row>
    <row r="29" spans="1:15" ht="23.25" customHeight="1" x14ac:dyDescent="0.25">
      <c r="A29" s="50"/>
      <c r="B29" s="81"/>
      <c r="C29" s="37"/>
      <c r="D29" s="75"/>
      <c r="E29" s="65"/>
      <c r="F29" s="75">
        <f t="shared" si="16"/>
        <v>0</v>
      </c>
      <c r="G29" s="75">
        <v>0</v>
      </c>
      <c r="H29" s="75">
        <v>0</v>
      </c>
      <c r="I29" s="75">
        <f t="shared" si="17"/>
        <v>0</v>
      </c>
      <c r="J29" s="75">
        <v>0</v>
      </c>
      <c r="K29" s="75">
        <f t="shared" si="18"/>
        <v>0</v>
      </c>
      <c r="L29" s="75">
        <v>0</v>
      </c>
      <c r="M29" s="75">
        <f t="shared" si="19"/>
        <v>0</v>
      </c>
      <c r="N29" s="228"/>
      <c r="O29" s="75">
        <f t="shared" si="20"/>
        <v>0</v>
      </c>
    </row>
    <row r="30" spans="1:15" ht="23.25" customHeight="1" x14ac:dyDescent="0.25">
      <c r="A30" s="50"/>
      <c r="B30" s="81"/>
      <c r="C30" s="37"/>
      <c r="D30" s="75"/>
      <c r="E30" s="65"/>
      <c r="F30" s="75">
        <f t="shared" si="16"/>
        <v>0</v>
      </c>
      <c r="G30" s="75">
        <v>0</v>
      </c>
      <c r="H30" s="75">
        <v>0</v>
      </c>
      <c r="I30" s="75">
        <f t="shared" si="17"/>
        <v>0</v>
      </c>
      <c r="J30" s="75">
        <v>0</v>
      </c>
      <c r="K30" s="75">
        <f t="shared" si="18"/>
        <v>0</v>
      </c>
      <c r="L30" s="75">
        <v>0</v>
      </c>
      <c r="M30" s="75">
        <f t="shared" si="19"/>
        <v>0</v>
      </c>
      <c r="N30" s="228"/>
      <c r="O30" s="75">
        <f t="shared" si="20"/>
        <v>0</v>
      </c>
    </row>
    <row r="31" spans="1:15" ht="23.25" customHeight="1" x14ac:dyDescent="0.25">
      <c r="A31" s="50"/>
      <c r="B31" s="81"/>
      <c r="C31" s="37"/>
      <c r="D31" s="75"/>
      <c r="E31" s="65"/>
      <c r="F31" s="75">
        <f>I31-E31</f>
        <v>0</v>
      </c>
      <c r="G31" s="75">
        <v>0</v>
      </c>
      <c r="H31" s="75">
        <v>0</v>
      </c>
      <c r="I31" s="75">
        <f>SUM(G31:H31)</f>
        <v>0</v>
      </c>
      <c r="J31" s="75">
        <v>0</v>
      </c>
      <c r="K31" s="75">
        <f>SUM(J31)</f>
        <v>0</v>
      </c>
      <c r="L31" s="75">
        <v>0</v>
      </c>
      <c r="M31" s="75">
        <f>L31</f>
        <v>0</v>
      </c>
      <c r="N31" s="228"/>
      <c r="O31" s="75">
        <f>G31+H31+L31</f>
        <v>0</v>
      </c>
    </row>
    <row r="32" spans="1:15" ht="23.25" customHeight="1" x14ac:dyDescent="0.25">
      <c r="A32" s="50" t="s">
        <v>26</v>
      </c>
      <c r="B32" s="81"/>
      <c r="C32" s="37"/>
      <c r="D32" s="75"/>
      <c r="E32" s="65"/>
      <c r="F32" s="75">
        <f t="shared" si="16"/>
        <v>0</v>
      </c>
      <c r="G32" s="75">
        <v>0</v>
      </c>
      <c r="H32" s="75">
        <v>0</v>
      </c>
      <c r="I32" s="75">
        <f t="shared" si="17"/>
        <v>0</v>
      </c>
      <c r="J32" s="75">
        <v>0</v>
      </c>
      <c r="K32" s="75">
        <f t="shared" si="18"/>
        <v>0</v>
      </c>
      <c r="L32" s="75">
        <v>0</v>
      </c>
      <c r="M32" s="75">
        <f t="shared" si="19"/>
        <v>0</v>
      </c>
      <c r="N32" s="228"/>
      <c r="O32" s="75">
        <f t="shared" si="20"/>
        <v>0</v>
      </c>
    </row>
    <row r="33" spans="1:15" ht="23.25" customHeight="1" x14ac:dyDescent="0.25">
      <c r="A33" s="50"/>
      <c r="B33" s="81"/>
      <c r="C33" s="37"/>
      <c r="D33" s="75"/>
      <c r="E33" s="65"/>
      <c r="F33" s="75">
        <f t="shared" si="16"/>
        <v>0</v>
      </c>
      <c r="G33" s="75">
        <v>0</v>
      </c>
      <c r="H33" s="75">
        <v>0</v>
      </c>
      <c r="I33" s="75">
        <f t="shared" si="17"/>
        <v>0</v>
      </c>
      <c r="J33" s="75">
        <v>0</v>
      </c>
      <c r="K33" s="75">
        <f t="shared" si="18"/>
        <v>0</v>
      </c>
      <c r="L33" s="75">
        <v>0</v>
      </c>
      <c r="M33" s="75">
        <f t="shared" si="19"/>
        <v>0</v>
      </c>
      <c r="N33" s="228"/>
      <c r="O33" s="75">
        <f t="shared" si="20"/>
        <v>0</v>
      </c>
    </row>
    <row r="34" spans="1:15" ht="23.25" customHeight="1" x14ac:dyDescent="0.25">
      <c r="A34" s="50"/>
      <c r="B34" s="81"/>
      <c r="C34" s="37"/>
      <c r="D34" s="75"/>
      <c r="E34" s="65"/>
      <c r="F34" s="75">
        <f t="shared" si="16"/>
        <v>0</v>
      </c>
      <c r="G34" s="75">
        <v>0</v>
      </c>
      <c r="H34" s="75">
        <v>0</v>
      </c>
      <c r="I34" s="75">
        <f t="shared" si="17"/>
        <v>0</v>
      </c>
      <c r="J34" s="75">
        <v>0</v>
      </c>
      <c r="K34" s="75">
        <f t="shared" si="18"/>
        <v>0</v>
      </c>
      <c r="L34" s="75">
        <v>0</v>
      </c>
      <c r="M34" s="75">
        <f t="shared" si="19"/>
        <v>0</v>
      </c>
      <c r="N34" s="228"/>
      <c r="O34" s="75">
        <f t="shared" si="20"/>
        <v>0</v>
      </c>
    </row>
    <row r="35" spans="1:15" ht="23.25" customHeight="1" x14ac:dyDescent="0.25">
      <c r="A35" s="50"/>
      <c r="B35" s="82"/>
      <c r="C35" s="37"/>
      <c r="D35" s="75"/>
      <c r="E35" s="65"/>
      <c r="F35" s="75">
        <f>I35-E35</f>
        <v>0</v>
      </c>
      <c r="G35" s="75">
        <v>0</v>
      </c>
      <c r="H35" s="75">
        <v>0</v>
      </c>
      <c r="I35" s="75">
        <f>SUM(G35:H35)</f>
        <v>0</v>
      </c>
      <c r="J35" s="75">
        <v>0</v>
      </c>
      <c r="K35" s="75">
        <f>SUM(J35)</f>
        <v>0</v>
      </c>
      <c r="L35" s="75">
        <v>0</v>
      </c>
      <c r="M35" s="75">
        <f>L35</f>
        <v>0</v>
      </c>
      <c r="N35" s="228"/>
      <c r="O35" s="75">
        <f>G35+H35+L35</f>
        <v>0</v>
      </c>
    </row>
    <row r="36" spans="1:15" ht="23.25" customHeight="1" x14ac:dyDescent="0.25">
      <c r="A36" s="74" t="s">
        <v>28</v>
      </c>
      <c r="B36" s="128"/>
      <c r="C36" s="83"/>
      <c r="D36" s="75"/>
      <c r="E36" s="65"/>
      <c r="F36" s="75">
        <f t="shared" si="16"/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6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6"/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26" t="s">
        <v>29</v>
      </c>
      <c r="B39" s="27"/>
      <c r="C39" s="28"/>
      <c r="D39" s="29"/>
      <c r="E39" s="76">
        <f>SUM(E28:E38)</f>
        <v>0</v>
      </c>
      <c r="F39" s="76">
        <f t="shared" si="16"/>
        <v>0</v>
      </c>
      <c r="G39" s="76">
        <f t="shared" ref="G39:M39" si="21">SUM(G28:G38)</f>
        <v>0</v>
      </c>
      <c r="H39" s="76">
        <f t="shared" si="21"/>
        <v>0</v>
      </c>
      <c r="I39" s="76">
        <f t="shared" si="21"/>
        <v>0</v>
      </c>
      <c r="J39" s="76">
        <f t="shared" si="21"/>
        <v>0</v>
      </c>
      <c r="K39" s="76">
        <f t="shared" si="21"/>
        <v>0</v>
      </c>
      <c r="L39" s="76">
        <v>0</v>
      </c>
      <c r="M39" s="76">
        <f t="shared" si="21"/>
        <v>0</v>
      </c>
      <c r="N39" s="76">
        <f>L39-J39</f>
        <v>0</v>
      </c>
      <c r="O39" s="77">
        <f>SUM(O28:O38)</f>
        <v>0</v>
      </c>
    </row>
    <row r="40" spans="1:15" ht="23.25" customHeight="1" x14ac:dyDescent="0.25">
      <c r="A40" s="74" t="s">
        <v>30</v>
      </c>
      <c r="B40" s="65"/>
      <c r="C40" s="65"/>
      <c r="D40" s="75"/>
      <c r="E40" s="65"/>
      <c r="F40" s="75">
        <f t="shared" si="16"/>
        <v>0</v>
      </c>
      <c r="G40" s="75">
        <v>0</v>
      </c>
      <c r="H40" s="75">
        <v>0</v>
      </c>
      <c r="I40" s="75">
        <f t="shared" ref="I40:I47" si="22">SUM(G40:H40)</f>
        <v>0</v>
      </c>
      <c r="J40" s="75">
        <v>0</v>
      </c>
      <c r="K40" s="75">
        <f t="shared" ref="K40:K47" si="23">SUM(J40)</f>
        <v>0</v>
      </c>
      <c r="L40" s="75">
        <v>0</v>
      </c>
      <c r="M40" s="75">
        <f t="shared" ref="M40:M47" si="24">L40</f>
        <v>0</v>
      </c>
      <c r="N40" s="228"/>
      <c r="O40" s="75">
        <f t="shared" ref="O40:O47" si="25">G40+H40+L40</f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6"/>
        <v>0</v>
      </c>
      <c r="G41" s="75">
        <v>0</v>
      </c>
      <c r="H41" s="75">
        <v>0</v>
      </c>
      <c r="I41" s="75">
        <f t="shared" si="22"/>
        <v>0</v>
      </c>
      <c r="J41" s="75">
        <v>0</v>
      </c>
      <c r="K41" s="75">
        <f t="shared" si="23"/>
        <v>0</v>
      </c>
      <c r="L41" s="75">
        <v>0</v>
      </c>
      <c r="M41" s="75">
        <f t="shared" si="24"/>
        <v>0</v>
      </c>
      <c r="N41" s="228"/>
      <c r="O41" s="75">
        <f t="shared" si="25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6"/>
        <v>0</v>
      </c>
      <c r="G42" s="75">
        <v>0</v>
      </c>
      <c r="H42" s="75">
        <v>0</v>
      </c>
      <c r="I42" s="75">
        <f t="shared" si="22"/>
        <v>0</v>
      </c>
      <c r="J42" s="75">
        <v>0</v>
      </c>
      <c r="K42" s="75">
        <f t="shared" si="23"/>
        <v>0</v>
      </c>
      <c r="L42" s="75">
        <v>0</v>
      </c>
      <c r="M42" s="75">
        <f t="shared" si="24"/>
        <v>0</v>
      </c>
      <c r="N42" s="228"/>
      <c r="O42" s="75">
        <f t="shared" si="25"/>
        <v>0</v>
      </c>
    </row>
    <row r="43" spans="1:15" ht="23.25" customHeight="1" x14ac:dyDescent="0.25">
      <c r="A43" s="74" t="s">
        <v>36</v>
      </c>
      <c r="B43" s="65"/>
      <c r="C43" s="65"/>
      <c r="D43" s="75"/>
      <c r="E43" s="65"/>
      <c r="F43" s="75">
        <f t="shared" si="16"/>
        <v>0</v>
      </c>
      <c r="G43" s="75">
        <v>0</v>
      </c>
      <c r="H43" s="75">
        <v>0</v>
      </c>
      <c r="I43" s="75">
        <f t="shared" si="22"/>
        <v>0</v>
      </c>
      <c r="J43" s="75">
        <v>0</v>
      </c>
      <c r="K43" s="75">
        <f t="shared" si="23"/>
        <v>0</v>
      </c>
      <c r="L43" s="75">
        <v>0</v>
      </c>
      <c r="M43" s="75">
        <f t="shared" si="24"/>
        <v>0</v>
      </c>
      <c r="N43" s="228"/>
      <c r="O43" s="75">
        <f t="shared" si="25"/>
        <v>0</v>
      </c>
    </row>
    <row r="44" spans="1:15" ht="23.25" customHeight="1" x14ac:dyDescent="0.25">
      <c r="A44" s="74"/>
      <c r="B44" s="65"/>
      <c r="C44" s="65"/>
      <c r="D44" s="75"/>
      <c r="E44" s="65"/>
      <c r="F44" s="75">
        <f t="shared" si="16"/>
        <v>0</v>
      </c>
      <c r="G44" s="75">
        <v>0</v>
      </c>
      <c r="H44" s="75">
        <v>0</v>
      </c>
      <c r="I44" s="75">
        <f t="shared" si="22"/>
        <v>0</v>
      </c>
      <c r="J44" s="75">
        <v>0</v>
      </c>
      <c r="K44" s="75">
        <f t="shared" si="23"/>
        <v>0</v>
      </c>
      <c r="L44" s="75">
        <v>0</v>
      </c>
      <c r="M44" s="75">
        <f t="shared" si="24"/>
        <v>0</v>
      </c>
      <c r="N44" s="228"/>
      <c r="O44" s="75">
        <f t="shared" si="25"/>
        <v>0</v>
      </c>
    </row>
    <row r="45" spans="1:15" ht="23.25" customHeight="1" x14ac:dyDescent="0.25">
      <c r="A45" s="74" t="s">
        <v>31</v>
      </c>
      <c r="B45" s="65"/>
      <c r="C45" s="65"/>
      <c r="D45" s="75"/>
      <c r="E45" s="65"/>
      <c r="F45" s="75">
        <f t="shared" si="16"/>
        <v>0</v>
      </c>
      <c r="G45" s="75">
        <v>0</v>
      </c>
      <c r="H45" s="75">
        <v>0</v>
      </c>
      <c r="I45" s="75">
        <f t="shared" si="22"/>
        <v>0</v>
      </c>
      <c r="J45" s="75">
        <v>0</v>
      </c>
      <c r="K45" s="75">
        <f t="shared" si="23"/>
        <v>0</v>
      </c>
      <c r="L45" s="75">
        <v>0</v>
      </c>
      <c r="M45" s="75">
        <f t="shared" si="24"/>
        <v>0</v>
      </c>
      <c r="N45" s="228"/>
      <c r="O45" s="75">
        <f t="shared" si="25"/>
        <v>0</v>
      </c>
    </row>
    <row r="46" spans="1:15" ht="23.25" customHeight="1" x14ac:dyDescent="0.25">
      <c r="A46" s="74"/>
      <c r="B46" s="65"/>
      <c r="C46" s="65"/>
      <c r="D46" s="75"/>
      <c r="E46" s="65"/>
      <c r="F46" s="75">
        <f t="shared" si="16"/>
        <v>0</v>
      </c>
      <c r="G46" s="75">
        <v>0</v>
      </c>
      <c r="H46" s="75">
        <v>0</v>
      </c>
      <c r="I46" s="75">
        <f t="shared" si="22"/>
        <v>0</v>
      </c>
      <c r="J46" s="75">
        <v>0</v>
      </c>
      <c r="K46" s="75">
        <f t="shared" si="23"/>
        <v>0</v>
      </c>
      <c r="L46" s="75">
        <v>0</v>
      </c>
      <c r="M46" s="75">
        <f t="shared" si="24"/>
        <v>0</v>
      </c>
      <c r="N46" s="228"/>
      <c r="O46" s="75">
        <f t="shared" si="25"/>
        <v>0</v>
      </c>
    </row>
    <row r="47" spans="1:15" ht="23.25" customHeight="1" x14ac:dyDescent="0.25">
      <c r="A47" s="74"/>
      <c r="B47" s="65"/>
      <c r="C47" s="65"/>
      <c r="D47" s="75"/>
      <c r="E47" s="65"/>
      <c r="F47" s="75">
        <f t="shared" si="16"/>
        <v>0</v>
      </c>
      <c r="G47" s="75">
        <v>0</v>
      </c>
      <c r="H47" s="75">
        <v>0</v>
      </c>
      <c r="I47" s="75">
        <f t="shared" si="22"/>
        <v>0</v>
      </c>
      <c r="J47" s="75">
        <v>0</v>
      </c>
      <c r="K47" s="75">
        <f t="shared" si="23"/>
        <v>0</v>
      </c>
      <c r="L47" s="75">
        <v>0</v>
      </c>
      <c r="M47" s="75">
        <f t="shared" si="24"/>
        <v>0</v>
      </c>
      <c r="N47" s="228"/>
      <c r="O47" s="75">
        <f t="shared" si="25"/>
        <v>0</v>
      </c>
    </row>
    <row r="48" spans="1:15" ht="23.25" customHeight="1" x14ac:dyDescent="0.25">
      <c r="A48" s="26" t="s">
        <v>32</v>
      </c>
      <c r="B48" s="27"/>
      <c r="C48" s="28"/>
      <c r="D48" s="29"/>
      <c r="E48" s="76">
        <f>SUM(G40:G47)</f>
        <v>0</v>
      </c>
      <c r="F48" s="76">
        <f t="shared" si="16"/>
        <v>0</v>
      </c>
      <c r="G48" s="76">
        <f t="shared" ref="G48:M48" si="26">SUM(G40:G47)</f>
        <v>0</v>
      </c>
      <c r="H48" s="76">
        <f t="shared" si="26"/>
        <v>0</v>
      </c>
      <c r="I48" s="76">
        <f t="shared" si="26"/>
        <v>0</v>
      </c>
      <c r="J48" s="76">
        <f t="shared" si="26"/>
        <v>0</v>
      </c>
      <c r="K48" s="76">
        <f t="shared" si="26"/>
        <v>0</v>
      </c>
      <c r="L48" s="76">
        <f t="shared" si="26"/>
        <v>0</v>
      </c>
      <c r="M48" s="76">
        <f t="shared" si="26"/>
        <v>0</v>
      </c>
      <c r="N48" s="76">
        <f>L48-J48</f>
        <v>0</v>
      </c>
      <c r="O48" s="77">
        <f>SUM(O40:O47)</f>
        <v>0</v>
      </c>
    </row>
    <row r="49" spans="1:15" ht="23.25" customHeight="1" x14ac:dyDescent="0.25">
      <c r="A49" s="30" t="s">
        <v>33</v>
      </c>
      <c r="B49" s="31"/>
      <c r="C49" s="32"/>
      <c r="D49" s="33"/>
      <c r="E49" s="69">
        <f>B48+E39+E27+E14</f>
        <v>0</v>
      </c>
      <c r="F49" s="69">
        <f t="shared" si="16"/>
        <v>350</v>
      </c>
      <c r="G49" s="69">
        <f>E48+G39+G27+G14</f>
        <v>350</v>
      </c>
      <c r="H49" s="69">
        <f t="shared" ref="H49:M49" si="27">H48+H39+H27+H14</f>
        <v>0</v>
      </c>
      <c r="I49" s="69">
        <f t="shared" si="27"/>
        <v>350</v>
      </c>
      <c r="J49" s="69">
        <f t="shared" si="27"/>
        <v>188.88</v>
      </c>
      <c r="K49" s="69">
        <f t="shared" si="27"/>
        <v>0</v>
      </c>
      <c r="L49" s="69">
        <f t="shared" si="27"/>
        <v>0</v>
      </c>
      <c r="M49" s="69">
        <f t="shared" si="27"/>
        <v>0</v>
      </c>
      <c r="N49" s="69">
        <f>L49-J49</f>
        <v>-188.88</v>
      </c>
      <c r="O49" s="77">
        <f>O48+O39+O27+O14</f>
        <v>350</v>
      </c>
    </row>
    <row r="50" spans="1:15" x14ac:dyDescent="0.25">
      <c r="A50" s="1"/>
      <c r="B50" s="1"/>
      <c r="C50" s="1"/>
      <c r="D50" s="1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</sheetData>
  <mergeCells count="9">
    <mergeCell ref="O1:O2"/>
    <mergeCell ref="N5:N13"/>
    <mergeCell ref="N15:N23"/>
    <mergeCell ref="N28:N38"/>
    <mergeCell ref="N40:N47"/>
    <mergeCell ref="B8:B9"/>
    <mergeCell ref="G1:I1"/>
    <mergeCell ref="J1:K1"/>
    <mergeCell ref="L1:N1"/>
  </mergeCells>
  <conditionalFormatting sqref="C18:C21">
    <cfRule type="containsText" dxfId="1" priority="1" operator="containsText" text="SIN FACTURA">
      <formula>NOT(ISERROR(SEARCH("SIN FACTURA",C18)))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S46"/>
  <sheetViews>
    <sheetView workbookViewId="0">
      <pane ySplit="4" topLeftCell="A5" activePane="bottomLeft" state="frozen"/>
      <selection pane="bottomLeft" activeCell="O4" sqref="O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9" ht="31.5" customHeight="1" x14ac:dyDescent="0.3">
      <c r="A1" s="7"/>
      <c r="B1" s="12" t="s">
        <v>52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9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9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L3" s="34"/>
      <c r="M3" s="71" t="s">
        <v>53</v>
      </c>
      <c r="N3" s="71">
        <v>575.89</v>
      </c>
      <c r="O3" s="3"/>
    </row>
    <row r="4" spans="1:19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24" t="s">
        <v>16</v>
      </c>
      <c r="M4" s="16"/>
      <c r="N4" s="126">
        <f>L45-J45+N3</f>
        <v>575.89</v>
      </c>
      <c r="O4" s="84" t="s">
        <v>54</v>
      </c>
      <c r="P4" s="35"/>
      <c r="Q4" s="35"/>
      <c r="R4" s="35"/>
      <c r="S4" s="35"/>
    </row>
    <row r="5" spans="1:19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9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9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9" ht="23.25" customHeight="1" x14ac:dyDescent="0.25">
      <c r="A8" s="74" t="s">
        <v>18</v>
      </c>
      <c r="B8" s="78"/>
      <c r="C8" s="78"/>
      <c r="D8" s="8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9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9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9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9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9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9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9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9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8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78"/>
      <c r="C35" s="78"/>
      <c r="D35" s="8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R43"/>
  <sheetViews>
    <sheetView zoomScale="93" zoomScaleNormal="93" workbookViewId="0">
      <pane ySplit="4" topLeftCell="A25" activePane="bottomLeft" state="frozen"/>
      <selection pane="bottomLeft" activeCell="L40" sqref="L40"/>
    </sheetView>
  </sheetViews>
  <sheetFormatPr baseColWidth="10" defaultColWidth="9" defaultRowHeight="15.75" x14ac:dyDescent="0.25"/>
  <cols>
    <col min="1" max="1" width="12.125" customWidth="1"/>
    <col min="2" max="2" width="25.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8" ht="31.5" customHeight="1" x14ac:dyDescent="0.3">
      <c r="A1" s="12" t="s">
        <v>55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8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8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56</v>
      </c>
      <c r="N3" s="71">
        <v>94.38</v>
      </c>
      <c r="O3" s="3"/>
    </row>
    <row r="4" spans="1:18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I42</f>
        <v>274.18</v>
      </c>
      <c r="J4" s="65"/>
      <c r="K4" s="73">
        <f>K42</f>
        <v>439.78</v>
      </c>
      <c r="L4" s="16" t="s">
        <v>35</v>
      </c>
      <c r="M4" s="17"/>
      <c r="N4" s="125">
        <f>L42-J42+N3</f>
        <v>389.82000000000005</v>
      </c>
      <c r="O4" s="25"/>
      <c r="P4">
        <v>2018</v>
      </c>
      <c r="Q4">
        <v>572.91</v>
      </c>
      <c r="R4" t="s">
        <v>14</v>
      </c>
    </row>
    <row r="5" spans="1:18" ht="23.25" customHeight="1" x14ac:dyDescent="0.25">
      <c r="A5" s="74" t="s">
        <v>17</v>
      </c>
      <c r="B5" s="78"/>
      <c r="C5" s="170"/>
      <c r="D5" s="85"/>
      <c r="E5" s="65"/>
      <c r="F5" s="75">
        <f t="shared" ref="F5:F11" si="0">I5-E5</f>
        <v>0</v>
      </c>
      <c r="G5" s="75">
        <v>0</v>
      </c>
      <c r="H5" s="75">
        <v>0</v>
      </c>
      <c r="I5" s="75">
        <f t="shared" ref="I5:I11" si="1">SUM(G5:H5)</f>
        <v>0</v>
      </c>
      <c r="J5" s="75">
        <v>0</v>
      </c>
      <c r="K5" s="75">
        <f t="shared" ref="K5:K11" si="2">SUM(J5)</f>
        <v>0</v>
      </c>
      <c r="L5" s="75">
        <v>0</v>
      </c>
      <c r="M5" s="75">
        <f t="shared" ref="M5:M11" si="3">L5</f>
        <v>0</v>
      </c>
      <c r="N5" s="228"/>
      <c r="O5" s="75">
        <f t="shared" ref="O5:O11" si="4">G5+H5+L5</f>
        <v>0</v>
      </c>
      <c r="P5">
        <v>2018</v>
      </c>
      <c r="Q5">
        <v>123</v>
      </c>
      <c r="R5" t="s">
        <v>57</v>
      </c>
    </row>
    <row r="6" spans="1:18" ht="23.25" customHeight="1" x14ac:dyDescent="0.25">
      <c r="A6" s="74"/>
      <c r="B6" s="78"/>
      <c r="C6" s="78"/>
      <c r="D6" s="8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92">
        <v>0</v>
      </c>
      <c r="M6" s="75">
        <f>L6</f>
        <v>0</v>
      </c>
      <c r="N6" s="228"/>
      <c r="O6" s="75">
        <f>G6+H6+L6</f>
        <v>0</v>
      </c>
      <c r="Q6" s="15">
        <f>Q4-Q5</f>
        <v>449.90999999999997</v>
      </c>
      <c r="R6" t="s">
        <v>58</v>
      </c>
    </row>
    <row r="7" spans="1:18" ht="23.25" customHeight="1" x14ac:dyDescent="0.25">
      <c r="A7" t="s">
        <v>18</v>
      </c>
      <c r="B7" s="78"/>
      <c r="C7" s="78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8" ht="23.25" customHeight="1" x14ac:dyDescent="0.25">
      <c r="A8" s="74"/>
      <c r="B8" s="78"/>
      <c r="C8" s="78"/>
      <c r="D8" s="85"/>
      <c r="E8" s="65"/>
      <c r="F8" s="75"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8" s="14" customFormat="1" ht="23.25" customHeight="1" x14ac:dyDescent="0.25">
      <c r="A9" s="63" t="s">
        <v>19</v>
      </c>
      <c r="B9" s="83" t="s">
        <v>59</v>
      </c>
      <c r="C9" s="83" t="s">
        <v>11</v>
      </c>
      <c r="D9" s="64"/>
      <c r="E9" s="83"/>
      <c r="F9" s="64">
        <f t="shared" si="0"/>
        <v>45.97</v>
      </c>
      <c r="G9" s="64">
        <v>0</v>
      </c>
      <c r="H9" s="64">
        <v>45.97</v>
      </c>
      <c r="I9" s="64">
        <f t="shared" si="1"/>
        <v>45.97</v>
      </c>
      <c r="J9" s="64">
        <v>0</v>
      </c>
      <c r="K9" s="64">
        <f t="shared" si="2"/>
        <v>0</v>
      </c>
      <c r="L9" s="64">
        <v>0</v>
      </c>
      <c r="M9" s="64">
        <f t="shared" si="3"/>
        <v>0</v>
      </c>
      <c r="N9" s="228"/>
      <c r="O9" s="64">
        <f t="shared" si="4"/>
        <v>45.97</v>
      </c>
    </row>
    <row r="10" spans="1:18" ht="23.25" customHeight="1" x14ac:dyDescent="0.25">
      <c r="A10" s="74"/>
      <c r="B10" s="65" t="s">
        <v>59</v>
      </c>
      <c r="C10" s="65"/>
      <c r="D10" s="75"/>
      <c r="E10" s="65"/>
      <c r="F10" s="75">
        <f t="shared" si="0"/>
        <v>92.95</v>
      </c>
      <c r="G10" s="75">
        <v>92.95</v>
      </c>
      <c r="H10" s="75">
        <v>0</v>
      </c>
      <c r="I10" s="75">
        <f t="shared" si="1"/>
        <v>92.95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92.95</v>
      </c>
    </row>
    <row r="11" spans="1:18" ht="23.25" customHeight="1" x14ac:dyDescent="0.25">
      <c r="A11" s="74"/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8" ht="23.25" customHeight="1" x14ac:dyDescent="0.25">
      <c r="A12" s="26" t="s">
        <v>20</v>
      </c>
      <c r="B12" s="27"/>
      <c r="C12" s="28"/>
      <c r="D12" s="29"/>
      <c r="E12" s="76">
        <f t="shared" ref="E12:M12" si="5">SUM(E5:E11)</f>
        <v>0</v>
      </c>
      <c r="F12" s="76">
        <f t="shared" si="5"/>
        <v>138.92000000000002</v>
      </c>
      <c r="G12" s="76">
        <f t="shared" si="5"/>
        <v>92.95</v>
      </c>
      <c r="H12" s="76">
        <f t="shared" si="5"/>
        <v>45.97</v>
      </c>
      <c r="I12" s="76">
        <f t="shared" si="5"/>
        <v>138.92000000000002</v>
      </c>
      <c r="J12" s="76">
        <f t="shared" si="5"/>
        <v>0</v>
      </c>
      <c r="K12" s="76">
        <f t="shared" si="5"/>
        <v>0</v>
      </c>
      <c r="L12" s="76">
        <f t="shared" si="5"/>
        <v>0</v>
      </c>
      <c r="M12" s="76">
        <f t="shared" si="5"/>
        <v>0</v>
      </c>
      <c r="N12" s="76">
        <f>L12-J12</f>
        <v>0</v>
      </c>
      <c r="O12" s="77">
        <f>SUM(O5:O11)</f>
        <v>138.92000000000002</v>
      </c>
    </row>
    <row r="13" spans="1:18" ht="23.25" customHeight="1" x14ac:dyDescent="0.25">
      <c r="A13" s="74" t="s">
        <v>21</v>
      </c>
      <c r="B13" s="65"/>
      <c r="C13" s="65"/>
      <c r="D13" s="75"/>
      <c r="E13" s="65"/>
      <c r="F13" s="75">
        <f t="shared" ref="F13:F21" si="6">I13-E13</f>
        <v>0</v>
      </c>
      <c r="G13" s="75">
        <v>0</v>
      </c>
      <c r="H13" s="75">
        <v>0</v>
      </c>
      <c r="I13" s="75">
        <f t="shared" ref="I13:I21" si="7">SUM(G13:H13)</f>
        <v>0</v>
      </c>
      <c r="J13" s="75">
        <v>0</v>
      </c>
      <c r="K13" s="75">
        <f t="shared" ref="K13:K21" si="8">SUM(J13)</f>
        <v>0</v>
      </c>
      <c r="L13" s="75">
        <v>0</v>
      </c>
      <c r="M13" s="75">
        <f t="shared" ref="M13:M21" si="9">L13</f>
        <v>0</v>
      </c>
      <c r="N13" s="228"/>
      <c r="O13" s="75">
        <f t="shared" ref="O13:O21" si="10">G13+H13+L13</f>
        <v>0</v>
      </c>
    </row>
    <row r="14" spans="1:18" ht="23.25" customHeight="1" x14ac:dyDescent="0.25">
      <c r="A14" s="74"/>
      <c r="B14" s="65"/>
      <c r="C14" s="65"/>
      <c r="D14" s="75"/>
      <c r="E14" s="65"/>
      <c r="F14" s="75">
        <f t="shared" si="6"/>
        <v>0</v>
      </c>
      <c r="G14" s="75">
        <v>0</v>
      </c>
      <c r="H14" s="75">
        <v>0</v>
      </c>
      <c r="I14" s="75">
        <f t="shared" si="7"/>
        <v>0</v>
      </c>
      <c r="J14" s="75">
        <v>0</v>
      </c>
      <c r="K14" s="75">
        <f t="shared" si="8"/>
        <v>0</v>
      </c>
      <c r="L14" s="75">
        <v>45.97</v>
      </c>
      <c r="M14" s="75">
        <f t="shared" si="9"/>
        <v>45.97</v>
      </c>
      <c r="N14" s="228"/>
      <c r="O14" s="75">
        <f t="shared" si="10"/>
        <v>45.97</v>
      </c>
    </row>
    <row r="15" spans="1:18" ht="23.25" customHeight="1" x14ac:dyDescent="0.25">
      <c r="A15" s="74"/>
      <c r="B15" s="65"/>
      <c r="C15" s="65"/>
      <c r="D15" s="75"/>
      <c r="E15" s="65"/>
      <c r="F15" s="75">
        <f t="shared" si="6"/>
        <v>0</v>
      </c>
      <c r="G15" s="75">
        <v>0</v>
      </c>
      <c r="H15" s="75">
        <v>0</v>
      </c>
      <c r="I15" s="75">
        <f t="shared" si="7"/>
        <v>0</v>
      </c>
      <c r="J15" s="75">
        <v>0</v>
      </c>
      <c r="K15" s="75">
        <f t="shared" si="8"/>
        <v>0</v>
      </c>
      <c r="L15" s="75">
        <v>92.95</v>
      </c>
      <c r="M15" s="75">
        <f t="shared" si="9"/>
        <v>92.95</v>
      </c>
      <c r="N15" s="228"/>
      <c r="O15" s="75">
        <f t="shared" si="10"/>
        <v>92.95</v>
      </c>
    </row>
    <row r="16" spans="1:18" ht="23.25" customHeight="1" x14ac:dyDescent="0.25">
      <c r="A16" s="74" t="s">
        <v>22</v>
      </c>
      <c r="B16" s="83" t="s">
        <v>60</v>
      </c>
      <c r="C16" s="78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229.88</v>
      </c>
      <c r="M16" s="75">
        <f t="shared" si="9"/>
        <v>229.88</v>
      </c>
      <c r="N16" s="228"/>
      <c r="O16" s="75">
        <f t="shared" si="10"/>
        <v>229.88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/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 t="s">
        <v>23</v>
      </c>
      <c r="B19" s="78" t="s">
        <v>61</v>
      </c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120</v>
      </c>
      <c r="K19" s="75">
        <f t="shared" si="8"/>
        <v>120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/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26" t="s">
        <v>24</v>
      </c>
      <c r="B22" s="27"/>
      <c r="C22" s="28"/>
      <c r="D22" s="29"/>
      <c r="E22" s="76">
        <f t="shared" ref="E22:M22" si="11">SUM(E13:E21)</f>
        <v>0</v>
      </c>
      <c r="F22" s="76">
        <f t="shared" si="11"/>
        <v>0</v>
      </c>
      <c r="G22" s="76">
        <f t="shared" si="11"/>
        <v>0</v>
      </c>
      <c r="H22" s="76">
        <f t="shared" si="11"/>
        <v>0</v>
      </c>
      <c r="I22" s="76">
        <f t="shared" si="11"/>
        <v>0</v>
      </c>
      <c r="J22" s="76">
        <f t="shared" si="11"/>
        <v>120</v>
      </c>
      <c r="K22" s="76">
        <f t="shared" si="11"/>
        <v>120</v>
      </c>
      <c r="L22" s="76">
        <f t="shared" si="11"/>
        <v>368.8</v>
      </c>
      <c r="M22" s="76">
        <f t="shared" si="11"/>
        <v>368.8</v>
      </c>
      <c r="N22" s="76">
        <f>L22-J22</f>
        <v>248.8</v>
      </c>
      <c r="O22" s="77">
        <f>SUM(O13:O21)</f>
        <v>368.8</v>
      </c>
    </row>
    <row r="23" spans="1:15" ht="23.25" customHeight="1" x14ac:dyDescent="0.25">
      <c r="A23" s="74" t="s">
        <v>25</v>
      </c>
      <c r="B23" s="78" t="s">
        <v>62</v>
      </c>
      <c r="C23" s="78" t="s">
        <v>63</v>
      </c>
      <c r="D23" s="75"/>
      <c r="E23" s="65"/>
      <c r="F23" s="75">
        <f t="shared" ref="F23:F42" si="12">I23-E23</f>
        <v>40.090000000000003</v>
      </c>
      <c r="G23" s="75">
        <v>40.090000000000003</v>
      </c>
      <c r="H23" s="75">
        <v>0</v>
      </c>
      <c r="I23" s="75">
        <f t="shared" ref="I23:I31" si="13">SUM(G23:H23)</f>
        <v>40.090000000000003</v>
      </c>
      <c r="J23" s="199">
        <v>0</v>
      </c>
      <c r="K23" s="75">
        <f t="shared" ref="K23:K31" si="14">SUM(J23)</f>
        <v>0</v>
      </c>
      <c r="L23" s="75">
        <v>0</v>
      </c>
      <c r="M23" s="75">
        <f t="shared" ref="M23:M31" si="15">L23</f>
        <v>0</v>
      </c>
      <c r="N23" s="228"/>
      <c r="O23" s="75">
        <f>G23+H23+L23</f>
        <v>40.090000000000003</v>
      </c>
    </row>
    <row r="24" spans="1:15" ht="23.25" customHeight="1" x14ac:dyDescent="0.25">
      <c r="A24" s="74"/>
      <c r="B24" s="200" t="s">
        <v>64</v>
      </c>
      <c r="C24" s="200" t="s">
        <v>325</v>
      </c>
      <c r="D24" s="75"/>
      <c r="E24" s="65"/>
      <c r="F24" s="75">
        <f t="shared" si="12"/>
        <v>47.48</v>
      </c>
      <c r="G24" s="75">
        <v>47.48</v>
      </c>
      <c r="H24" s="75">
        <v>0</v>
      </c>
      <c r="I24" s="75">
        <f t="shared" si="13"/>
        <v>47.48</v>
      </c>
      <c r="J24" s="75">
        <v>0</v>
      </c>
      <c r="K24" s="75">
        <f t="shared" si="14"/>
        <v>0</v>
      </c>
      <c r="L24" s="75">
        <v>0</v>
      </c>
      <c r="M24" s="75">
        <f t="shared" si="15"/>
        <v>0</v>
      </c>
      <c r="N24" s="228"/>
      <c r="O24" s="75">
        <f t="shared" ref="O24:O31" si="16">G24+H24+L24</f>
        <v>47.48</v>
      </c>
    </row>
    <row r="25" spans="1:15" ht="23.25" customHeight="1" x14ac:dyDescent="0.25">
      <c r="A25" s="74"/>
      <c r="B25" s="65" t="s">
        <v>310</v>
      </c>
      <c r="C25" s="65" t="s">
        <v>63</v>
      </c>
      <c r="D25" s="75"/>
      <c r="E25" s="65"/>
      <c r="F25" s="75">
        <f t="shared" si="12"/>
        <v>47.69</v>
      </c>
      <c r="G25" s="75">
        <v>47.69</v>
      </c>
      <c r="H25" s="75">
        <v>0</v>
      </c>
      <c r="I25" s="75">
        <f t="shared" si="13"/>
        <v>47.69</v>
      </c>
      <c r="J25" s="75">
        <v>0</v>
      </c>
      <c r="K25" s="75">
        <f t="shared" si="14"/>
        <v>0</v>
      </c>
      <c r="L25" s="75">
        <v>0</v>
      </c>
      <c r="M25" s="75">
        <f t="shared" si="15"/>
        <v>0</v>
      </c>
      <c r="N25" s="228"/>
      <c r="O25" s="75">
        <f t="shared" si="16"/>
        <v>47.69</v>
      </c>
    </row>
    <row r="26" spans="1:15" ht="23.25" customHeight="1" x14ac:dyDescent="0.25">
      <c r="A26" s="74"/>
      <c r="B26" s="78" t="s">
        <v>319</v>
      </c>
      <c r="C26" s="78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150</v>
      </c>
      <c r="K26" s="75">
        <f t="shared" si="14"/>
        <v>150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 t="s">
        <v>26</v>
      </c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 t="s">
        <v>28</v>
      </c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26" t="s">
        <v>29</v>
      </c>
      <c r="B32" s="27"/>
      <c r="C32" s="28"/>
      <c r="D32" s="29"/>
      <c r="E32" s="76">
        <f>SUM(E23:E31)</f>
        <v>0</v>
      </c>
      <c r="F32" s="76">
        <f t="shared" si="12"/>
        <v>135.26</v>
      </c>
      <c r="G32" s="76">
        <f t="shared" ref="G32:M32" si="17">SUM(G23:G31)</f>
        <v>135.26</v>
      </c>
      <c r="H32" s="76">
        <f t="shared" si="17"/>
        <v>0</v>
      </c>
      <c r="I32" s="76">
        <f t="shared" si="17"/>
        <v>135.26</v>
      </c>
      <c r="J32" s="76">
        <f t="shared" si="17"/>
        <v>150</v>
      </c>
      <c r="K32" s="76">
        <f t="shared" si="17"/>
        <v>150</v>
      </c>
      <c r="L32" s="76">
        <f t="shared" si="17"/>
        <v>0</v>
      </c>
      <c r="M32" s="76">
        <f t="shared" si="17"/>
        <v>0</v>
      </c>
      <c r="N32" s="76">
        <f>L32-J32</f>
        <v>-150</v>
      </c>
      <c r="O32" s="77">
        <f>SUM(O23:O31)</f>
        <v>135.26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ref="I33:I40" si="18">SUM(G33:H33)</f>
        <v>0</v>
      </c>
      <c r="J33" s="75">
        <v>0</v>
      </c>
      <c r="K33" s="75">
        <f t="shared" ref="K33:K40" si="19">SUM(J33)</f>
        <v>0</v>
      </c>
      <c r="L33" s="75">
        <v>0</v>
      </c>
      <c r="M33" s="75">
        <f t="shared" ref="M33:M40" si="20">L33</f>
        <v>0</v>
      </c>
      <c r="N33" s="228"/>
      <c r="O33" s="75">
        <f t="shared" ref="O33:O40" si="21">G33+H33+L33</f>
        <v>0</v>
      </c>
    </row>
    <row r="34" spans="1:15" ht="23.25" customHeight="1" x14ac:dyDescent="0.25">
      <c r="A34" s="74"/>
      <c r="B34" s="65"/>
      <c r="C34" s="65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8"/>
        <v>0</v>
      </c>
      <c r="J34" s="75">
        <v>0</v>
      </c>
      <c r="K34" s="75">
        <f t="shared" si="19"/>
        <v>0</v>
      </c>
      <c r="L34" s="75">
        <v>0</v>
      </c>
      <c r="M34" s="75">
        <f t="shared" si="20"/>
        <v>0</v>
      </c>
      <c r="N34" s="228"/>
      <c r="O34" s="75">
        <f t="shared" si="21"/>
        <v>0</v>
      </c>
    </row>
    <row r="35" spans="1:15" ht="23.25" customHeight="1" x14ac:dyDescent="0.25">
      <c r="A35" s="74" t="s">
        <v>36</v>
      </c>
      <c r="B35" s="83" t="s">
        <v>60</v>
      </c>
      <c r="C35" s="83" t="s">
        <v>388</v>
      </c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8"/>
        <v>0</v>
      </c>
      <c r="J35" s="75">
        <v>0</v>
      </c>
      <c r="K35" s="75">
        <f t="shared" si="19"/>
        <v>0</v>
      </c>
      <c r="L35" s="75">
        <v>306.45</v>
      </c>
      <c r="M35" s="75">
        <f t="shared" si="20"/>
        <v>306.45</v>
      </c>
      <c r="N35" s="228"/>
      <c r="O35" s="75">
        <f t="shared" si="21"/>
        <v>306.45</v>
      </c>
    </row>
    <row r="36" spans="1:15" ht="23.25" customHeight="1" x14ac:dyDescent="0.25">
      <c r="A36" s="74"/>
      <c r="B36" s="224" t="s">
        <v>389</v>
      </c>
      <c r="C36" s="224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56.98</v>
      </c>
      <c r="K36" s="75">
        <f t="shared" si="19"/>
        <v>56.98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 t="s">
        <v>31</v>
      </c>
      <c r="B37" s="78" t="s">
        <v>390</v>
      </c>
      <c r="C37" s="78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112.8</v>
      </c>
      <c r="K37" s="75">
        <f t="shared" si="19"/>
        <v>112.8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65" t="s">
        <v>60</v>
      </c>
      <c r="C38" s="65" t="s">
        <v>399</v>
      </c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59.97</v>
      </c>
      <c r="M38" s="75">
        <f t="shared" si="20"/>
        <v>59.97</v>
      </c>
      <c r="N38" s="228"/>
      <c r="O38" s="75">
        <f t="shared" si="21"/>
        <v>59.97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ref="F39" si="22">I39-E39</f>
        <v>0</v>
      </c>
      <c r="G39" s="75">
        <v>0</v>
      </c>
      <c r="H39" s="75">
        <v>0</v>
      </c>
      <c r="I39" s="75">
        <f t="shared" ref="I39" si="23">SUM(G39:H39)</f>
        <v>0</v>
      </c>
      <c r="J39" s="75">
        <v>0</v>
      </c>
      <c r="K39" s="75">
        <f t="shared" si="19"/>
        <v>0</v>
      </c>
      <c r="L39" s="75">
        <v>0</v>
      </c>
      <c r="M39" s="75">
        <f t="shared" ref="M39" si="24">L39</f>
        <v>0</v>
      </c>
      <c r="N39" s="228"/>
      <c r="O39" s="75"/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26" t="s">
        <v>32</v>
      </c>
      <c r="B41" s="27"/>
      <c r="C41" s="28"/>
      <c r="D41" s="29"/>
      <c r="E41" s="76">
        <f>SUM(G33:G40)</f>
        <v>0</v>
      </c>
      <c r="F41" s="76">
        <f t="shared" si="12"/>
        <v>0</v>
      </c>
      <c r="G41" s="76">
        <f t="shared" ref="G41:M41" si="25">SUM(G33:G40)</f>
        <v>0</v>
      </c>
      <c r="H41" s="76">
        <f t="shared" si="25"/>
        <v>0</v>
      </c>
      <c r="I41" s="76">
        <f t="shared" si="25"/>
        <v>0</v>
      </c>
      <c r="J41" s="76">
        <f t="shared" si="25"/>
        <v>169.78</v>
      </c>
      <c r="K41" s="76">
        <f t="shared" si="25"/>
        <v>169.78</v>
      </c>
      <c r="L41" s="76">
        <f t="shared" si="25"/>
        <v>366.41999999999996</v>
      </c>
      <c r="M41" s="76">
        <f t="shared" si="25"/>
        <v>366.41999999999996</v>
      </c>
      <c r="N41" s="76">
        <f>L41-J41</f>
        <v>196.63999999999996</v>
      </c>
      <c r="O41" s="77">
        <f>SUM(O33:O40)</f>
        <v>366.41999999999996</v>
      </c>
    </row>
    <row r="42" spans="1:15" ht="23.25" customHeight="1" x14ac:dyDescent="0.25">
      <c r="A42" s="30" t="s">
        <v>33</v>
      </c>
      <c r="B42" s="31"/>
      <c r="C42" s="32"/>
      <c r="D42" s="33"/>
      <c r="E42" s="69">
        <f>B41+E32+E22+E12</f>
        <v>0</v>
      </c>
      <c r="F42" s="69">
        <f t="shared" si="12"/>
        <v>274.18</v>
      </c>
      <c r="G42" s="69">
        <f>E41+G32+G22+G12</f>
        <v>228.20999999999998</v>
      </c>
      <c r="H42" s="69">
        <f t="shared" ref="H42:M42" si="26">H41+H32+H22+H12</f>
        <v>45.97</v>
      </c>
      <c r="I42" s="69">
        <f t="shared" si="26"/>
        <v>274.18</v>
      </c>
      <c r="J42" s="69">
        <f t="shared" si="26"/>
        <v>439.78</v>
      </c>
      <c r="K42" s="69">
        <f t="shared" si="26"/>
        <v>439.78</v>
      </c>
      <c r="L42" s="69">
        <f t="shared" si="26"/>
        <v>735.22</v>
      </c>
      <c r="M42" s="69">
        <f t="shared" si="26"/>
        <v>735.22</v>
      </c>
      <c r="N42" s="69">
        <f>L42-J42</f>
        <v>295.44000000000005</v>
      </c>
      <c r="O42" s="77">
        <f>O41+O32+O22+O12</f>
        <v>1009.4000000000001</v>
      </c>
    </row>
    <row r="43" spans="1:15" x14ac:dyDescent="0.25">
      <c r="A43" s="1"/>
      <c r="B43" s="1"/>
      <c r="C43" s="1"/>
      <c r="D43" s="1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</sheetData>
  <mergeCells count="8">
    <mergeCell ref="O1:O2"/>
    <mergeCell ref="N5:N11"/>
    <mergeCell ref="N13:N21"/>
    <mergeCell ref="N23:N31"/>
    <mergeCell ref="N33:N40"/>
    <mergeCell ref="G1:I1"/>
    <mergeCell ref="J1:K1"/>
    <mergeCell ref="L1:N1"/>
  </mergeCells>
  <pageMargins left="0.7" right="0.7" top="0.75" bottom="0.75" header="0.3" footer="0.3"/>
  <pageSetup paperSize="9" orientation="portrait" r:id="rId1"/>
  <ignoredErrors>
    <ignoredError sqref="I8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O44"/>
  <sheetViews>
    <sheetView workbookViewId="0">
      <pane ySplit="4" topLeftCell="A17" activePane="bottomLeft" state="frozen"/>
      <selection pane="bottomLeft" activeCell="K22" sqref="K22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65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0</v>
      </c>
      <c r="J4" s="65"/>
      <c r="K4" s="73">
        <f>K43</f>
        <v>0</v>
      </c>
      <c r="L4" s="24" t="s">
        <v>16</v>
      </c>
      <c r="M4" s="16"/>
      <c r="N4" s="198">
        <f>L43-J43+N3</f>
        <v>0</v>
      </c>
      <c r="O4" s="25"/>
    </row>
    <row r="5" spans="1:15" ht="23.25" customHeight="1" x14ac:dyDescent="0.25">
      <c r="A5" s="74"/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/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0</v>
      </c>
    </row>
    <row r="14" spans="1:15" ht="23.25" customHeight="1" x14ac:dyDescent="0.25">
      <c r="A14" s="74"/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/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/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0</v>
      </c>
      <c r="G43" s="69">
        <f>E42+G33+G23+G13</f>
        <v>0</v>
      </c>
      <c r="H43" s="69">
        <f t="shared" ref="H43:M43" si="22">H42+H33+H23+H13</f>
        <v>0</v>
      </c>
      <c r="I43" s="69">
        <f t="shared" si="22"/>
        <v>0</v>
      </c>
      <c r="J43" s="69">
        <f t="shared" si="22"/>
        <v>0</v>
      </c>
      <c r="K43" s="69">
        <f t="shared" si="22"/>
        <v>0</v>
      </c>
      <c r="L43" s="69">
        <f t="shared" si="22"/>
        <v>0</v>
      </c>
      <c r="M43" s="69">
        <f t="shared" si="22"/>
        <v>0</v>
      </c>
      <c r="N43" s="69">
        <f>L43-J43</f>
        <v>0</v>
      </c>
      <c r="O43" s="77">
        <f>O42+O33+O23+O13</f>
        <v>0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G1:I1"/>
    <mergeCell ref="J1:K1"/>
    <mergeCell ref="L1:N1"/>
    <mergeCell ref="O1:O2"/>
    <mergeCell ref="N5:N12"/>
    <mergeCell ref="N14:N22"/>
    <mergeCell ref="N24:N32"/>
    <mergeCell ref="N34:N4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O52"/>
  <sheetViews>
    <sheetView workbookViewId="0">
      <pane ySplit="4" topLeftCell="A35" activePane="bottomLeft" state="frozen"/>
      <selection pane="bottomLeft" activeCell="E41" sqref="E41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66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/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I51</f>
        <v>923.7</v>
      </c>
      <c r="J4" s="65"/>
      <c r="K4" s="73">
        <f>K51</f>
        <v>0</v>
      </c>
      <c r="L4" s="16" t="s">
        <v>35</v>
      </c>
      <c r="M4" s="17"/>
      <c r="N4" s="198">
        <f>L51-J4+N41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8" si="0">I5-E5</f>
        <v>0</v>
      </c>
      <c r="G5" s="75">
        <v>0</v>
      </c>
      <c r="H5" s="75">
        <v>0</v>
      </c>
      <c r="I5" s="75">
        <f t="shared" ref="I5:I18" si="1">SUM(G5:H5)</f>
        <v>0</v>
      </c>
      <c r="J5" s="75">
        <v>0</v>
      </c>
      <c r="K5" s="75">
        <f t="shared" ref="K5:K18" si="2">SUM(J5)</f>
        <v>0</v>
      </c>
      <c r="L5" s="75">
        <v>0</v>
      </c>
      <c r="M5" s="75">
        <f t="shared" ref="M5:M18" si="3">L5</f>
        <v>0</v>
      </c>
      <c r="N5" s="228"/>
      <c r="O5" s="75">
        <f t="shared" ref="O5:O18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19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ref="F9" si="5">I9-E9</f>
        <v>0</v>
      </c>
      <c r="G9" s="75">
        <v>0</v>
      </c>
      <c r="H9" s="75">
        <v>0</v>
      </c>
      <c r="I9" s="75">
        <f t="shared" ref="I9" si="6">SUM(G9:H9)</f>
        <v>0</v>
      </c>
      <c r="J9" s="75">
        <v>0</v>
      </c>
      <c r="K9" s="75">
        <f t="shared" ref="K9" si="7">SUM(J9)</f>
        <v>0</v>
      </c>
      <c r="L9" s="75">
        <v>0</v>
      </c>
      <c r="M9" s="75">
        <f t="shared" ref="M9" si="8">L9</f>
        <v>0</v>
      </c>
      <c r="N9" s="228"/>
      <c r="O9" s="75">
        <f t="shared" ref="O9" si="9">G9+H9+L9</f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ref="I11" si="10">SUM(G11:H11)</f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B13" s="65"/>
      <c r="C13" s="83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74"/>
      <c r="B14" s="65"/>
      <c r="C14" s="83"/>
      <c r="D14" s="75"/>
      <c r="E14" s="65"/>
      <c r="F14" s="75">
        <f t="shared" si="0"/>
        <v>0</v>
      </c>
      <c r="G14" s="75">
        <v>0</v>
      </c>
      <c r="H14" s="75">
        <v>0</v>
      </c>
      <c r="I14" s="75">
        <f t="shared" si="1"/>
        <v>0</v>
      </c>
      <c r="J14" s="75">
        <v>0</v>
      </c>
      <c r="K14" s="75">
        <f t="shared" si="2"/>
        <v>0</v>
      </c>
      <c r="L14" s="75">
        <v>0</v>
      </c>
      <c r="M14" s="75">
        <f t="shared" si="3"/>
        <v>0</v>
      </c>
      <c r="N14" s="228"/>
      <c r="O14" s="75">
        <f t="shared" si="4"/>
        <v>0</v>
      </c>
    </row>
    <row r="15" spans="1:15" ht="23.25" customHeight="1" x14ac:dyDescent="0.25">
      <c r="A15" s="74"/>
      <c r="B15" s="65"/>
      <c r="C15" s="65"/>
      <c r="D15" s="75"/>
      <c r="E15" s="65"/>
      <c r="F15" s="75">
        <f t="shared" si="0"/>
        <v>0</v>
      </c>
      <c r="G15" s="75">
        <v>0</v>
      </c>
      <c r="H15" s="75">
        <v>0</v>
      </c>
      <c r="I15" s="75">
        <f t="shared" ref="I15" si="11">SUM(G15:H15)</f>
        <v>0</v>
      </c>
      <c r="J15" s="75">
        <v>0</v>
      </c>
      <c r="K15" s="75">
        <f t="shared" si="2"/>
        <v>0</v>
      </c>
      <c r="L15" s="75">
        <v>0</v>
      </c>
      <c r="M15" s="75">
        <f t="shared" si="3"/>
        <v>0</v>
      </c>
      <c r="N15" s="228"/>
      <c r="O15" s="75">
        <f t="shared" si="4"/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ref="F16:F17" si="12">I16-E16</f>
        <v>0</v>
      </c>
      <c r="G16" s="75">
        <v>0</v>
      </c>
      <c r="H16" s="75">
        <v>0</v>
      </c>
      <c r="I16" s="75">
        <f t="shared" ref="I16:I17" si="13">SUM(G16:H16)</f>
        <v>0</v>
      </c>
      <c r="J16" s="75">
        <v>0</v>
      </c>
      <c r="K16" s="75">
        <f t="shared" ref="K16:K17" si="14">SUM(J16)</f>
        <v>0</v>
      </c>
      <c r="L16" s="75">
        <v>0</v>
      </c>
      <c r="M16" s="75">
        <f t="shared" ref="M16:M17" si="15">L16</f>
        <v>0</v>
      </c>
      <c r="N16" s="228"/>
      <c r="O16" s="75">
        <f t="shared" ref="O16:O17" si="16">G16+H16+L16</f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12"/>
        <v>0</v>
      </c>
      <c r="G17" s="75">
        <v>0</v>
      </c>
      <c r="H17" s="75">
        <v>0</v>
      </c>
      <c r="I17" s="75">
        <f t="shared" si="13"/>
        <v>0</v>
      </c>
      <c r="J17" s="75">
        <v>0</v>
      </c>
      <c r="K17" s="75">
        <f t="shared" si="14"/>
        <v>0</v>
      </c>
      <c r="L17" s="75">
        <v>0</v>
      </c>
      <c r="M17" s="75">
        <f t="shared" si="15"/>
        <v>0</v>
      </c>
      <c r="N17" s="228"/>
      <c r="O17" s="75">
        <f t="shared" si="16"/>
        <v>0</v>
      </c>
    </row>
    <row r="18" spans="1:15" ht="23.25" customHeight="1" x14ac:dyDescent="0.25">
      <c r="A18" s="74"/>
      <c r="B18" s="65"/>
      <c r="C18" s="65"/>
      <c r="D18" s="75"/>
      <c r="E18" s="65"/>
      <c r="F18" s="75">
        <f t="shared" si="0"/>
        <v>0</v>
      </c>
      <c r="G18" s="75">
        <v>0</v>
      </c>
      <c r="H18" s="75">
        <v>0</v>
      </c>
      <c r="I18" s="75">
        <f t="shared" si="1"/>
        <v>0</v>
      </c>
      <c r="J18" s="75">
        <v>0</v>
      </c>
      <c r="K18" s="75">
        <f t="shared" si="2"/>
        <v>0</v>
      </c>
      <c r="L18" s="75">
        <v>0</v>
      </c>
      <c r="M18" s="75">
        <f t="shared" si="3"/>
        <v>0</v>
      </c>
      <c r="N18" s="228"/>
      <c r="O18" s="75">
        <f t="shared" si="4"/>
        <v>0</v>
      </c>
    </row>
    <row r="19" spans="1:15" ht="23.25" customHeight="1" x14ac:dyDescent="0.25">
      <c r="A19" s="26" t="s">
        <v>20</v>
      </c>
      <c r="B19" s="27"/>
      <c r="C19" s="28"/>
      <c r="D19" s="29"/>
      <c r="E19" s="76">
        <f t="shared" ref="E19:M19" si="17">SUM(E5:E18)</f>
        <v>0</v>
      </c>
      <c r="F19" s="76">
        <f t="shared" si="17"/>
        <v>0</v>
      </c>
      <c r="G19" s="76">
        <f t="shared" si="17"/>
        <v>0</v>
      </c>
      <c r="H19" s="76">
        <f t="shared" si="17"/>
        <v>0</v>
      </c>
      <c r="I19" s="76">
        <f t="shared" si="17"/>
        <v>0</v>
      </c>
      <c r="J19" s="76">
        <f t="shared" si="17"/>
        <v>0</v>
      </c>
      <c r="K19" s="76">
        <f t="shared" si="17"/>
        <v>0</v>
      </c>
      <c r="L19" s="76">
        <f t="shared" si="17"/>
        <v>0</v>
      </c>
      <c r="M19" s="76">
        <f t="shared" si="17"/>
        <v>0</v>
      </c>
      <c r="N19" s="76">
        <f>L19-J19</f>
        <v>0</v>
      </c>
      <c r="O19" s="77">
        <f>SUM(O5:O18)</f>
        <v>0</v>
      </c>
    </row>
    <row r="20" spans="1:15" ht="23.25" customHeight="1" x14ac:dyDescent="0.25">
      <c r="A20" s="74" t="s">
        <v>21</v>
      </c>
      <c r="B20" s="65"/>
      <c r="C20" s="65"/>
      <c r="D20" s="75"/>
      <c r="E20" s="65"/>
      <c r="F20" s="75">
        <f t="shared" ref="F20:F29" si="18">I20-E20</f>
        <v>0</v>
      </c>
      <c r="G20" s="75">
        <v>0</v>
      </c>
      <c r="H20" s="75">
        <v>0</v>
      </c>
      <c r="I20" s="75">
        <f t="shared" ref="I20:I29" si="19">SUM(G20:H20)</f>
        <v>0</v>
      </c>
      <c r="J20" s="75">
        <v>0</v>
      </c>
      <c r="K20" s="75">
        <f t="shared" ref="K20:K29" si="20">SUM(J20)</f>
        <v>0</v>
      </c>
      <c r="L20" s="75">
        <v>0</v>
      </c>
      <c r="M20" s="75">
        <f t="shared" ref="M20:M29" si="21">L20</f>
        <v>0</v>
      </c>
      <c r="N20" s="228"/>
      <c r="O20" s="75">
        <f t="shared" ref="O20:O29" si="22">G20+H20+L20</f>
        <v>0</v>
      </c>
    </row>
    <row r="21" spans="1:15" ht="23.25" customHeight="1" x14ac:dyDescent="0.25">
      <c r="A21" s="74"/>
      <c r="B21" s="65"/>
      <c r="C21" s="65"/>
      <c r="D21" s="75"/>
      <c r="E21" s="65"/>
      <c r="F21" s="75">
        <f t="shared" si="18"/>
        <v>0</v>
      </c>
      <c r="G21" s="75">
        <v>0</v>
      </c>
      <c r="H21" s="75">
        <v>0</v>
      </c>
      <c r="I21" s="75">
        <f t="shared" si="19"/>
        <v>0</v>
      </c>
      <c r="J21" s="75">
        <v>0</v>
      </c>
      <c r="K21" s="75">
        <f t="shared" si="20"/>
        <v>0</v>
      </c>
      <c r="L21" s="75">
        <v>0</v>
      </c>
      <c r="M21" s="75">
        <f t="shared" si="21"/>
        <v>0</v>
      </c>
      <c r="N21" s="228"/>
      <c r="O21" s="75">
        <f t="shared" si="22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18"/>
        <v>0</v>
      </c>
      <c r="G22" s="75">
        <v>0</v>
      </c>
      <c r="H22" s="75">
        <v>0</v>
      </c>
      <c r="I22" s="75">
        <f t="shared" si="19"/>
        <v>0</v>
      </c>
      <c r="J22" s="75">
        <v>0</v>
      </c>
      <c r="K22" s="75">
        <f t="shared" si="20"/>
        <v>0</v>
      </c>
      <c r="L22" s="75">
        <v>0</v>
      </c>
      <c r="M22" s="75">
        <f t="shared" si="21"/>
        <v>0</v>
      </c>
      <c r="N22" s="228"/>
      <c r="O22" s="75">
        <f t="shared" si="22"/>
        <v>0</v>
      </c>
    </row>
    <row r="23" spans="1:15" ht="23.25" customHeight="1" x14ac:dyDescent="0.25">
      <c r="A23" s="74" t="s">
        <v>22</v>
      </c>
      <c r="B23" s="81"/>
      <c r="C23" s="78"/>
      <c r="D23" s="75"/>
      <c r="E23" s="65"/>
      <c r="F23" s="75">
        <f t="shared" si="18"/>
        <v>0</v>
      </c>
      <c r="G23" s="75">
        <v>0</v>
      </c>
      <c r="H23" s="75">
        <v>0</v>
      </c>
      <c r="I23" s="75">
        <f t="shared" si="19"/>
        <v>0</v>
      </c>
      <c r="J23" s="75">
        <v>0</v>
      </c>
      <c r="K23" s="75">
        <f t="shared" si="20"/>
        <v>0</v>
      </c>
      <c r="L23" s="75">
        <v>0</v>
      </c>
      <c r="M23" s="75">
        <f t="shared" si="21"/>
        <v>0</v>
      </c>
      <c r="N23" s="228"/>
      <c r="O23" s="75">
        <f t="shared" si="22"/>
        <v>0</v>
      </c>
    </row>
    <row r="24" spans="1:15" ht="23.25" customHeight="1" x14ac:dyDescent="0.25">
      <c r="A24" s="74"/>
      <c r="B24" s="81"/>
      <c r="C24" s="78"/>
      <c r="D24" s="75"/>
      <c r="E24" s="65"/>
      <c r="F24" s="75">
        <f t="shared" si="18"/>
        <v>0</v>
      </c>
      <c r="G24" s="75">
        <v>0</v>
      </c>
      <c r="H24" s="75">
        <v>0</v>
      </c>
      <c r="I24" s="75">
        <f t="shared" si="19"/>
        <v>0</v>
      </c>
      <c r="J24" s="75">
        <v>0</v>
      </c>
      <c r="K24" s="75">
        <f t="shared" si="20"/>
        <v>0</v>
      </c>
      <c r="L24" s="75">
        <v>0</v>
      </c>
      <c r="M24" s="75">
        <f t="shared" si="21"/>
        <v>0</v>
      </c>
      <c r="N24" s="228"/>
      <c r="O24" s="75">
        <f t="shared" si="22"/>
        <v>0</v>
      </c>
    </row>
    <row r="25" spans="1:15" ht="23.25" customHeight="1" x14ac:dyDescent="0.25">
      <c r="A25" s="74"/>
      <c r="B25" s="81"/>
      <c r="C25" s="78"/>
      <c r="D25" s="75"/>
      <c r="E25" s="65"/>
      <c r="F25" s="75">
        <f t="shared" si="18"/>
        <v>0</v>
      </c>
      <c r="G25" s="75">
        <v>0</v>
      </c>
      <c r="H25" s="75">
        <v>0</v>
      </c>
      <c r="I25" s="75">
        <f t="shared" si="19"/>
        <v>0</v>
      </c>
      <c r="J25" s="75">
        <v>0</v>
      </c>
      <c r="K25" s="75">
        <f t="shared" si="20"/>
        <v>0</v>
      </c>
      <c r="L25" s="75">
        <v>0</v>
      </c>
      <c r="M25" s="75">
        <f t="shared" si="21"/>
        <v>0</v>
      </c>
      <c r="N25" s="228"/>
      <c r="O25" s="75">
        <f t="shared" si="22"/>
        <v>0</v>
      </c>
    </row>
    <row r="26" spans="1:15" ht="23.25" customHeight="1" x14ac:dyDescent="0.25">
      <c r="B26" s="81"/>
      <c r="C26" s="78"/>
      <c r="D26" s="75"/>
      <c r="E26" s="65"/>
      <c r="F26" s="75">
        <f t="shared" si="18"/>
        <v>0</v>
      </c>
      <c r="G26" s="75">
        <v>0</v>
      </c>
      <c r="H26" s="75">
        <v>0</v>
      </c>
      <c r="I26" s="75">
        <f t="shared" si="19"/>
        <v>0</v>
      </c>
      <c r="J26" s="75">
        <v>0</v>
      </c>
      <c r="K26" s="75">
        <f t="shared" si="20"/>
        <v>0</v>
      </c>
      <c r="L26" s="75">
        <v>0</v>
      </c>
      <c r="M26" s="75">
        <f t="shared" si="21"/>
        <v>0</v>
      </c>
      <c r="N26" s="228"/>
      <c r="O26" s="75">
        <f t="shared" si="22"/>
        <v>0</v>
      </c>
    </row>
    <row r="27" spans="1:15" ht="23.25" customHeight="1" x14ac:dyDescent="0.25">
      <c r="A27" s="74" t="s">
        <v>23</v>
      </c>
      <c r="B27" s="86"/>
      <c r="C27" s="65"/>
      <c r="D27" s="75"/>
      <c r="E27" s="65"/>
      <c r="F27" s="75">
        <f t="shared" si="18"/>
        <v>0</v>
      </c>
      <c r="G27" s="75">
        <v>0</v>
      </c>
      <c r="H27" s="75">
        <v>0</v>
      </c>
      <c r="I27" s="75">
        <f t="shared" si="19"/>
        <v>0</v>
      </c>
      <c r="J27" s="75">
        <v>0</v>
      </c>
      <c r="K27" s="75">
        <f t="shared" si="20"/>
        <v>0</v>
      </c>
      <c r="L27" s="75">
        <v>0</v>
      </c>
      <c r="M27" s="75">
        <f t="shared" si="21"/>
        <v>0</v>
      </c>
      <c r="N27" s="228"/>
      <c r="O27" s="75">
        <f t="shared" si="22"/>
        <v>0</v>
      </c>
    </row>
    <row r="28" spans="1:15" ht="23.25" customHeight="1" x14ac:dyDescent="0.25">
      <c r="A28" s="74"/>
      <c r="B28" s="86"/>
      <c r="C28" s="65"/>
      <c r="D28" s="75"/>
      <c r="E28" s="65"/>
      <c r="F28" s="75">
        <f t="shared" si="18"/>
        <v>0</v>
      </c>
      <c r="G28" s="75">
        <v>0</v>
      </c>
      <c r="H28" s="75">
        <v>0</v>
      </c>
      <c r="I28" s="75">
        <f t="shared" si="19"/>
        <v>0</v>
      </c>
      <c r="J28" s="75">
        <v>0</v>
      </c>
      <c r="K28" s="75">
        <f t="shared" si="20"/>
        <v>0</v>
      </c>
      <c r="L28" s="75">
        <v>0</v>
      </c>
      <c r="M28" s="75">
        <f t="shared" si="21"/>
        <v>0</v>
      </c>
      <c r="N28" s="228"/>
      <c r="O28" s="75">
        <f t="shared" si="22"/>
        <v>0</v>
      </c>
    </row>
    <row r="29" spans="1:15" ht="23.25" customHeight="1" x14ac:dyDescent="0.25">
      <c r="A29" s="74"/>
      <c r="B29" s="86"/>
      <c r="C29" s="83"/>
      <c r="D29" s="75"/>
      <c r="E29" s="65"/>
      <c r="F29" s="75">
        <f t="shared" si="18"/>
        <v>0</v>
      </c>
      <c r="G29" s="75">
        <v>0</v>
      </c>
      <c r="H29" s="75">
        <v>0</v>
      </c>
      <c r="I29" s="75">
        <f t="shared" si="19"/>
        <v>0</v>
      </c>
      <c r="J29" s="75">
        <v>0</v>
      </c>
      <c r="K29" s="75">
        <f t="shared" si="20"/>
        <v>0</v>
      </c>
      <c r="L29" s="75">
        <v>0</v>
      </c>
      <c r="M29" s="75">
        <f t="shared" si="21"/>
        <v>0</v>
      </c>
      <c r="N29" s="183"/>
      <c r="O29" s="75">
        <f t="shared" si="22"/>
        <v>0</v>
      </c>
    </row>
    <row r="30" spans="1:15" ht="23.25" customHeight="1" x14ac:dyDescent="0.25">
      <c r="A30" s="26" t="s">
        <v>24</v>
      </c>
      <c r="B30" s="27"/>
      <c r="C30" s="28"/>
      <c r="D30" s="29"/>
      <c r="E30" s="76">
        <f t="shared" ref="E30:M30" si="23">SUM(E20:E28)</f>
        <v>0</v>
      </c>
      <c r="F30" s="76">
        <f t="shared" si="23"/>
        <v>0</v>
      </c>
      <c r="G30" s="76">
        <f t="shared" si="23"/>
        <v>0</v>
      </c>
      <c r="H30" s="76">
        <f t="shared" si="23"/>
        <v>0</v>
      </c>
      <c r="I30" s="76">
        <f t="shared" si="23"/>
        <v>0</v>
      </c>
      <c r="J30" s="76">
        <f t="shared" si="23"/>
        <v>0</v>
      </c>
      <c r="K30" s="76">
        <f t="shared" si="23"/>
        <v>0</v>
      </c>
      <c r="L30" s="76">
        <f t="shared" si="23"/>
        <v>0</v>
      </c>
      <c r="M30" s="76">
        <f t="shared" si="23"/>
        <v>0</v>
      </c>
      <c r="N30" s="76">
        <f>L30-J30</f>
        <v>0</v>
      </c>
      <c r="O30" s="77">
        <f>SUM(O20:O28)</f>
        <v>0</v>
      </c>
    </row>
    <row r="31" spans="1:15" ht="23.25" customHeight="1" x14ac:dyDescent="0.25">
      <c r="A31" s="74" t="s">
        <v>25</v>
      </c>
      <c r="B31" s="81"/>
      <c r="C31" s="78"/>
      <c r="D31" s="75"/>
      <c r="E31" s="65"/>
      <c r="F31" s="75">
        <f t="shared" ref="F31:F51" si="24">I31-E31</f>
        <v>0</v>
      </c>
      <c r="G31" s="75">
        <v>0</v>
      </c>
      <c r="H31" s="75">
        <v>0</v>
      </c>
      <c r="I31" s="75">
        <f t="shared" ref="I31:I39" si="25">SUM(G31:H31)</f>
        <v>0</v>
      </c>
      <c r="J31" s="75">
        <v>0</v>
      </c>
      <c r="K31" s="75">
        <f t="shared" ref="K31:K39" si="26">SUM(J31)</f>
        <v>0</v>
      </c>
      <c r="L31" s="75">
        <v>0</v>
      </c>
      <c r="M31" s="75">
        <f t="shared" ref="M31:M39" si="27">L31</f>
        <v>0</v>
      </c>
      <c r="N31" s="228"/>
      <c r="O31" s="75">
        <f t="shared" ref="O31:O39" si="28">G31+H31+L31</f>
        <v>0</v>
      </c>
    </row>
    <row r="32" spans="1:15" ht="23.25" customHeight="1" x14ac:dyDescent="0.25">
      <c r="A32" s="74"/>
      <c r="B32" s="81"/>
      <c r="C32" s="78"/>
      <c r="D32" s="75"/>
      <c r="E32" s="65"/>
      <c r="F32" s="75">
        <f t="shared" si="24"/>
        <v>0</v>
      </c>
      <c r="G32" s="75">
        <v>0</v>
      </c>
      <c r="H32" s="75">
        <v>0</v>
      </c>
      <c r="I32" s="75">
        <f t="shared" si="25"/>
        <v>0</v>
      </c>
      <c r="J32" s="75">
        <v>0</v>
      </c>
      <c r="K32" s="75">
        <f t="shared" si="26"/>
        <v>0</v>
      </c>
      <c r="L32" s="75">
        <v>0</v>
      </c>
      <c r="M32" s="75">
        <f t="shared" si="27"/>
        <v>0</v>
      </c>
      <c r="N32" s="228"/>
      <c r="O32" s="75">
        <f t="shared" si="28"/>
        <v>0</v>
      </c>
    </row>
    <row r="33" spans="1:15" ht="23.25" customHeight="1" x14ac:dyDescent="0.25">
      <c r="A33" s="74"/>
      <c r="B33" s="81"/>
      <c r="C33" s="78"/>
      <c r="D33" s="75"/>
      <c r="E33" s="65"/>
      <c r="F33" s="75">
        <f t="shared" si="24"/>
        <v>0</v>
      </c>
      <c r="G33" s="75">
        <v>0</v>
      </c>
      <c r="H33" s="75">
        <v>0</v>
      </c>
      <c r="I33" s="75">
        <f t="shared" si="25"/>
        <v>0</v>
      </c>
      <c r="J33" s="75">
        <v>0</v>
      </c>
      <c r="K33" s="75">
        <f t="shared" si="26"/>
        <v>0</v>
      </c>
      <c r="L33" s="75">
        <v>0</v>
      </c>
      <c r="M33" s="75">
        <f t="shared" si="27"/>
        <v>0</v>
      </c>
      <c r="N33" s="228"/>
      <c r="O33" s="75">
        <f t="shared" si="28"/>
        <v>0</v>
      </c>
    </row>
    <row r="34" spans="1:15" ht="23.25" customHeight="1" thickBot="1" x14ac:dyDescent="0.3">
      <c r="A34" s="74"/>
      <c r="B34" s="61"/>
      <c r="C34" s="201"/>
      <c r="D34" s="75"/>
      <c r="E34" s="65"/>
      <c r="F34" s="75">
        <v>0</v>
      </c>
      <c r="G34" s="75">
        <v>0</v>
      </c>
      <c r="H34" s="75">
        <v>0</v>
      </c>
      <c r="I34" s="75">
        <f t="shared" si="25"/>
        <v>0</v>
      </c>
      <c r="J34" s="75">
        <v>0</v>
      </c>
      <c r="K34" s="75">
        <f t="shared" si="26"/>
        <v>0</v>
      </c>
      <c r="L34" s="75">
        <v>0</v>
      </c>
      <c r="M34" s="75">
        <f t="shared" si="27"/>
        <v>0</v>
      </c>
      <c r="N34" s="228"/>
      <c r="O34" s="75">
        <f t="shared" si="28"/>
        <v>0</v>
      </c>
    </row>
    <row r="35" spans="1:15" ht="23.25" customHeight="1" x14ac:dyDescent="0.25">
      <c r="A35" s="50" t="s">
        <v>28</v>
      </c>
      <c r="B35" s="202" t="s">
        <v>337</v>
      </c>
      <c r="C35" s="203" t="s">
        <v>338</v>
      </c>
      <c r="D35" s="115"/>
      <c r="E35" s="65"/>
      <c r="F35" s="75">
        <v>0</v>
      </c>
      <c r="G35" s="75">
        <v>0</v>
      </c>
      <c r="H35" s="75">
        <v>102.6</v>
      </c>
      <c r="I35" s="75">
        <f t="shared" si="25"/>
        <v>102.6</v>
      </c>
      <c r="J35" s="75">
        <v>0</v>
      </c>
      <c r="K35" s="75">
        <f t="shared" si="26"/>
        <v>0</v>
      </c>
      <c r="L35" s="75">
        <v>0</v>
      </c>
      <c r="M35" s="75">
        <f t="shared" si="27"/>
        <v>0</v>
      </c>
      <c r="N35" s="228"/>
      <c r="O35" s="75">
        <f t="shared" si="28"/>
        <v>102.6</v>
      </c>
    </row>
    <row r="36" spans="1:15" ht="23.25" customHeight="1" x14ac:dyDescent="0.25">
      <c r="A36" s="50"/>
      <c r="B36" s="204"/>
      <c r="C36" s="205" t="s">
        <v>63</v>
      </c>
      <c r="D36" s="115"/>
      <c r="E36" s="65"/>
      <c r="F36" s="75">
        <v>0</v>
      </c>
      <c r="G36" s="75">
        <v>0</v>
      </c>
      <c r="H36" s="75">
        <v>312.26</v>
      </c>
      <c r="I36" s="75">
        <f t="shared" si="25"/>
        <v>312.26</v>
      </c>
      <c r="J36" s="75">
        <v>0</v>
      </c>
      <c r="K36" s="75">
        <f t="shared" si="26"/>
        <v>0</v>
      </c>
      <c r="L36" s="75">
        <v>0</v>
      </c>
      <c r="M36" s="75">
        <f t="shared" si="27"/>
        <v>0</v>
      </c>
      <c r="N36" s="228"/>
      <c r="O36" s="75">
        <f t="shared" si="28"/>
        <v>312.26</v>
      </c>
    </row>
    <row r="37" spans="1:15" ht="23.25" customHeight="1" x14ac:dyDescent="0.25">
      <c r="A37" s="25"/>
      <c r="B37" s="206"/>
      <c r="C37" s="205" t="s">
        <v>339</v>
      </c>
      <c r="D37" s="115"/>
      <c r="E37" s="65"/>
      <c r="F37" s="75">
        <v>0</v>
      </c>
      <c r="G37" s="75">
        <v>0</v>
      </c>
      <c r="H37" s="75">
        <v>164.1</v>
      </c>
      <c r="I37" s="75">
        <f t="shared" si="25"/>
        <v>164.1</v>
      </c>
      <c r="J37" s="75">
        <v>0</v>
      </c>
      <c r="K37" s="75">
        <f t="shared" si="26"/>
        <v>0</v>
      </c>
      <c r="L37" s="75">
        <v>0</v>
      </c>
      <c r="M37" s="75">
        <f t="shared" si="27"/>
        <v>0</v>
      </c>
      <c r="N37" s="228"/>
      <c r="O37" s="75">
        <f t="shared" si="28"/>
        <v>164.1</v>
      </c>
    </row>
    <row r="38" spans="1:15" ht="23.25" customHeight="1" thickBot="1" x14ac:dyDescent="0.3">
      <c r="A38" s="50"/>
      <c r="B38" s="207"/>
      <c r="C38" s="208" t="s">
        <v>120</v>
      </c>
      <c r="D38" s="115"/>
      <c r="E38" s="65"/>
      <c r="F38" s="75">
        <v>0</v>
      </c>
      <c r="G38" s="75">
        <v>0</v>
      </c>
      <c r="H38" s="75">
        <v>54.34</v>
      </c>
      <c r="I38" s="75">
        <f t="shared" si="25"/>
        <v>54.34</v>
      </c>
      <c r="J38" s="75">
        <v>0</v>
      </c>
      <c r="K38" s="75">
        <f t="shared" si="26"/>
        <v>0</v>
      </c>
      <c r="L38" s="75">
        <v>0</v>
      </c>
      <c r="M38" s="75">
        <f t="shared" si="27"/>
        <v>0</v>
      </c>
      <c r="N38" s="228"/>
      <c r="O38" s="75">
        <f t="shared" si="28"/>
        <v>54.34</v>
      </c>
    </row>
    <row r="39" spans="1:15" ht="23.25" customHeight="1" x14ac:dyDescent="0.25">
      <c r="A39" s="74"/>
      <c r="B39" s="127"/>
      <c r="C39" s="141"/>
      <c r="D39" s="75"/>
      <c r="E39" s="65"/>
      <c r="F39" s="75">
        <f t="shared" si="24"/>
        <v>0</v>
      </c>
      <c r="G39" s="75">
        <v>0</v>
      </c>
      <c r="H39" s="75">
        <v>0</v>
      </c>
      <c r="I39" s="75">
        <f t="shared" si="25"/>
        <v>0</v>
      </c>
      <c r="J39" s="75">
        <v>0</v>
      </c>
      <c r="K39" s="75">
        <f t="shared" si="26"/>
        <v>0</v>
      </c>
      <c r="L39" s="75">
        <v>0</v>
      </c>
      <c r="M39" s="75">
        <f t="shared" si="27"/>
        <v>0</v>
      </c>
      <c r="N39" s="228"/>
      <c r="O39" s="75">
        <f t="shared" si="28"/>
        <v>0</v>
      </c>
    </row>
    <row r="40" spans="1:15" ht="23.25" customHeight="1" x14ac:dyDescent="0.25">
      <c r="A40" s="26" t="s">
        <v>29</v>
      </c>
      <c r="B40" s="27"/>
      <c r="C40" s="28"/>
      <c r="D40" s="29"/>
      <c r="E40" s="76">
        <f>SUM(E31:E39)</f>
        <v>0</v>
      </c>
      <c r="F40" s="76">
        <f t="shared" si="24"/>
        <v>633.30000000000007</v>
      </c>
      <c r="G40" s="76">
        <f t="shared" ref="G40:M40" si="29">SUM(G31:G39)</f>
        <v>0</v>
      </c>
      <c r="H40" s="76">
        <f t="shared" si="29"/>
        <v>633.30000000000007</v>
      </c>
      <c r="I40" s="76">
        <f t="shared" si="29"/>
        <v>633.30000000000007</v>
      </c>
      <c r="J40" s="76">
        <f t="shared" si="29"/>
        <v>0</v>
      </c>
      <c r="K40" s="76">
        <f t="shared" si="29"/>
        <v>0</v>
      </c>
      <c r="L40" s="76">
        <f t="shared" si="29"/>
        <v>0</v>
      </c>
      <c r="M40" s="76">
        <f t="shared" si="29"/>
        <v>0</v>
      </c>
      <c r="N40" s="76">
        <f>L40-J40</f>
        <v>0</v>
      </c>
      <c r="O40" s="77">
        <f>SUM(O31:O39)</f>
        <v>633.30000000000007</v>
      </c>
    </row>
    <row r="41" spans="1:15" ht="23.25" customHeight="1" x14ac:dyDescent="0.25">
      <c r="A41" s="74" t="s">
        <v>30</v>
      </c>
      <c r="B41" s="78"/>
      <c r="C41" s="78"/>
      <c r="D41" s="75"/>
      <c r="E41" s="65"/>
      <c r="F41" s="75">
        <f t="shared" si="24"/>
        <v>0</v>
      </c>
      <c r="G41" s="75">
        <v>0</v>
      </c>
      <c r="H41" s="75">
        <v>0</v>
      </c>
      <c r="I41" s="75">
        <f t="shared" ref="I41:I49" si="30">SUM(G41:H41)</f>
        <v>0</v>
      </c>
      <c r="J41" s="75">
        <v>0</v>
      </c>
      <c r="K41" s="75">
        <f t="shared" ref="K41:K49" si="31">SUM(J41)</f>
        <v>0</v>
      </c>
      <c r="L41" s="75">
        <v>0</v>
      </c>
      <c r="M41" s="75">
        <f t="shared" ref="M41:M49" si="32">L41</f>
        <v>0</v>
      </c>
      <c r="N41" s="228"/>
      <c r="O41" s="75">
        <f t="shared" ref="O41:O49" si="33">G41+H41+L41</f>
        <v>0</v>
      </c>
    </row>
    <row r="42" spans="1:15" ht="23.25" customHeight="1" x14ac:dyDescent="0.25">
      <c r="A42" s="74"/>
      <c r="B42" s="83" t="s">
        <v>370</v>
      </c>
      <c r="C42" s="83" t="s">
        <v>371</v>
      </c>
      <c r="D42" s="75"/>
      <c r="E42" s="65"/>
      <c r="F42" s="75">
        <f t="shared" si="24"/>
        <v>290.39999999999998</v>
      </c>
      <c r="G42" s="75">
        <v>290.39999999999998</v>
      </c>
      <c r="H42" s="75">
        <v>0</v>
      </c>
      <c r="I42" s="75">
        <f t="shared" si="30"/>
        <v>290.39999999999998</v>
      </c>
      <c r="J42" s="75">
        <v>0</v>
      </c>
      <c r="K42" s="75">
        <f t="shared" si="31"/>
        <v>0</v>
      </c>
      <c r="L42" s="75">
        <v>0</v>
      </c>
      <c r="M42" s="75">
        <v>0</v>
      </c>
      <c r="N42" s="228"/>
      <c r="O42" s="75">
        <f t="shared" si="33"/>
        <v>290.39999999999998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24"/>
        <v>0</v>
      </c>
      <c r="G43" s="75">
        <v>0</v>
      </c>
      <c r="H43" s="75">
        <v>0</v>
      </c>
      <c r="I43" s="75">
        <f t="shared" si="30"/>
        <v>0</v>
      </c>
      <c r="J43" s="75">
        <v>0</v>
      </c>
      <c r="K43" s="75">
        <f t="shared" si="31"/>
        <v>0</v>
      </c>
      <c r="L43" s="75">
        <v>0</v>
      </c>
      <c r="M43" s="75">
        <f t="shared" si="32"/>
        <v>0</v>
      </c>
      <c r="N43" s="228"/>
      <c r="O43" s="75">
        <f t="shared" si="33"/>
        <v>0</v>
      </c>
    </row>
    <row r="44" spans="1:15" ht="23.25" customHeight="1" x14ac:dyDescent="0.25">
      <c r="A44" s="74" t="s">
        <v>36</v>
      </c>
      <c r="B44" s="65"/>
      <c r="C44" s="65"/>
      <c r="D44" s="75"/>
      <c r="E44" s="65"/>
      <c r="F44" s="75">
        <f t="shared" si="24"/>
        <v>0</v>
      </c>
      <c r="G44" s="75">
        <v>0</v>
      </c>
      <c r="H44" s="75">
        <v>0</v>
      </c>
      <c r="I44" s="75">
        <f t="shared" si="30"/>
        <v>0</v>
      </c>
      <c r="J44" s="75">
        <v>0</v>
      </c>
      <c r="K44" s="75">
        <f t="shared" si="31"/>
        <v>0</v>
      </c>
      <c r="L44" s="75">
        <v>0</v>
      </c>
      <c r="M44" s="75">
        <f t="shared" si="32"/>
        <v>0</v>
      </c>
      <c r="N44" s="228"/>
      <c r="O44" s="75">
        <f t="shared" si="33"/>
        <v>0</v>
      </c>
    </row>
    <row r="45" spans="1:15" ht="23.25" customHeight="1" x14ac:dyDescent="0.25">
      <c r="A45" s="74"/>
      <c r="B45" s="65"/>
      <c r="C45" s="65"/>
      <c r="D45" s="75"/>
      <c r="E45" s="65"/>
      <c r="F45" s="75">
        <f t="shared" si="24"/>
        <v>0</v>
      </c>
      <c r="G45" s="75">
        <v>0</v>
      </c>
      <c r="H45" s="75">
        <v>0</v>
      </c>
      <c r="I45" s="75">
        <f t="shared" si="30"/>
        <v>0</v>
      </c>
      <c r="J45" s="75">
        <v>0</v>
      </c>
      <c r="K45" s="75">
        <f t="shared" si="31"/>
        <v>0</v>
      </c>
      <c r="L45" s="75">
        <v>0</v>
      </c>
      <c r="M45" s="75">
        <f t="shared" si="32"/>
        <v>0</v>
      </c>
      <c r="N45" s="228"/>
      <c r="O45" s="75">
        <f t="shared" si="33"/>
        <v>0</v>
      </c>
    </row>
    <row r="46" spans="1:15" ht="23.25" customHeight="1" x14ac:dyDescent="0.25">
      <c r="A46" s="74"/>
      <c r="B46" s="65"/>
      <c r="C46" s="65"/>
      <c r="D46" s="75"/>
      <c r="E46" s="65"/>
      <c r="F46" s="75">
        <f t="shared" si="24"/>
        <v>0</v>
      </c>
      <c r="G46" s="75">
        <v>0</v>
      </c>
      <c r="H46" s="75">
        <v>0</v>
      </c>
      <c r="I46" s="75">
        <f t="shared" si="30"/>
        <v>0</v>
      </c>
      <c r="J46" s="75">
        <v>0</v>
      </c>
      <c r="K46" s="75">
        <f t="shared" si="31"/>
        <v>0</v>
      </c>
      <c r="L46" s="75">
        <v>0</v>
      </c>
      <c r="M46" s="75">
        <f t="shared" si="32"/>
        <v>0</v>
      </c>
      <c r="N46" s="228"/>
      <c r="O46" s="75">
        <f t="shared" si="33"/>
        <v>0</v>
      </c>
    </row>
    <row r="47" spans="1:15" ht="23.25" customHeight="1" x14ac:dyDescent="0.25">
      <c r="A47" s="74" t="s">
        <v>31</v>
      </c>
      <c r="B47" s="65"/>
      <c r="C47" s="65"/>
      <c r="D47" s="75"/>
      <c r="E47" s="65"/>
      <c r="F47" s="75">
        <f t="shared" si="24"/>
        <v>0</v>
      </c>
      <c r="G47" s="75">
        <v>0</v>
      </c>
      <c r="H47" s="75">
        <v>0</v>
      </c>
      <c r="I47" s="75">
        <f t="shared" si="30"/>
        <v>0</v>
      </c>
      <c r="J47" s="75">
        <v>0</v>
      </c>
      <c r="K47" s="75">
        <f t="shared" si="31"/>
        <v>0</v>
      </c>
      <c r="L47" s="75">
        <v>0</v>
      </c>
      <c r="M47" s="75">
        <f t="shared" si="32"/>
        <v>0</v>
      </c>
      <c r="N47" s="228"/>
      <c r="O47" s="75">
        <f t="shared" si="33"/>
        <v>0</v>
      </c>
    </row>
    <row r="48" spans="1:15" ht="23.25" customHeight="1" x14ac:dyDescent="0.25">
      <c r="A48" s="74"/>
      <c r="B48" s="65"/>
      <c r="C48" s="65"/>
      <c r="D48" s="75"/>
      <c r="E48" s="65"/>
      <c r="F48" s="75">
        <f t="shared" si="24"/>
        <v>0</v>
      </c>
      <c r="G48" s="75">
        <v>0</v>
      </c>
      <c r="H48" s="75">
        <v>0</v>
      </c>
      <c r="I48" s="75">
        <f t="shared" si="30"/>
        <v>0</v>
      </c>
      <c r="J48" s="75">
        <v>0</v>
      </c>
      <c r="K48" s="75">
        <f t="shared" si="31"/>
        <v>0</v>
      </c>
      <c r="L48" s="75">
        <v>0</v>
      </c>
      <c r="M48" s="75">
        <f t="shared" si="32"/>
        <v>0</v>
      </c>
      <c r="N48" s="228"/>
      <c r="O48" s="75">
        <f t="shared" si="33"/>
        <v>0</v>
      </c>
    </row>
    <row r="49" spans="1:15" ht="23.25" customHeight="1" x14ac:dyDescent="0.25">
      <c r="A49" s="74"/>
      <c r="B49" s="65"/>
      <c r="C49" s="65"/>
      <c r="D49" s="75"/>
      <c r="E49" s="65"/>
      <c r="F49" s="75">
        <f t="shared" si="24"/>
        <v>0</v>
      </c>
      <c r="G49" s="75">
        <v>0</v>
      </c>
      <c r="H49" s="75">
        <v>0</v>
      </c>
      <c r="I49" s="75">
        <f t="shared" si="30"/>
        <v>0</v>
      </c>
      <c r="J49" s="75">
        <v>0</v>
      </c>
      <c r="K49" s="75">
        <f t="shared" si="31"/>
        <v>0</v>
      </c>
      <c r="L49" s="75">
        <v>0</v>
      </c>
      <c r="M49" s="75">
        <f t="shared" si="32"/>
        <v>0</v>
      </c>
      <c r="N49" s="228"/>
      <c r="O49" s="75">
        <f t="shared" si="33"/>
        <v>0</v>
      </c>
    </row>
    <row r="50" spans="1:15" ht="23.25" customHeight="1" x14ac:dyDescent="0.25">
      <c r="A50" s="26" t="s">
        <v>32</v>
      </c>
      <c r="B50" s="27"/>
      <c r="C50" s="28"/>
      <c r="D50" s="29"/>
      <c r="E50" s="76">
        <f>SUM(G41:G49)</f>
        <v>290.39999999999998</v>
      </c>
      <c r="F50" s="76">
        <f t="shared" si="24"/>
        <v>0</v>
      </c>
      <c r="G50" s="76">
        <f t="shared" ref="G50:M50" si="34">SUM(G41:G49)</f>
        <v>290.39999999999998</v>
      </c>
      <c r="H50" s="76">
        <f t="shared" si="34"/>
        <v>0</v>
      </c>
      <c r="I50" s="76">
        <f t="shared" si="34"/>
        <v>290.39999999999998</v>
      </c>
      <c r="J50" s="76">
        <f t="shared" si="34"/>
        <v>0</v>
      </c>
      <c r="K50" s="76">
        <f t="shared" si="34"/>
        <v>0</v>
      </c>
      <c r="L50" s="76">
        <f t="shared" si="34"/>
        <v>0</v>
      </c>
      <c r="M50" s="76">
        <f t="shared" si="34"/>
        <v>0</v>
      </c>
      <c r="N50" s="76">
        <f>L50-J50</f>
        <v>0</v>
      </c>
      <c r="O50" s="77">
        <f>SUM(O41:O49)</f>
        <v>290.39999999999998</v>
      </c>
    </row>
    <row r="51" spans="1:15" ht="23.25" customHeight="1" x14ac:dyDescent="0.25">
      <c r="A51" s="30" t="s">
        <v>33</v>
      </c>
      <c r="B51" s="31"/>
      <c r="C51" s="32"/>
      <c r="D51" s="33"/>
      <c r="E51" s="69">
        <f>B50+E40+E30+E19</f>
        <v>0</v>
      </c>
      <c r="F51" s="69">
        <f t="shared" si="24"/>
        <v>923.7</v>
      </c>
      <c r="G51" s="69">
        <f>E50+G40+G30+G19</f>
        <v>290.39999999999998</v>
      </c>
      <c r="H51" s="69">
        <f t="shared" ref="H51:M51" si="35">H50+H40+H30+H19</f>
        <v>633.30000000000007</v>
      </c>
      <c r="I51" s="69">
        <f t="shared" si="35"/>
        <v>923.7</v>
      </c>
      <c r="J51" s="69">
        <f t="shared" si="35"/>
        <v>0</v>
      </c>
      <c r="K51" s="69">
        <f t="shared" si="35"/>
        <v>0</v>
      </c>
      <c r="L51" s="69">
        <f t="shared" si="35"/>
        <v>0</v>
      </c>
      <c r="M51" s="69">
        <f t="shared" si="35"/>
        <v>0</v>
      </c>
      <c r="N51" s="69">
        <f>L51-J51</f>
        <v>0</v>
      </c>
      <c r="O51" s="77">
        <f>O50+O40+O30+O19</f>
        <v>923.7</v>
      </c>
    </row>
    <row r="52" spans="1:15" x14ac:dyDescent="0.25">
      <c r="A52" s="1"/>
      <c r="B52" s="1"/>
      <c r="C52" s="1"/>
      <c r="D52" s="1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</sheetData>
  <mergeCells count="8">
    <mergeCell ref="N41:N49"/>
    <mergeCell ref="G1:I1"/>
    <mergeCell ref="J1:K1"/>
    <mergeCell ref="L1:N1"/>
    <mergeCell ref="O1:O2"/>
    <mergeCell ref="N5:N18"/>
    <mergeCell ref="N20:N28"/>
    <mergeCell ref="N31:N39"/>
  </mergeCells>
  <pageMargins left="0.7" right="0.7" top="0.75" bottom="0.75" header="0.51180555555555496" footer="0.51180555555555496"/>
  <pageSetup paperSize="9" firstPageNumber="0" orientation="portrait" horizontalDpi="300" verticalDpi="300" r:id="rId1"/>
  <ignoredErrors>
    <ignoredError sqref="I34:I36" formulaRange="1"/>
    <ignoredError sqref="I11 I1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O44"/>
  <sheetViews>
    <sheetView workbookViewId="0">
      <pane ySplit="4" topLeftCell="A32" activePane="bottomLeft" state="frozen"/>
      <selection pane="bottomLeft" activeCell="B37" sqref="B37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67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71.05</v>
      </c>
      <c r="J4" s="65"/>
      <c r="K4" s="73">
        <f>K43</f>
        <v>180.73</v>
      </c>
      <c r="L4" s="24" t="s">
        <v>16</v>
      </c>
      <c r="M4" s="16"/>
      <c r="N4" s="198">
        <f>L43-J43+N3</f>
        <v>366.27</v>
      </c>
      <c r="O4" s="25"/>
    </row>
    <row r="5" spans="1:15" ht="23.25" customHeight="1" x14ac:dyDescent="0.25">
      <c r="A5" s="74" t="s">
        <v>17</v>
      </c>
      <c r="B5" s="83" t="s">
        <v>68</v>
      </c>
      <c r="C5" s="83"/>
      <c r="D5" s="75"/>
      <c r="E5" s="65"/>
      <c r="F5" s="75">
        <f t="shared" ref="F5:F12" si="0">I5-E5</f>
        <v>71.05</v>
      </c>
      <c r="G5" s="75">
        <v>71.05</v>
      </c>
      <c r="H5" s="75">
        <v>0</v>
      </c>
      <c r="I5" s="75">
        <f t="shared" ref="I5:I12" si="1">SUM(G5:H5)</f>
        <v>71.05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71.05</v>
      </c>
    </row>
    <row r="6" spans="1:15" ht="23.25" customHeight="1" x14ac:dyDescent="0.25">
      <c r="A6" s="74"/>
      <c r="B6" s="83" t="s">
        <v>60</v>
      </c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178</v>
      </c>
      <c r="M6" s="75">
        <f t="shared" si="3"/>
        <v>178</v>
      </c>
      <c r="N6" s="228"/>
      <c r="O6" s="75">
        <f t="shared" si="4"/>
        <v>178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83" t="s">
        <v>69</v>
      </c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204</v>
      </c>
      <c r="M10" s="75">
        <f t="shared" si="3"/>
        <v>204</v>
      </c>
      <c r="N10" s="228"/>
      <c r="O10" s="75">
        <f t="shared" si="4"/>
        <v>204</v>
      </c>
    </row>
    <row r="11" spans="1:15" ht="23.25" customHeight="1" x14ac:dyDescent="0.25">
      <c r="A11" s="74"/>
      <c r="B11" s="83" t="s">
        <v>69</v>
      </c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165</v>
      </c>
      <c r="M11" s="75">
        <f t="shared" si="3"/>
        <v>165</v>
      </c>
      <c r="N11" s="228"/>
      <c r="O11" s="75">
        <f t="shared" si="4"/>
        <v>165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71.05</v>
      </c>
      <c r="G13" s="76">
        <f t="shared" si="5"/>
        <v>71.05</v>
      </c>
      <c r="H13" s="76">
        <f t="shared" si="5"/>
        <v>0</v>
      </c>
      <c r="I13" s="76">
        <f t="shared" si="5"/>
        <v>71.05</v>
      </c>
      <c r="J13" s="76">
        <f t="shared" si="5"/>
        <v>0</v>
      </c>
      <c r="K13" s="76">
        <f t="shared" si="5"/>
        <v>0</v>
      </c>
      <c r="L13" s="76">
        <f t="shared" si="5"/>
        <v>547</v>
      </c>
      <c r="M13" s="76">
        <f t="shared" si="5"/>
        <v>547</v>
      </c>
      <c r="N13" s="76">
        <f>L13-J13</f>
        <v>547</v>
      </c>
      <c r="O13" s="77">
        <f>SUM(O5:O12)</f>
        <v>618.04999999999995</v>
      </c>
    </row>
    <row r="14" spans="1:15" ht="23.25" customHeight="1" x14ac:dyDescent="0.25">
      <c r="A14" s="74" t="s">
        <v>21</v>
      </c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 t="s">
        <v>375</v>
      </c>
      <c r="B36" s="83" t="s">
        <v>376</v>
      </c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60.73</v>
      </c>
      <c r="K36" s="75">
        <f t="shared" si="18"/>
        <v>60.73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 t="s">
        <v>380</v>
      </c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120</v>
      </c>
      <c r="K37" s="75">
        <f t="shared" si="18"/>
        <v>120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180.73</v>
      </c>
      <c r="K42" s="67">
        <f t="shared" si="21"/>
        <v>180.73</v>
      </c>
      <c r="L42" s="67">
        <f t="shared" si="21"/>
        <v>0</v>
      </c>
      <c r="M42" s="67">
        <f t="shared" si="21"/>
        <v>0</v>
      </c>
      <c r="N42" s="67">
        <f>L42-J42</f>
        <v>-180.73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71.05</v>
      </c>
      <c r="G43" s="69">
        <f>E42+G33+G23+G13</f>
        <v>71.05</v>
      </c>
      <c r="H43" s="69">
        <f t="shared" ref="H43:M43" si="22">H42+H33+H23+H13</f>
        <v>0</v>
      </c>
      <c r="I43" s="69">
        <f t="shared" si="22"/>
        <v>71.05</v>
      </c>
      <c r="J43" s="69">
        <f t="shared" si="22"/>
        <v>180.73</v>
      </c>
      <c r="K43" s="69">
        <f t="shared" si="22"/>
        <v>180.73</v>
      </c>
      <c r="L43" s="69">
        <f t="shared" si="22"/>
        <v>547</v>
      </c>
      <c r="M43" s="69">
        <f t="shared" si="22"/>
        <v>547</v>
      </c>
      <c r="N43" s="69">
        <f>L43-J43</f>
        <v>366.27</v>
      </c>
      <c r="O43" s="77">
        <f>O42+O33+O23+O13</f>
        <v>618.04999999999995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G1:I1"/>
    <mergeCell ref="J1:K1"/>
    <mergeCell ref="L1:N1"/>
    <mergeCell ref="O1:O2"/>
    <mergeCell ref="N5:N12"/>
    <mergeCell ref="N14:N22"/>
    <mergeCell ref="N24:N32"/>
    <mergeCell ref="N34:N4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O44"/>
  <sheetViews>
    <sheetView workbookViewId="0">
      <pane ySplit="4" topLeftCell="A23" activePane="bottomLeft" state="frozen"/>
      <selection pane="bottomLeft" activeCell="B36" sqref="B36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70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0</v>
      </c>
      <c r="J4" s="65"/>
      <c r="K4" s="73">
        <f>K43</f>
        <v>442.21</v>
      </c>
      <c r="L4" s="24" t="s">
        <v>16</v>
      </c>
      <c r="M4" s="16"/>
      <c r="N4" s="198">
        <f>L43-J43+N3</f>
        <v>431.38999999999993</v>
      </c>
      <c r="O4" s="25"/>
    </row>
    <row r="5" spans="1:15" ht="23.25" customHeight="1" x14ac:dyDescent="0.25">
      <c r="A5" s="74" t="s">
        <v>17</v>
      </c>
      <c r="B5" s="83" t="s">
        <v>60</v>
      </c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338.8</v>
      </c>
      <c r="M5" s="75">
        <f t="shared" ref="M5:M12" si="3">L5</f>
        <v>338.8</v>
      </c>
      <c r="N5" s="228"/>
      <c r="O5" s="75">
        <f t="shared" ref="O5:O12" si="4">G5+H5+L5</f>
        <v>338.8</v>
      </c>
    </row>
    <row r="6" spans="1:15" ht="23.25" customHeight="1" x14ac:dyDescent="0.25">
      <c r="A6" s="74"/>
      <c r="B6" s="78" t="s">
        <v>71</v>
      </c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19.37</v>
      </c>
      <c r="K6" s="75">
        <f t="shared" si="2"/>
        <v>19.37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 t="s">
        <v>60</v>
      </c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196</v>
      </c>
      <c r="M8" s="75">
        <f t="shared" si="3"/>
        <v>196</v>
      </c>
      <c r="N8" s="228"/>
      <c r="O8" s="75">
        <f t="shared" si="4"/>
        <v>196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83" t="s">
        <v>72</v>
      </c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338.8</v>
      </c>
      <c r="M10" s="75">
        <f t="shared" si="3"/>
        <v>338.8</v>
      </c>
      <c r="N10" s="228"/>
      <c r="O10" s="75">
        <f t="shared" si="4"/>
        <v>338.8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19.37</v>
      </c>
      <c r="K13" s="76">
        <f t="shared" si="5"/>
        <v>19.37</v>
      </c>
      <c r="L13" s="76">
        <f t="shared" si="5"/>
        <v>873.59999999999991</v>
      </c>
      <c r="M13" s="76">
        <f t="shared" si="5"/>
        <v>873.59999999999991</v>
      </c>
      <c r="N13" s="76">
        <f>L13-J13</f>
        <v>854.2299999999999</v>
      </c>
      <c r="O13" s="77">
        <f>SUM(O5:O12)</f>
        <v>873.59999999999991</v>
      </c>
    </row>
    <row r="14" spans="1:15" ht="23.25" customHeight="1" x14ac:dyDescent="0.25">
      <c r="A14" s="74" t="s">
        <v>21</v>
      </c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 t="s">
        <v>36</v>
      </c>
      <c r="B36" s="83" t="s">
        <v>379</v>
      </c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422.84</v>
      </c>
      <c r="K36" s="75">
        <f t="shared" si="18"/>
        <v>422.84</v>
      </c>
      <c r="L36" s="75"/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422.84</v>
      </c>
      <c r="K42" s="67">
        <f t="shared" si="21"/>
        <v>422.84</v>
      </c>
      <c r="L42" s="67">
        <f t="shared" si="21"/>
        <v>0</v>
      </c>
      <c r="M42" s="67">
        <f t="shared" si="21"/>
        <v>0</v>
      </c>
      <c r="N42" s="67">
        <f>L42-J42</f>
        <v>-422.84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0</v>
      </c>
      <c r="G43" s="69">
        <f>E42+G33+G23+G13</f>
        <v>0</v>
      </c>
      <c r="H43" s="69">
        <f t="shared" ref="H43:M43" si="22">H42+H33+H23+H13</f>
        <v>0</v>
      </c>
      <c r="I43" s="69">
        <f t="shared" si="22"/>
        <v>0</v>
      </c>
      <c r="J43" s="69">
        <f t="shared" si="22"/>
        <v>442.21</v>
      </c>
      <c r="K43" s="69">
        <f t="shared" si="22"/>
        <v>442.21</v>
      </c>
      <c r="L43" s="69">
        <f t="shared" si="22"/>
        <v>873.59999999999991</v>
      </c>
      <c r="M43" s="69">
        <f t="shared" si="22"/>
        <v>873.59999999999991</v>
      </c>
      <c r="N43" s="69">
        <f>L43-J43</f>
        <v>431.38999999999993</v>
      </c>
      <c r="O43" s="77">
        <f>O42+O33+O23+O13</f>
        <v>873.59999999999991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N14:N22"/>
    <mergeCell ref="N24:N32"/>
    <mergeCell ref="N34:N40"/>
    <mergeCell ref="G1:I1"/>
    <mergeCell ref="J1:K1"/>
    <mergeCell ref="L1:N1"/>
    <mergeCell ref="O1:O2"/>
    <mergeCell ref="N5:N1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C840-C12C-4AC7-8AE7-6F32D76B527D}">
  <sheetPr>
    <tabColor theme="0"/>
  </sheetPr>
  <dimension ref="A1:O44"/>
  <sheetViews>
    <sheetView workbookViewId="0">
      <pane ySplit="4" topLeftCell="A5" activePane="bottomLeft" state="frozen"/>
      <selection pane="bottomLeft" activeCell="B10" sqref="B10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73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83.4</v>
      </c>
      <c r="J4" s="65"/>
      <c r="K4" s="73">
        <f>K43</f>
        <v>0</v>
      </c>
      <c r="L4" s="24" t="s">
        <v>16</v>
      </c>
      <c r="M4" s="16"/>
      <c r="N4" s="126">
        <f>L43-J43+N3</f>
        <v>0</v>
      </c>
      <c r="O4" s="2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78" t="s">
        <v>74</v>
      </c>
      <c r="C10" s="132" t="s">
        <v>75</v>
      </c>
      <c r="D10" s="75"/>
      <c r="E10" s="65"/>
      <c r="F10" s="75">
        <f t="shared" si="0"/>
        <v>83.4</v>
      </c>
      <c r="G10" s="75">
        <v>83.4</v>
      </c>
      <c r="H10" s="75">
        <v>0</v>
      </c>
      <c r="I10" s="75">
        <f t="shared" si="1"/>
        <v>83.4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83.4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83.4</v>
      </c>
      <c r="G13" s="76">
        <f t="shared" si="5"/>
        <v>83.4</v>
      </c>
      <c r="H13" s="76">
        <f t="shared" si="5"/>
        <v>0</v>
      </c>
      <c r="I13" s="76">
        <f t="shared" si="5"/>
        <v>83.4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83.4</v>
      </c>
    </row>
    <row r="14" spans="1:15" ht="23.25" customHeight="1" x14ac:dyDescent="0.25">
      <c r="A14" s="74" t="s">
        <v>21</v>
      </c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83.4</v>
      </c>
      <c r="G43" s="69">
        <f>E42+G33+G23+G13</f>
        <v>83.4</v>
      </c>
      <c r="H43" s="69">
        <f t="shared" ref="H43:M43" si="22">H42+H33+H23+H13</f>
        <v>0</v>
      </c>
      <c r="I43" s="69">
        <f t="shared" si="22"/>
        <v>83.4</v>
      </c>
      <c r="J43" s="69">
        <f t="shared" si="22"/>
        <v>0</v>
      </c>
      <c r="K43" s="69">
        <f t="shared" si="22"/>
        <v>0</v>
      </c>
      <c r="L43" s="69">
        <f t="shared" si="22"/>
        <v>0</v>
      </c>
      <c r="M43" s="69">
        <f t="shared" si="22"/>
        <v>0</v>
      </c>
      <c r="N43" s="69">
        <f>L43-J43</f>
        <v>0</v>
      </c>
      <c r="O43" s="77">
        <f>O42+O33+O23+O13</f>
        <v>83.4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G1:I1"/>
    <mergeCell ref="J1:K1"/>
    <mergeCell ref="L1:N1"/>
    <mergeCell ref="O1:O2"/>
    <mergeCell ref="N5:N12"/>
    <mergeCell ref="N14:N22"/>
    <mergeCell ref="N24:N32"/>
    <mergeCell ref="N34:N4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8"/>
  <sheetViews>
    <sheetView workbookViewId="0">
      <pane ySplit="4" topLeftCell="A17" activePane="bottomLeft" state="frozen"/>
      <selection pane="bottomLeft" activeCell="B21" sqref="B21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42" t="s">
        <v>76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729.76</v>
      </c>
      <c r="O3" s="3"/>
    </row>
    <row r="4" spans="1:15" ht="34.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I47</f>
        <v>0</v>
      </c>
      <c r="J4" s="65"/>
      <c r="K4" s="73">
        <f>K47</f>
        <v>609.76</v>
      </c>
      <c r="L4" s="16" t="s">
        <v>35</v>
      </c>
      <c r="M4" s="17"/>
      <c r="N4" s="185">
        <f>L47-J47+N37+N3</f>
        <v>0</v>
      </c>
      <c r="O4" s="25"/>
    </row>
    <row r="5" spans="1:15" ht="53.25" customHeight="1" x14ac:dyDescent="0.25">
      <c r="A5" s="74" t="s">
        <v>17</v>
      </c>
      <c r="B5" s="143" t="s">
        <v>77</v>
      </c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2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 t="s">
        <v>78</v>
      </c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225.6</v>
      </c>
      <c r="K21" s="75">
        <f t="shared" si="8"/>
        <v>225.6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 t="s">
        <v>79</v>
      </c>
      <c r="C22" s="78"/>
      <c r="D22" s="8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108</v>
      </c>
      <c r="K22" s="75">
        <f t="shared" si="8"/>
        <v>108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78" t="s">
        <v>80</v>
      </c>
      <c r="C23" s="78"/>
      <c r="D23" s="8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200</v>
      </c>
      <c r="K23" s="75">
        <f>SUM(J23)</f>
        <v>200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74"/>
      <c r="B24" s="78" t="s">
        <v>81</v>
      </c>
      <c r="C24" s="78"/>
      <c r="D24" s="75"/>
      <c r="E24" s="65"/>
      <c r="F24" s="75">
        <f t="shared" ref="F24:F25" si="11">I24-E24</f>
        <v>0</v>
      </c>
      <c r="G24" s="75">
        <v>0</v>
      </c>
      <c r="H24" s="75">
        <v>0</v>
      </c>
      <c r="I24" s="75">
        <f t="shared" ref="I24:I25" si="12">SUM(G24:H24)</f>
        <v>0</v>
      </c>
      <c r="J24" s="75">
        <v>75</v>
      </c>
      <c r="K24" s="75">
        <f t="shared" ref="K24:K25" si="13">SUM(J24)</f>
        <v>75</v>
      </c>
      <c r="L24" s="75">
        <v>0</v>
      </c>
      <c r="M24" s="75">
        <f t="shared" ref="M24:M25" si="14">L24</f>
        <v>0</v>
      </c>
      <c r="N24" s="183"/>
      <c r="O24" s="75">
        <f t="shared" ref="O24:O25" si="15">G24+H24+L24</f>
        <v>0</v>
      </c>
    </row>
    <row r="25" spans="1:15" ht="23.25" customHeight="1" x14ac:dyDescent="0.25">
      <c r="A25" s="74"/>
      <c r="B25" s="78" t="s">
        <v>82</v>
      </c>
      <c r="C25" s="78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120</v>
      </c>
      <c r="K25" s="75">
        <f t="shared" si="13"/>
        <v>120</v>
      </c>
      <c r="L25" s="75">
        <v>0</v>
      </c>
      <c r="M25" s="75">
        <f t="shared" si="14"/>
        <v>0</v>
      </c>
      <c r="N25" s="183"/>
      <c r="O25" s="75">
        <f t="shared" si="15"/>
        <v>0</v>
      </c>
    </row>
    <row r="26" spans="1:15" ht="23.25" customHeight="1" x14ac:dyDescent="0.25">
      <c r="A26" s="26" t="s">
        <v>24</v>
      </c>
      <c r="B26" s="27"/>
      <c r="C26" s="28"/>
      <c r="D26" s="29"/>
      <c r="E26" s="76">
        <f t="shared" ref="E26:M26" si="16">SUM(E15:E23)</f>
        <v>0</v>
      </c>
      <c r="F26" s="76">
        <f t="shared" si="16"/>
        <v>0</v>
      </c>
      <c r="G26" s="76">
        <f t="shared" si="16"/>
        <v>0</v>
      </c>
      <c r="H26" s="76">
        <f t="shared" si="16"/>
        <v>0</v>
      </c>
      <c r="I26" s="76">
        <f t="shared" si="16"/>
        <v>0</v>
      </c>
      <c r="J26" s="76">
        <f t="shared" si="16"/>
        <v>533.6</v>
      </c>
      <c r="K26" s="76">
        <f t="shared" si="16"/>
        <v>533.6</v>
      </c>
      <c r="L26" s="76">
        <f t="shared" si="16"/>
        <v>0</v>
      </c>
      <c r="M26" s="76">
        <f t="shared" si="16"/>
        <v>0</v>
      </c>
      <c r="N26" s="76">
        <f>L26-J26</f>
        <v>-533.6</v>
      </c>
      <c r="O26" s="77">
        <f>SUM(O15:O23)</f>
        <v>0</v>
      </c>
    </row>
    <row r="27" spans="1:15" ht="23.25" customHeight="1" x14ac:dyDescent="0.25">
      <c r="A27" s="74" t="s">
        <v>25</v>
      </c>
      <c r="B27" s="78" t="s">
        <v>314</v>
      </c>
      <c r="C27" s="78"/>
      <c r="D27" s="85"/>
      <c r="E27" s="65"/>
      <c r="F27" s="75">
        <f t="shared" ref="F27:F47" si="17">I27-E27</f>
        <v>0</v>
      </c>
      <c r="G27" s="75">
        <v>0</v>
      </c>
      <c r="H27" s="75">
        <v>0</v>
      </c>
      <c r="I27" s="75">
        <f t="shared" ref="I27:I35" si="18">SUM(G27:H27)</f>
        <v>0</v>
      </c>
      <c r="J27" s="75">
        <v>120</v>
      </c>
      <c r="K27" s="75">
        <v>0</v>
      </c>
      <c r="L27" s="75">
        <v>0</v>
      </c>
      <c r="M27" s="75">
        <f t="shared" ref="M27" si="19">SUM(K27:L27)</f>
        <v>0</v>
      </c>
      <c r="N27" s="228"/>
      <c r="O27" s="75">
        <f t="shared" ref="O27:O35" si="20">G27+H27+L27</f>
        <v>0</v>
      </c>
    </row>
    <row r="28" spans="1:15" ht="23.25" customHeight="1" x14ac:dyDescent="0.25">
      <c r="A28" s="74"/>
      <c r="B28" s="78" t="s">
        <v>315</v>
      </c>
      <c r="C28" s="78"/>
      <c r="D28" s="75"/>
      <c r="E28" s="65"/>
      <c r="F28" s="75">
        <f t="shared" si="17"/>
        <v>0</v>
      </c>
      <c r="G28" s="75">
        <v>0</v>
      </c>
      <c r="H28" s="75">
        <v>0</v>
      </c>
      <c r="I28" s="75">
        <f t="shared" si="18"/>
        <v>0</v>
      </c>
      <c r="J28" s="75">
        <v>76.16</v>
      </c>
      <c r="K28" s="75">
        <f t="shared" ref="K28:K35" si="21">SUM(J28)</f>
        <v>76.16</v>
      </c>
      <c r="L28" s="75">
        <v>0</v>
      </c>
      <c r="M28" s="75">
        <f t="shared" ref="M28:M35" si="22">L28</f>
        <v>0</v>
      </c>
      <c r="N28" s="228"/>
      <c r="O28" s="75">
        <f t="shared" si="20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7"/>
        <v>0</v>
      </c>
      <c r="G29" s="75">
        <v>0</v>
      </c>
      <c r="H29" s="75">
        <v>0</v>
      </c>
      <c r="I29" s="75">
        <f t="shared" si="18"/>
        <v>0</v>
      </c>
      <c r="J29" s="75">
        <v>0</v>
      </c>
      <c r="K29" s="75">
        <f t="shared" si="21"/>
        <v>0</v>
      </c>
      <c r="L29" s="75">
        <v>0</v>
      </c>
      <c r="M29" s="75">
        <f>L29</f>
        <v>0</v>
      </c>
      <c r="N29" s="228"/>
      <c r="O29" s="75">
        <f t="shared" si="20"/>
        <v>0</v>
      </c>
    </row>
    <row r="30" spans="1:15" ht="23.25" customHeight="1" x14ac:dyDescent="0.25">
      <c r="A30" s="74" t="s">
        <v>26</v>
      </c>
      <c r="B30" s="65"/>
      <c r="C30" s="65"/>
      <c r="D30" s="75"/>
      <c r="E30" s="65"/>
      <c r="F30" s="75">
        <f t="shared" si="17"/>
        <v>0</v>
      </c>
      <c r="G30" s="75">
        <v>0</v>
      </c>
      <c r="H30" s="75">
        <v>0</v>
      </c>
      <c r="I30" s="75">
        <f t="shared" si="18"/>
        <v>0</v>
      </c>
      <c r="J30" s="75">
        <v>0</v>
      </c>
      <c r="K30" s="75">
        <f t="shared" si="21"/>
        <v>0</v>
      </c>
      <c r="L30" s="75">
        <v>0</v>
      </c>
      <c r="M30" s="75">
        <f t="shared" si="22"/>
        <v>0</v>
      </c>
      <c r="N30" s="228"/>
      <c r="O30" s="75">
        <f t="shared" si="20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7"/>
        <v>0</v>
      </c>
      <c r="G31" s="75">
        <v>0</v>
      </c>
      <c r="H31" s="75">
        <v>0</v>
      </c>
      <c r="I31" s="75">
        <f t="shared" si="18"/>
        <v>0</v>
      </c>
      <c r="J31" s="75">
        <v>0</v>
      </c>
      <c r="K31" s="75">
        <f t="shared" si="21"/>
        <v>0</v>
      </c>
      <c r="L31" s="75">
        <v>0</v>
      </c>
      <c r="M31" s="75">
        <f t="shared" si="22"/>
        <v>0</v>
      </c>
      <c r="N31" s="228"/>
      <c r="O31" s="75">
        <f t="shared" si="20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7"/>
        <v>0</v>
      </c>
      <c r="G32" s="75">
        <v>0</v>
      </c>
      <c r="H32" s="75">
        <v>0</v>
      </c>
      <c r="I32" s="75">
        <f t="shared" si="18"/>
        <v>0</v>
      </c>
      <c r="J32" s="75">
        <v>0</v>
      </c>
      <c r="K32" s="75">
        <f t="shared" si="21"/>
        <v>0</v>
      </c>
      <c r="L32" s="75">
        <v>0</v>
      </c>
      <c r="M32" s="75">
        <f t="shared" si="22"/>
        <v>0</v>
      </c>
      <c r="N32" s="228"/>
      <c r="O32" s="75">
        <f t="shared" si="20"/>
        <v>0</v>
      </c>
    </row>
    <row r="33" spans="1:15" ht="23.25" customHeight="1" x14ac:dyDescent="0.25">
      <c r="A33" s="74" t="s">
        <v>28</v>
      </c>
      <c r="B33" s="65"/>
      <c r="C33" s="65"/>
      <c r="D33" s="75"/>
      <c r="E33" s="65"/>
      <c r="F33" s="75">
        <f t="shared" si="17"/>
        <v>0</v>
      </c>
      <c r="G33" s="75">
        <v>0</v>
      </c>
      <c r="H33" s="75">
        <v>0</v>
      </c>
      <c r="I33" s="75">
        <f t="shared" si="18"/>
        <v>0</v>
      </c>
      <c r="J33" s="75">
        <v>0</v>
      </c>
      <c r="K33" s="75">
        <f t="shared" si="21"/>
        <v>0</v>
      </c>
      <c r="L33" s="75">
        <v>0</v>
      </c>
      <c r="M33" s="75">
        <f t="shared" si="22"/>
        <v>0</v>
      </c>
      <c r="N33" s="228"/>
      <c r="O33" s="75">
        <f t="shared" si="20"/>
        <v>0</v>
      </c>
    </row>
    <row r="34" spans="1:15" ht="23.25" customHeight="1" x14ac:dyDescent="0.25">
      <c r="A34" s="74"/>
      <c r="B34" s="65"/>
      <c r="C34" s="65"/>
      <c r="D34" s="75"/>
      <c r="E34" s="65"/>
      <c r="F34" s="75">
        <f t="shared" si="17"/>
        <v>0</v>
      </c>
      <c r="G34" s="75">
        <v>0</v>
      </c>
      <c r="H34" s="75">
        <v>0</v>
      </c>
      <c r="I34" s="75">
        <f t="shared" si="18"/>
        <v>0</v>
      </c>
      <c r="J34" s="75">
        <v>0</v>
      </c>
      <c r="K34" s="75">
        <f t="shared" si="21"/>
        <v>0</v>
      </c>
      <c r="L34" s="75">
        <v>0</v>
      </c>
      <c r="M34" s="75">
        <f t="shared" si="22"/>
        <v>0</v>
      </c>
      <c r="N34" s="228"/>
      <c r="O34" s="75">
        <f t="shared" si="20"/>
        <v>0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7"/>
        <v>0</v>
      </c>
      <c r="G35" s="75">
        <v>0</v>
      </c>
      <c r="H35" s="75">
        <v>0</v>
      </c>
      <c r="I35" s="75">
        <f t="shared" si="18"/>
        <v>0</v>
      </c>
      <c r="J35" s="75">
        <v>0</v>
      </c>
      <c r="K35" s="75">
        <f t="shared" si="21"/>
        <v>0</v>
      </c>
      <c r="L35" s="75">
        <v>0</v>
      </c>
      <c r="M35" s="75">
        <f t="shared" si="22"/>
        <v>0</v>
      </c>
      <c r="N35" s="228"/>
      <c r="O35" s="75">
        <f t="shared" si="20"/>
        <v>0</v>
      </c>
    </row>
    <row r="36" spans="1:15" ht="23.25" customHeight="1" x14ac:dyDescent="0.25">
      <c r="A36" s="26" t="s">
        <v>29</v>
      </c>
      <c r="B36" s="27"/>
      <c r="C36" s="28"/>
      <c r="D36" s="29"/>
      <c r="E36" s="76">
        <f>SUM(E27:E35)</f>
        <v>0</v>
      </c>
      <c r="F36" s="76">
        <f t="shared" si="17"/>
        <v>0</v>
      </c>
      <c r="G36" s="76">
        <f t="shared" ref="G36:M36" si="23">SUM(G27:G35)</f>
        <v>0</v>
      </c>
      <c r="H36" s="76">
        <f t="shared" si="23"/>
        <v>0</v>
      </c>
      <c r="I36" s="76">
        <f t="shared" si="23"/>
        <v>0</v>
      </c>
      <c r="J36" s="76">
        <f t="shared" si="23"/>
        <v>196.16</v>
      </c>
      <c r="K36" s="76">
        <f t="shared" si="23"/>
        <v>76.16</v>
      </c>
      <c r="L36" s="76">
        <f t="shared" si="23"/>
        <v>0</v>
      </c>
      <c r="M36" s="76">
        <f t="shared" si="23"/>
        <v>0</v>
      </c>
      <c r="N36" s="76">
        <f>L36-J36</f>
        <v>-196.16</v>
      </c>
      <c r="O36" s="77">
        <f>SUM(O27:O35)</f>
        <v>0</v>
      </c>
    </row>
    <row r="37" spans="1:15" ht="23.25" customHeight="1" x14ac:dyDescent="0.25">
      <c r="A37" s="74" t="s">
        <v>30</v>
      </c>
      <c r="B37" s="65"/>
      <c r="C37" s="65"/>
      <c r="D37" s="75"/>
      <c r="E37" s="65">
        <v>0</v>
      </c>
      <c r="F37" s="75">
        <v>0</v>
      </c>
      <c r="G37" s="75">
        <v>0</v>
      </c>
      <c r="H37" s="75">
        <v>0</v>
      </c>
      <c r="I37" s="75">
        <f t="shared" ref="I37:I45" si="24">SUM(G37:H37)</f>
        <v>0</v>
      </c>
      <c r="J37" s="75">
        <v>0</v>
      </c>
      <c r="K37" s="75">
        <f t="shared" ref="K37:K45" si="25">SUM(J37)</f>
        <v>0</v>
      </c>
      <c r="L37" s="75">
        <v>0</v>
      </c>
      <c r="M37" s="75">
        <f t="shared" ref="M37:M45" si="26">L37</f>
        <v>0</v>
      </c>
      <c r="N37" s="228"/>
      <c r="O37" s="75">
        <f t="shared" ref="O37:O45" si="27">G37+H37+L37</f>
        <v>0</v>
      </c>
    </row>
    <row r="38" spans="1:15" ht="23.25" customHeight="1" x14ac:dyDescent="0.25">
      <c r="A38" s="74"/>
      <c r="B38" s="78"/>
      <c r="C38" s="78"/>
      <c r="D38" s="75"/>
      <c r="E38" s="65"/>
      <c r="F38" s="75">
        <f t="shared" si="17"/>
        <v>0</v>
      </c>
      <c r="G38" s="75">
        <v>0</v>
      </c>
      <c r="H38" s="75">
        <v>0</v>
      </c>
      <c r="I38" s="75">
        <f t="shared" si="24"/>
        <v>0</v>
      </c>
      <c r="J38" s="75">
        <v>0</v>
      </c>
      <c r="K38" s="75">
        <f t="shared" si="25"/>
        <v>0</v>
      </c>
      <c r="L38" s="75">
        <v>0</v>
      </c>
      <c r="M38" s="75">
        <f t="shared" si="26"/>
        <v>0</v>
      </c>
      <c r="N38" s="228"/>
      <c r="O38" s="75">
        <f t="shared" si="27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7"/>
        <v>0</v>
      </c>
      <c r="G39" s="75">
        <v>0</v>
      </c>
      <c r="H39" s="75">
        <v>0</v>
      </c>
      <c r="I39" s="75">
        <f t="shared" si="24"/>
        <v>0</v>
      </c>
      <c r="J39" s="75">
        <v>0</v>
      </c>
      <c r="K39" s="75">
        <f t="shared" si="25"/>
        <v>0</v>
      </c>
      <c r="L39" s="75">
        <v>0</v>
      </c>
      <c r="M39" s="75">
        <f t="shared" si="26"/>
        <v>0</v>
      </c>
      <c r="N39" s="228"/>
      <c r="O39" s="75">
        <f t="shared" si="27"/>
        <v>0</v>
      </c>
    </row>
    <row r="40" spans="1:15" ht="23.25" customHeight="1" x14ac:dyDescent="0.25">
      <c r="A40" s="74" t="s">
        <v>36</v>
      </c>
      <c r="B40" s="65"/>
      <c r="C40" s="65"/>
      <c r="D40" s="75"/>
      <c r="E40" s="65"/>
      <c r="F40" s="75">
        <f t="shared" si="17"/>
        <v>0</v>
      </c>
      <c r="G40" s="75">
        <v>0</v>
      </c>
      <c r="H40" s="75">
        <v>0</v>
      </c>
      <c r="I40" s="75">
        <f t="shared" si="24"/>
        <v>0</v>
      </c>
      <c r="J40" s="75">
        <v>0</v>
      </c>
      <c r="K40" s="75">
        <f t="shared" si="25"/>
        <v>0</v>
      </c>
      <c r="L40" s="75">
        <v>0</v>
      </c>
      <c r="M40" s="75">
        <f t="shared" si="26"/>
        <v>0</v>
      </c>
      <c r="N40" s="228"/>
      <c r="O40" s="75">
        <f t="shared" si="27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7"/>
        <v>0</v>
      </c>
      <c r="G41" s="75">
        <v>0</v>
      </c>
      <c r="H41" s="75">
        <v>0</v>
      </c>
      <c r="I41" s="75">
        <f t="shared" si="24"/>
        <v>0</v>
      </c>
      <c r="J41" s="75">
        <v>0</v>
      </c>
      <c r="K41" s="75">
        <f t="shared" si="25"/>
        <v>0</v>
      </c>
      <c r="L41" s="75">
        <v>0</v>
      </c>
      <c r="M41" s="75">
        <f t="shared" si="26"/>
        <v>0</v>
      </c>
      <c r="N41" s="228"/>
      <c r="O41" s="75">
        <f t="shared" si="27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7"/>
        <v>0</v>
      </c>
      <c r="G42" s="75">
        <v>0</v>
      </c>
      <c r="H42" s="75">
        <v>0</v>
      </c>
      <c r="I42" s="75">
        <f t="shared" si="24"/>
        <v>0</v>
      </c>
      <c r="J42" s="75">
        <v>0</v>
      </c>
      <c r="K42" s="75">
        <f t="shared" si="25"/>
        <v>0</v>
      </c>
      <c r="L42" s="75">
        <v>0</v>
      </c>
      <c r="M42" s="75">
        <f t="shared" si="26"/>
        <v>0</v>
      </c>
      <c r="N42" s="228"/>
      <c r="O42" s="75">
        <f t="shared" si="27"/>
        <v>0</v>
      </c>
    </row>
    <row r="43" spans="1:15" ht="23.25" customHeight="1" x14ac:dyDescent="0.25">
      <c r="A43" s="74" t="s">
        <v>31</v>
      </c>
      <c r="B43" s="65"/>
      <c r="C43" s="65"/>
      <c r="D43" s="75"/>
      <c r="E43" s="65"/>
      <c r="F43" s="75">
        <f t="shared" si="17"/>
        <v>0</v>
      </c>
      <c r="G43" s="75">
        <v>0</v>
      </c>
      <c r="H43" s="75">
        <v>0</v>
      </c>
      <c r="I43" s="75">
        <f t="shared" si="24"/>
        <v>0</v>
      </c>
      <c r="J43" s="75">
        <v>0</v>
      </c>
      <c r="K43" s="75">
        <f t="shared" si="25"/>
        <v>0</v>
      </c>
      <c r="L43" s="75">
        <v>0</v>
      </c>
      <c r="M43" s="75">
        <f t="shared" si="26"/>
        <v>0</v>
      </c>
      <c r="N43" s="228"/>
      <c r="O43" s="75">
        <f t="shared" si="27"/>
        <v>0</v>
      </c>
    </row>
    <row r="44" spans="1:15" ht="23.25" customHeight="1" x14ac:dyDescent="0.25">
      <c r="A44" s="74"/>
      <c r="B44" s="65"/>
      <c r="C44" s="65"/>
      <c r="D44" s="75"/>
      <c r="E44" s="65"/>
      <c r="F44" s="75">
        <f t="shared" si="17"/>
        <v>0</v>
      </c>
      <c r="G44" s="75">
        <v>0</v>
      </c>
      <c r="H44" s="75">
        <v>0</v>
      </c>
      <c r="I44" s="75">
        <f t="shared" si="24"/>
        <v>0</v>
      </c>
      <c r="J44" s="75">
        <v>0</v>
      </c>
      <c r="K44" s="75">
        <f t="shared" si="25"/>
        <v>0</v>
      </c>
      <c r="L44" s="75">
        <v>0</v>
      </c>
      <c r="M44" s="75">
        <f t="shared" si="26"/>
        <v>0</v>
      </c>
      <c r="N44" s="228"/>
      <c r="O44" s="75">
        <f t="shared" si="27"/>
        <v>0</v>
      </c>
    </row>
    <row r="45" spans="1:15" ht="23.25" customHeight="1" x14ac:dyDescent="0.25">
      <c r="A45" s="74"/>
      <c r="B45" s="65"/>
      <c r="C45" s="65"/>
      <c r="D45" s="75"/>
      <c r="E45" s="65"/>
      <c r="F45" s="75">
        <f t="shared" si="17"/>
        <v>0</v>
      </c>
      <c r="G45" s="75">
        <v>0</v>
      </c>
      <c r="H45" s="75">
        <v>0</v>
      </c>
      <c r="I45" s="75">
        <f t="shared" si="24"/>
        <v>0</v>
      </c>
      <c r="J45" s="75">
        <v>0</v>
      </c>
      <c r="K45" s="75">
        <f t="shared" si="25"/>
        <v>0</v>
      </c>
      <c r="L45" s="75">
        <v>0</v>
      </c>
      <c r="M45" s="75">
        <f t="shared" si="26"/>
        <v>0</v>
      </c>
      <c r="N45" s="228"/>
      <c r="O45" s="75">
        <f t="shared" si="27"/>
        <v>0</v>
      </c>
    </row>
    <row r="46" spans="1:15" ht="23.25" customHeight="1" x14ac:dyDescent="0.25">
      <c r="A46" s="26" t="s">
        <v>32</v>
      </c>
      <c r="B46" s="27"/>
      <c r="C46" s="28"/>
      <c r="D46" s="29"/>
      <c r="E46" s="76">
        <f>SUM(G37:G45)</f>
        <v>0</v>
      </c>
      <c r="F46" s="76">
        <f t="shared" si="17"/>
        <v>0</v>
      </c>
      <c r="G46" s="76">
        <f t="shared" ref="G46:M46" si="28">SUM(G37:G45)</f>
        <v>0</v>
      </c>
      <c r="H46" s="76">
        <f t="shared" si="28"/>
        <v>0</v>
      </c>
      <c r="I46" s="76">
        <f t="shared" si="28"/>
        <v>0</v>
      </c>
      <c r="J46" s="76">
        <f t="shared" si="28"/>
        <v>0</v>
      </c>
      <c r="K46" s="76">
        <f t="shared" si="28"/>
        <v>0</v>
      </c>
      <c r="L46" s="76">
        <f t="shared" si="28"/>
        <v>0</v>
      </c>
      <c r="M46" s="76">
        <f t="shared" si="28"/>
        <v>0</v>
      </c>
      <c r="N46" s="76">
        <f>L46-J46</f>
        <v>0</v>
      </c>
      <c r="O46" s="77">
        <f>SUM(O37:O45)</f>
        <v>0</v>
      </c>
    </row>
    <row r="47" spans="1:15" ht="23.25" customHeight="1" x14ac:dyDescent="0.25">
      <c r="A47" s="30" t="s">
        <v>33</v>
      </c>
      <c r="B47" s="31"/>
      <c r="C47" s="32"/>
      <c r="D47" s="33"/>
      <c r="E47" s="69">
        <f>B46+E36+E26+E14</f>
        <v>0</v>
      </c>
      <c r="F47" s="69">
        <f t="shared" si="17"/>
        <v>0</v>
      </c>
      <c r="G47" s="69">
        <f>E46+G36+G26+G14</f>
        <v>0</v>
      </c>
      <c r="H47" s="69">
        <f t="shared" ref="H47:M47" si="29">H46+H36+H26+H14</f>
        <v>0</v>
      </c>
      <c r="I47" s="69">
        <f t="shared" si="29"/>
        <v>0</v>
      </c>
      <c r="J47" s="69">
        <f t="shared" si="29"/>
        <v>729.76</v>
      </c>
      <c r="K47" s="69">
        <f t="shared" si="29"/>
        <v>609.76</v>
      </c>
      <c r="L47" s="69">
        <f t="shared" si="29"/>
        <v>0</v>
      </c>
      <c r="M47" s="69">
        <f t="shared" si="29"/>
        <v>0</v>
      </c>
      <c r="N47" s="69">
        <f>L47-J47</f>
        <v>-729.76</v>
      </c>
      <c r="O47" s="77">
        <f>O46+O36+O26+O14</f>
        <v>0</v>
      </c>
    </row>
    <row r="48" spans="1:15" x14ac:dyDescent="0.25">
      <c r="A48" s="1"/>
      <c r="B48" s="1"/>
      <c r="C48" s="1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8">
    <mergeCell ref="G1:I1"/>
    <mergeCell ref="J1:K1"/>
    <mergeCell ref="L1:N1"/>
    <mergeCell ref="O1:O2"/>
    <mergeCell ref="N5:N13"/>
    <mergeCell ref="N15:N23"/>
    <mergeCell ref="N27:N35"/>
    <mergeCell ref="N37:N4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O46"/>
  <sheetViews>
    <sheetView workbookViewId="0">
      <pane ySplit="4" topLeftCell="A32" activePane="bottomLeft" state="frozen"/>
      <selection pane="bottomLeft" activeCell="F40" sqref="F40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83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40</v>
      </c>
      <c r="J4" s="65"/>
      <c r="K4" s="73">
        <f>K45</f>
        <v>355</v>
      </c>
      <c r="L4" s="24" t="s">
        <v>16</v>
      </c>
      <c r="M4" s="16"/>
      <c r="N4" s="126">
        <f>L45-J45+N3</f>
        <v>69.670000000000016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 t="s">
        <v>84</v>
      </c>
      <c r="C18" s="78" t="s">
        <v>63</v>
      </c>
      <c r="D18" s="85"/>
      <c r="E18" s="78"/>
      <c r="F18" s="85">
        <f t="shared" si="6"/>
        <v>40</v>
      </c>
      <c r="G18" s="85">
        <v>40</v>
      </c>
      <c r="H18" s="85">
        <v>0</v>
      </c>
      <c r="I18" s="85">
        <f t="shared" si="7"/>
        <v>40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40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40</v>
      </c>
      <c r="G24" s="76">
        <f t="shared" si="11"/>
        <v>40</v>
      </c>
      <c r="H24" s="76">
        <f t="shared" si="11"/>
        <v>0</v>
      </c>
      <c r="I24" s="76">
        <f t="shared" si="11"/>
        <v>40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40</v>
      </c>
    </row>
    <row r="25" spans="1:15" ht="23.25" customHeight="1" x14ac:dyDescent="0.25">
      <c r="A25" s="74" t="s">
        <v>25</v>
      </c>
      <c r="B25" s="65" t="s">
        <v>60</v>
      </c>
      <c r="C25" s="65" t="s">
        <v>85</v>
      </c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424.67</v>
      </c>
      <c r="M25" s="75">
        <f t="shared" ref="M25:M33" si="15">L25</f>
        <v>424.67</v>
      </c>
      <c r="N25" s="228"/>
      <c r="O25" s="75">
        <f t="shared" ref="O25:O33" si="16">G25+H25+L25</f>
        <v>424.67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78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>SUM(J25:J33)</f>
        <v>0</v>
      </c>
      <c r="K34" s="76">
        <f t="shared" si="17"/>
        <v>0</v>
      </c>
      <c r="L34" s="76">
        <f t="shared" si="17"/>
        <v>424.67</v>
      </c>
      <c r="M34" s="76">
        <f t="shared" si="17"/>
        <v>424.67</v>
      </c>
      <c r="N34" s="76">
        <f>L34-J34</f>
        <v>424.67</v>
      </c>
      <c r="O34" s="77">
        <f>SUM(O25:O33)</f>
        <v>424.67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78" t="s">
        <v>373</v>
      </c>
      <c r="C38" s="78"/>
      <c r="D38" s="8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250</v>
      </c>
      <c r="K38" s="75">
        <f t="shared" si="19"/>
        <v>250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78" t="s">
        <v>382</v>
      </c>
      <c r="C39" s="78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105</v>
      </c>
      <c r="K39" s="75">
        <f t="shared" si="19"/>
        <v>105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355</v>
      </c>
      <c r="K44" s="76">
        <f t="shared" si="22"/>
        <v>355</v>
      </c>
      <c r="L44" s="76">
        <f t="shared" si="22"/>
        <v>0</v>
      </c>
      <c r="M44" s="76">
        <f t="shared" si="22"/>
        <v>0</v>
      </c>
      <c r="N44" s="76">
        <f>L44-J44</f>
        <v>-355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40</v>
      </c>
      <c r="G45" s="69">
        <f>E44+G34+G24+G14</f>
        <v>40</v>
      </c>
      <c r="H45" s="69">
        <f t="shared" ref="H45:M45" si="23">H44+H34+H24+H14</f>
        <v>0</v>
      </c>
      <c r="I45" s="69">
        <f t="shared" si="23"/>
        <v>40</v>
      </c>
      <c r="J45" s="69">
        <f t="shared" si="23"/>
        <v>355</v>
      </c>
      <c r="K45" s="69">
        <f t="shared" si="23"/>
        <v>355</v>
      </c>
      <c r="L45" s="69">
        <f t="shared" si="23"/>
        <v>424.67</v>
      </c>
      <c r="M45" s="69">
        <f t="shared" si="23"/>
        <v>424.67</v>
      </c>
      <c r="N45" s="69">
        <f>L45-J45</f>
        <v>69.670000000000016</v>
      </c>
      <c r="O45" s="77">
        <f>O44+O34+O24+O14</f>
        <v>464.67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O46"/>
  <sheetViews>
    <sheetView topLeftCell="D1" workbookViewId="0">
      <pane ySplit="4" topLeftCell="A5" activePane="bottomLeft" state="frozen"/>
      <selection pane="bottomLeft" activeCell="X18" sqref="X18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86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7.62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26">
        <f>L45-J45+N3</f>
        <v>7.62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171"/>
      <c r="C26" s="78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172"/>
      <c r="C27" s="78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P46"/>
  <sheetViews>
    <sheetView workbookViewId="0">
      <pane ySplit="4" topLeftCell="A14" activePane="bottomLeft" state="frozen"/>
      <selection pane="bottomLeft" activeCell="E26" sqref="E26"/>
    </sheetView>
  </sheetViews>
  <sheetFormatPr baseColWidth="10" defaultColWidth="9" defaultRowHeight="15.75" x14ac:dyDescent="0.25"/>
  <cols>
    <col min="1" max="1" width="12.125" customWidth="1"/>
    <col min="2" max="2" width="24.2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6" ht="31.5" customHeight="1" x14ac:dyDescent="0.3">
      <c r="A1" s="7" t="s">
        <v>87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6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6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147" t="s">
        <v>88</v>
      </c>
      <c r="N3" s="147">
        <v>671.22</v>
      </c>
      <c r="O3" s="3"/>
      <c r="P3" t="s">
        <v>89</v>
      </c>
    </row>
    <row r="4" spans="1:16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645</v>
      </c>
      <c r="L4" s="144" t="s">
        <v>16</v>
      </c>
      <c r="M4" s="145"/>
      <c r="N4" s="146">
        <f>L45-J45+N3</f>
        <v>26.220000000000027</v>
      </c>
      <c r="O4" s="25"/>
    </row>
    <row r="5" spans="1:16" ht="40.5" customHeight="1" x14ac:dyDescent="0.25">
      <c r="A5" s="74"/>
      <c r="B5" s="143" t="s">
        <v>90</v>
      </c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6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6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6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6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6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6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6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6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6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6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6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 t="s">
        <v>91</v>
      </c>
      <c r="C21" s="78"/>
      <c r="D21" s="8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300</v>
      </c>
      <c r="K21" s="75">
        <f t="shared" si="8"/>
        <v>300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182"/>
      <c r="B22" s="78" t="s">
        <v>92</v>
      </c>
      <c r="C22" s="78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70</v>
      </c>
      <c r="K22" s="75">
        <f t="shared" si="8"/>
        <v>70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78" t="s">
        <v>93</v>
      </c>
      <c r="C23" s="78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75</v>
      </c>
      <c r="K23" s="75">
        <f t="shared" si="8"/>
        <v>75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445</v>
      </c>
      <c r="K24" s="76">
        <f t="shared" si="11"/>
        <v>445</v>
      </c>
      <c r="L24" s="76">
        <f t="shared" si="11"/>
        <v>0</v>
      </c>
      <c r="M24" s="76">
        <f t="shared" si="11"/>
        <v>0</v>
      </c>
      <c r="N24" s="76">
        <f>L24-J24</f>
        <v>-445</v>
      </c>
      <c r="O24" s="77">
        <f>SUM(O15:O23)</f>
        <v>0</v>
      </c>
    </row>
    <row r="25" spans="1:15" ht="23.25" customHeight="1" x14ac:dyDescent="0.25">
      <c r="A25" s="74" t="s">
        <v>25</v>
      </c>
      <c r="B25" s="65" t="s">
        <v>94</v>
      </c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200</v>
      </c>
      <c r="K25" s="75">
        <f t="shared" ref="K25:K33" si="14">SUM(J25)</f>
        <v>200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200</v>
      </c>
      <c r="K34" s="76">
        <f t="shared" si="17"/>
        <v>200</v>
      </c>
      <c r="L34" s="76">
        <f t="shared" si="17"/>
        <v>0</v>
      </c>
      <c r="M34" s="76">
        <f t="shared" si="17"/>
        <v>0</v>
      </c>
      <c r="N34" s="76">
        <f>L34-J34</f>
        <v>-200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645</v>
      </c>
      <c r="K45" s="69">
        <f t="shared" si="23"/>
        <v>645</v>
      </c>
      <c r="L45" s="69">
        <f t="shared" si="23"/>
        <v>0</v>
      </c>
      <c r="M45" s="69">
        <f t="shared" si="23"/>
        <v>0</v>
      </c>
      <c r="N45" s="69">
        <f>L45-J45</f>
        <v>-645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O46"/>
  <sheetViews>
    <sheetView workbookViewId="0">
      <pane ySplit="4" topLeftCell="A26" activePane="bottomLeft" state="frozen"/>
      <selection pane="bottomLeft" activeCell="E43" sqref="E43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42" t="s">
        <v>95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/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49.900000000000006</v>
      </c>
      <c r="J4" s="65"/>
      <c r="K4" s="73">
        <f>K45</f>
        <v>94.460000000000008</v>
      </c>
      <c r="L4" s="16" t="s">
        <v>35</v>
      </c>
      <c r="M4" s="17"/>
      <c r="N4" s="198">
        <f>L45-J4+N35</f>
        <v>73.77</v>
      </c>
      <c r="O4" s="25"/>
    </row>
    <row r="5" spans="1:15" ht="23.25" customHeight="1" x14ac:dyDescent="0.25">
      <c r="A5" s="74"/>
      <c r="B5" s="143" t="s">
        <v>96</v>
      </c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 t="s">
        <v>97</v>
      </c>
      <c r="C15" s="129"/>
      <c r="D15" s="130"/>
      <c r="E15" s="65"/>
      <c r="F15" s="75">
        <f t="shared" ref="F15:F23" si="6">I15-E15</f>
        <v>49.900000000000006</v>
      </c>
      <c r="G15" s="75">
        <v>9.91</v>
      </c>
      <c r="H15" s="75">
        <v>39.99</v>
      </c>
      <c r="I15" s="75">
        <f t="shared" ref="I15:I23" si="7">SUM(G15:H15)</f>
        <v>49.900000000000006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49.900000000000006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 t="s">
        <v>60</v>
      </c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21.08</v>
      </c>
      <c r="M18" s="75">
        <f t="shared" si="9"/>
        <v>21.08</v>
      </c>
      <c r="N18" s="228"/>
      <c r="O18" s="75">
        <f t="shared" si="10"/>
        <v>21.08</v>
      </c>
    </row>
    <row r="19" spans="1:15" ht="23.25" customHeight="1" x14ac:dyDescent="0.25">
      <c r="A19" s="74"/>
      <c r="B19" s="65" t="s">
        <v>60</v>
      </c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52.69</v>
      </c>
      <c r="M19" s="75">
        <f t="shared" si="9"/>
        <v>52.69</v>
      </c>
      <c r="N19" s="228"/>
      <c r="O19" s="75">
        <f t="shared" si="10"/>
        <v>52.69</v>
      </c>
    </row>
    <row r="20" spans="1:15" ht="23.25" customHeight="1" x14ac:dyDescent="0.25">
      <c r="A20" s="74"/>
      <c r="B20" s="78" t="s">
        <v>98</v>
      </c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38.96</v>
      </c>
      <c r="K20" s="75">
        <f t="shared" si="8"/>
        <v>38.96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 t="s">
        <v>99</v>
      </c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55.5</v>
      </c>
      <c r="K21" s="75">
        <f t="shared" si="8"/>
        <v>55.5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49.900000000000006</v>
      </c>
      <c r="G24" s="76">
        <f t="shared" si="11"/>
        <v>9.91</v>
      </c>
      <c r="H24" s="76">
        <f t="shared" si="11"/>
        <v>39.99</v>
      </c>
      <c r="I24" s="76">
        <f t="shared" si="11"/>
        <v>49.900000000000006</v>
      </c>
      <c r="J24" s="76">
        <f t="shared" si="11"/>
        <v>94.460000000000008</v>
      </c>
      <c r="K24" s="76">
        <f t="shared" si="11"/>
        <v>94.460000000000008</v>
      </c>
      <c r="L24" s="76">
        <f t="shared" si="11"/>
        <v>73.77</v>
      </c>
      <c r="M24" s="76">
        <f t="shared" si="11"/>
        <v>73.77</v>
      </c>
      <c r="N24" s="76">
        <f>L24-J24</f>
        <v>-20.690000000000012</v>
      </c>
      <c r="O24" s="77">
        <f>SUM(O15:O23)</f>
        <v>123.67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49.900000000000006</v>
      </c>
      <c r="G45" s="69">
        <f>E44+G34+G24+G14</f>
        <v>9.91</v>
      </c>
      <c r="H45" s="69">
        <f t="shared" ref="H45:M45" si="23">H44+H34+H24+H14</f>
        <v>39.99</v>
      </c>
      <c r="I45" s="69">
        <f t="shared" si="23"/>
        <v>49.900000000000006</v>
      </c>
      <c r="J45" s="69">
        <f t="shared" si="23"/>
        <v>94.460000000000008</v>
      </c>
      <c r="K45" s="69">
        <f t="shared" si="23"/>
        <v>94.460000000000008</v>
      </c>
      <c r="L45" s="69">
        <f t="shared" si="23"/>
        <v>73.77</v>
      </c>
      <c r="M45" s="69">
        <f t="shared" si="23"/>
        <v>73.77</v>
      </c>
      <c r="N45" s="69">
        <f>L45-J45</f>
        <v>-20.690000000000012</v>
      </c>
      <c r="O45" s="77">
        <f>O44+O34+O24+O14</f>
        <v>123.67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101"/>
  <sheetViews>
    <sheetView zoomScaleNormal="100" workbookViewId="0">
      <pane ySplit="4" topLeftCell="A80" activePane="bottomLeft" state="frozen"/>
      <selection pane="bottomLeft" activeCell="G93" sqref="G93"/>
    </sheetView>
  </sheetViews>
  <sheetFormatPr baseColWidth="10" defaultColWidth="9" defaultRowHeight="15.75" x14ac:dyDescent="0.25"/>
  <cols>
    <col min="1" max="1" width="12.125" customWidth="1"/>
    <col min="2" max="2" width="25" customWidth="1"/>
    <col min="3" max="3" width="33.625" customWidth="1"/>
    <col min="4" max="4" width="15.125" style="8" customWidth="1"/>
    <col min="5" max="6" width="10.375" customWidth="1"/>
    <col min="7" max="10" width="9.625" customWidth="1"/>
    <col min="11" max="11" width="14.375" customWidth="1"/>
    <col min="13" max="14" width="13.625" customWidth="1"/>
    <col min="15" max="1026" width="9.625" customWidth="1"/>
  </cols>
  <sheetData>
    <row r="1" spans="1:16" ht="31.5" customHeight="1" x14ac:dyDescent="0.3">
      <c r="A1" s="7" t="s">
        <v>100</v>
      </c>
      <c r="B1" s="12"/>
      <c r="C1" s="12"/>
      <c r="G1" s="233" t="s">
        <v>0</v>
      </c>
      <c r="H1" s="233"/>
      <c r="I1" s="233"/>
      <c r="J1" s="184"/>
      <c r="K1" s="234" t="s">
        <v>1</v>
      </c>
      <c r="L1" s="234"/>
      <c r="M1" s="235" t="s">
        <v>2</v>
      </c>
      <c r="N1" s="235"/>
      <c r="O1" s="235"/>
      <c r="P1" s="236" t="s">
        <v>3</v>
      </c>
    </row>
    <row r="2" spans="1:16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8"/>
      <c r="K2" s="19" t="s">
        <v>13</v>
      </c>
      <c r="L2" s="19" t="s">
        <v>12</v>
      </c>
      <c r="M2" s="20" t="s">
        <v>14</v>
      </c>
      <c r="N2" s="20" t="s">
        <v>12</v>
      </c>
      <c r="O2" s="20" t="s">
        <v>15</v>
      </c>
      <c r="P2" s="236"/>
    </row>
    <row r="3" spans="1:16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L3" s="4"/>
      <c r="N3" s="71">
        <v>2022</v>
      </c>
      <c r="O3" s="71">
        <v>654.65</v>
      </c>
      <c r="P3" s="3"/>
    </row>
    <row r="4" spans="1:16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I99</f>
        <v>8863.42</v>
      </c>
      <c r="J4" s="72"/>
      <c r="K4" s="65"/>
      <c r="L4" s="73">
        <f>L99</f>
        <v>292.77</v>
      </c>
      <c r="M4" s="24" t="s">
        <v>16</v>
      </c>
      <c r="N4" s="16"/>
      <c r="O4" s="131">
        <f>M99-K99+O3</f>
        <v>0</v>
      </c>
      <c r="P4" s="25"/>
    </row>
    <row r="5" spans="1:16" ht="23.25" customHeight="1" x14ac:dyDescent="0.25">
      <c r="A5" s="74" t="s">
        <v>17</v>
      </c>
      <c r="B5" s="87"/>
      <c r="C5" s="87"/>
      <c r="D5" s="75"/>
      <c r="E5" s="65"/>
      <c r="F5" s="75">
        <f t="shared" ref="F5:F20" si="0">I5-E5</f>
        <v>0</v>
      </c>
      <c r="G5" s="75">
        <v>0</v>
      </c>
      <c r="H5" s="75">
        <v>0</v>
      </c>
      <c r="I5" s="75">
        <f t="shared" ref="I5:I15" si="1">SUM(G5:H5)</f>
        <v>0</v>
      </c>
      <c r="J5" s="75"/>
      <c r="K5" s="88">
        <v>0</v>
      </c>
      <c r="L5" s="75">
        <f t="shared" ref="L5:L16" si="2">SUM(K5)</f>
        <v>0</v>
      </c>
      <c r="M5" s="75">
        <v>0</v>
      </c>
      <c r="N5" s="75">
        <f t="shared" ref="N5:N16" si="3">M5</f>
        <v>0</v>
      </c>
      <c r="O5" s="228"/>
      <c r="P5" s="75">
        <f t="shared" ref="P5:P15" si="4">G5+H5+M5</f>
        <v>0</v>
      </c>
    </row>
    <row r="6" spans="1:16" ht="23.25" customHeight="1" x14ac:dyDescent="0.25">
      <c r="A6" s="74"/>
      <c r="B6" s="87"/>
      <c r="C6" s="78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ref="I6:I11" si="5">SUM(G6:H6)</f>
        <v>0</v>
      </c>
      <c r="J6" s="75"/>
      <c r="K6" s="75">
        <v>0</v>
      </c>
      <c r="L6" s="75">
        <f t="shared" si="2"/>
        <v>0</v>
      </c>
      <c r="M6" s="75">
        <v>0</v>
      </c>
      <c r="N6" s="75">
        <f t="shared" si="3"/>
        <v>0</v>
      </c>
      <c r="O6" s="228"/>
      <c r="P6" s="75">
        <f t="shared" si="4"/>
        <v>0</v>
      </c>
    </row>
    <row r="7" spans="1:16" ht="23.25" customHeight="1" x14ac:dyDescent="0.25">
      <c r="A7" s="74"/>
      <c r="B7" s="78"/>
      <c r="C7" s="90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5"/>
        <v>0</v>
      </c>
      <c r="J7" s="75"/>
      <c r="K7" s="75">
        <v>0</v>
      </c>
      <c r="L7" s="75">
        <f t="shared" si="2"/>
        <v>0</v>
      </c>
      <c r="M7" s="75">
        <v>0</v>
      </c>
      <c r="N7" s="75">
        <f t="shared" si="3"/>
        <v>0</v>
      </c>
      <c r="O7" s="228"/>
      <c r="P7" s="75">
        <f t="shared" si="4"/>
        <v>0</v>
      </c>
    </row>
    <row r="8" spans="1:16" ht="23.25" customHeight="1" x14ac:dyDescent="0.25">
      <c r="A8" s="74"/>
      <c r="B8" s="87"/>
      <c r="C8" s="89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5"/>
        <v>0</v>
      </c>
      <c r="J8" s="75"/>
      <c r="K8" s="75">
        <v>0</v>
      </c>
      <c r="L8" s="75">
        <f t="shared" si="2"/>
        <v>0</v>
      </c>
      <c r="M8" s="75">
        <v>0</v>
      </c>
      <c r="N8" s="75">
        <f t="shared" si="3"/>
        <v>0</v>
      </c>
      <c r="O8" s="228"/>
      <c r="P8" s="75">
        <f t="shared" si="4"/>
        <v>0</v>
      </c>
    </row>
    <row r="9" spans="1:16" ht="23.25" customHeight="1" x14ac:dyDescent="0.25">
      <c r="A9" s="74" t="s">
        <v>18</v>
      </c>
      <c r="B9" s="87" t="s">
        <v>101</v>
      </c>
      <c r="C9" s="90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5"/>
        <v>0</v>
      </c>
      <c r="J9" s="75"/>
      <c r="K9" s="75">
        <v>30.25</v>
      </c>
      <c r="L9" s="75">
        <f t="shared" si="2"/>
        <v>30.25</v>
      </c>
      <c r="M9" s="75">
        <v>0</v>
      </c>
      <c r="N9" s="75">
        <f t="shared" si="3"/>
        <v>0</v>
      </c>
      <c r="O9" s="228"/>
      <c r="P9" s="75">
        <f t="shared" si="4"/>
        <v>0</v>
      </c>
    </row>
    <row r="10" spans="1:16" ht="23.25" customHeight="1" x14ac:dyDescent="0.25">
      <c r="A10" s="91"/>
      <c r="B10" s="87"/>
      <c r="C10" s="87"/>
      <c r="D10" s="92"/>
      <c r="E10" s="90"/>
      <c r="F10" s="92">
        <f t="shared" si="0"/>
        <v>0</v>
      </c>
      <c r="G10" s="92">
        <v>0</v>
      </c>
      <c r="H10" s="92">
        <v>0</v>
      </c>
      <c r="I10" s="92">
        <f t="shared" si="5"/>
        <v>0</v>
      </c>
      <c r="J10" s="92"/>
      <c r="K10" s="75">
        <v>0</v>
      </c>
      <c r="L10" s="75">
        <f t="shared" si="2"/>
        <v>0</v>
      </c>
      <c r="M10" s="75">
        <v>0</v>
      </c>
      <c r="N10" s="75">
        <f t="shared" si="3"/>
        <v>0</v>
      </c>
      <c r="O10" s="228"/>
      <c r="P10" s="75">
        <f t="shared" si="4"/>
        <v>0</v>
      </c>
    </row>
    <row r="11" spans="1:16" ht="23.25" customHeight="1" x14ac:dyDescent="0.25">
      <c r="A11" s="74"/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5"/>
        <v>0</v>
      </c>
      <c r="J11" s="75"/>
      <c r="K11" s="75">
        <v>0</v>
      </c>
      <c r="L11" s="75">
        <f t="shared" si="2"/>
        <v>0</v>
      </c>
      <c r="M11" s="75">
        <v>0</v>
      </c>
      <c r="N11" s="75">
        <f t="shared" si="3"/>
        <v>0</v>
      </c>
      <c r="O11" s="228"/>
      <c r="P11" s="75">
        <f t="shared" si="4"/>
        <v>0</v>
      </c>
    </row>
    <row r="12" spans="1:16" ht="23.25" customHeight="1" x14ac:dyDescent="0.25">
      <c r="A12" s="65"/>
      <c r="B12" s="117"/>
      <c r="C12" s="87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/>
      <c r="K12" s="88">
        <v>0</v>
      </c>
      <c r="L12" s="75">
        <f t="shared" si="2"/>
        <v>0</v>
      </c>
      <c r="M12" s="75">
        <v>0</v>
      </c>
      <c r="N12" s="75">
        <f t="shared" si="3"/>
        <v>0</v>
      </c>
      <c r="O12" s="228"/>
      <c r="P12" s="75">
        <f t="shared" si="4"/>
        <v>0</v>
      </c>
    </row>
    <row r="13" spans="1:16" ht="23.25" customHeight="1" x14ac:dyDescent="0.25">
      <c r="A13" s="74" t="s">
        <v>19</v>
      </c>
      <c r="B13" s="87"/>
      <c r="C13" s="89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/>
      <c r="K13" s="88">
        <v>0</v>
      </c>
      <c r="L13" s="75">
        <f t="shared" si="2"/>
        <v>0</v>
      </c>
      <c r="M13" s="75">
        <v>0</v>
      </c>
      <c r="N13" s="75">
        <f t="shared" si="3"/>
        <v>0</v>
      </c>
      <c r="O13" s="228"/>
      <c r="P13" s="75">
        <f t="shared" si="4"/>
        <v>0</v>
      </c>
    </row>
    <row r="14" spans="1:16" ht="23.25" customHeight="1" x14ac:dyDescent="0.25">
      <c r="A14" s="74"/>
      <c r="B14" s="118" t="s">
        <v>102</v>
      </c>
      <c r="C14" s="89"/>
      <c r="D14" s="85"/>
      <c r="E14" s="65"/>
      <c r="F14" s="75">
        <f t="shared" si="0"/>
        <v>0</v>
      </c>
      <c r="G14" s="75">
        <v>0</v>
      </c>
      <c r="H14" s="75">
        <v>0</v>
      </c>
      <c r="I14" s="75">
        <f t="shared" si="1"/>
        <v>0</v>
      </c>
      <c r="J14" s="75"/>
      <c r="K14" s="88">
        <v>20</v>
      </c>
      <c r="L14" s="75">
        <f t="shared" si="2"/>
        <v>20</v>
      </c>
      <c r="M14" s="75">
        <v>0</v>
      </c>
      <c r="N14" s="75">
        <f t="shared" si="3"/>
        <v>0</v>
      </c>
      <c r="O14" s="228"/>
      <c r="P14" s="75">
        <f t="shared" si="4"/>
        <v>0</v>
      </c>
    </row>
    <row r="15" spans="1:16" ht="23.25" customHeight="1" x14ac:dyDescent="0.25">
      <c r="A15" s="74"/>
      <c r="B15" s="78" t="s">
        <v>103</v>
      </c>
      <c r="C15" s="83"/>
      <c r="D15" s="75"/>
      <c r="E15" s="65"/>
      <c r="F15" s="75">
        <f t="shared" si="0"/>
        <v>0</v>
      </c>
      <c r="G15" s="75">
        <v>0</v>
      </c>
      <c r="H15" s="75">
        <v>0</v>
      </c>
      <c r="I15" s="75">
        <f t="shared" si="1"/>
        <v>0</v>
      </c>
      <c r="J15" s="75"/>
      <c r="K15" s="88">
        <v>0</v>
      </c>
      <c r="L15" s="75">
        <f t="shared" si="2"/>
        <v>0</v>
      </c>
      <c r="M15" s="75">
        <v>0</v>
      </c>
      <c r="N15" s="75">
        <f t="shared" si="3"/>
        <v>0</v>
      </c>
      <c r="O15" s="228"/>
      <c r="P15" s="75">
        <f t="shared" si="4"/>
        <v>0</v>
      </c>
    </row>
    <row r="16" spans="1:16" ht="23.25" customHeight="1" x14ac:dyDescent="0.25">
      <c r="A16" s="74"/>
      <c r="B16" s="87"/>
      <c r="C16" s="89"/>
      <c r="D16" s="75"/>
      <c r="E16" s="65"/>
      <c r="F16" s="75">
        <f t="shared" si="0"/>
        <v>0</v>
      </c>
      <c r="G16" s="75">
        <v>0</v>
      </c>
      <c r="H16" s="75">
        <v>0</v>
      </c>
      <c r="I16" s="75">
        <f>SUM(G16:H16)</f>
        <v>0</v>
      </c>
      <c r="J16" s="75"/>
      <c r="K16" s="75">
        <v>0</v>
      </c>
      <c r="L16" s="75">
        <f t="shared" si="2"/>
        <v>0</v>
      </c>
      <c r="M16" s="75">
        <v>0</v>
      </c>
      <c r="N16" s="75">
        <f t="shared" si="3"/>
        <v>0</v>
      </c>
      <c r="O16" s="183"/>
      <c r="P16" s="75">
        <f>G16+H16+M16</f>
        <v>0</v>
      </c>
    </row>
    <row r="17" spans="1:16" ht="23.25" customHeight="1" x14ac:dyDescent="0.25">
      <c r="A17" s="74"/>
      <c r="B17" s="89" t="s">
        <v>60</v>
      </c>
      <c r="C17" s="89"/>
      <c r="D17" s="75"/>
      <c r="E17" s="65"/>
      <c r="F17" s="75">
        <f t="shared" si="0"/>
        <v>0</v>
      </c>
      <c r="G17" s="75">
        <v>0</v>
      </c>
      <c r="H17" s="75">
        <v>0</v>
      </c>
      <c r="I17" s="75">
        <f>SUM(G17:H17)</f>
        <v>0</v>
      </c>
      <c r="J17" s="75"/>
      <c r="K17" s="75">
        <v>0</v>
      </c>
      <c r="L17" s="75">
        <f>SUM(K17)</f>
        <v>0</v>
      </c>
      <c r="M17" s="75">
        <v>185.8</v>
      </c>
      <c r="N17" s="75">
        <f>M17</f>
        <v>185.8</v>
      </c>
      <c r="O17" s="183"/>
      <c r="P17" s="75">
        <f>G17+H17+M17</f>
        <v>185.8</v>
      </c>
    </row>
    <row r="18" spans="1:16" ht="23.25" customHeight="1" x14ac:dyDescent="0.25">
      <c r="A18" s="74"/>
      <c r="B18" s="119" t="s">
        <v>104</v>
      </c>
      <c r="C18" s="87" t="s">
        <v>105</v>
      </c>
      <c r="D18" s="75"/>
      <c r="E18" s="65"/>
      <c r="F18" s="75">
        <f t="shared" si="0"/>
        <v>339.89</v>
      </c>
      <c r="G18" s="75">
        <v>339.89</v>
      </c>
      <c r="H18" s="75">
        <v>0</v>
      </c>
      <c r="I18" s="75">
        <f t="shared" ref="I18" si="6">SUM(G18:H18)</f>
        <v>339.89</v>
      </c>
      <c r="J18" s="75"/>
      <c r="K18" s="75">
        <v>0</v>
      </c>
      <c r="L18" s="75">
        <f t="shared" ref="L18" si="7">SUM(K18)</f>
        <v>0</v>
      </c>
      <c r="M18" s="75">
        <v>0</v>
      </c>
      <c r="N18" s="75">
        <f t="shared" ref="N18" si="8">M18</f>
        <v>0</v>
      </c>
      <c r="O18" s="183"/>
      <c r="P18" s="75"/>
    </row>
    <row r="19" spans="1:16" ht="23.25" customHeight="1" x14ac:dyDescent="0.25">
      <c r="A19" s="74"/>
      <c r="B19" s="87" t="s">
        <v>106</v>
      </c>
      <c r="C19" s="87" t="s">
        <v>105</v>
      </c>
      <c r="D19" s="75"/>
      <c r="E19" s="65"/>
      <c r="F19" s="75">
        <f t="shared" si="0"/>
        <v>397.38</v>
      </c>
      <c r="G19" s="75">
        <v>397.38</v>
      </c>
      <c r="H19" s="75">
        <v>0</v>
      </c>
      <c r="I19" s="75">
        <f>SUM(G19:H19)</f>
        <v>397.38</v>
      </c>
      <c r="J19" s="75"/>
      <c r="K19" s="75">
        <v>206.25</v>
      </c>
      <c r="L19" s="75">
        <f>SUM(K19)</f>
        <v>206.25</v>
      </c>
      <c r="M19" s="75">
        <v>0</v>
      </c>
      <c r="N19" s="75">
        <f>M19</f>
        <v>0</v>
      </c>
      <c r="O19" s="183"/>
      <c r="P19" s="75">
        <f t="shared" ref="P19:P27" si="9">G19+H19+M19</f>
        <v>397.38</v>
      </c>
    </row>
    <row r="20" spans="1:16" ht="23.25" customHeight="1" x14ac:dyDescent="0.25">
      <c r="A20" s="74"/>
      <c r="B20" s="87" t="s">
        <v>107</v>
      </c>
      <c r="C20" s="87" t="s">
        <v>105</v>
      </c>
      <c r="D20" s="75"/>
      <c r="E20" s="65"/>
      <c r="F20" s="75">
        <f t="shared" si="0"/>
        <v>873.57</v>
      </c>
      <c r="G20" s="75">
        <v>873.57</v>
      </c>
      <c r="H20" s="75">
        <v>0</v>
      </c>
      <c r="I20" s="75">
        <f t="shared" ref="I20:I22" si="10">SUM(G20:H20)</f>
        <v>873.57</v>
      </c>
      <c r="J20" s="75"/>
      <c r="K20" s="75">
        <v>0</v>
      </c>
      <c r="L20" s="75">
        <f t="shared" ref="L20:L27" si="11">SUM(K20)</f>
        <v>0</v>
      </c>
      <c r="M20" s="75">
        <v>0</v>
      </c>
      <c r="N20" s="75">
        <f t="shared" ref="N20:N27" si="12">M20</f>
        <v>0</v>
      </c>
      <c r="O20" s="183"/>
      <c r="P20" s="75">
        <f t="shared" si="9"/>
        <v>873.57</v>
      </c>
    </row>
    <row r="21" spans="1:16" ht="23.25" customHeight="1" x14ac:dyDescent="0.25">
      <c r="A21" s="91"/>
      <c r="B21" s="87" t="s">
        <v>108</v>
      </c>
      <c r="C21" s="87" t="s">
        <v>105</v>
      </c>
      <c r="D21" s="92"/>
      <c r="E21" s="90"/>
      <c r="F21" s="92">
        <f t="shared" ref="F21:F27" si="13">I21-E21</f>
        <v>74.430000000000007</v>
      </c>
      <c r="G21" s="92">
        <v>74.430000000000007</v>
      </c>
      <c r="H21" s="92">
        <v>0</v>
      </c>
      <c r="I21" s="92">
        <f t="shared" si="10"/>
        <v>74.430000000000007</v>
      </c>
      <c r="J21" s="92"/>
      <c r="K21" s="75">
        <v>0</v>
      </c>
      <c r="L21" s="75">
        <f t="shared" si="11"/>
        <v>0</v>
      </c>
      <c r="M21" s="75">
        <v>0</v>
      </c>
      <c r="N21" s="75">
        <f t="shared" si="12"/>
        <v>0</v>
      </c>
      <c r="O21" s="183"/>
      <c r="P21" s="75">
        <f t="shared" si="9"/>
        <v>74.430000000000007</v>
      </c>
    </row>
    <row r="22" spans="1:16" ht="23.25" customHeight="1" x14ac:dyDescent="0.25">
      <c r="A22" s="74"/>
      <c r="B22" s="78" t="s">
        <v>109</v>
      </c>
      <c r="C22" s="78" t="s">
        <v>105</v>
      </c>
      <c r="D22" s="75"/>
      <c r="E22" s="65"/>
      <c r="F22" s="75">
        <f t="shared" si="13"/>
        <v>683.88</v>
      </c>
      <c r="G22" s="75">
        <v>683.88</v>
      </c>
      <c r="H22" s="75">
        <v>0</v>
      </c>
      <c r="I22" s="75">
        <f t="shared" si="10"/>
        <v>683.88</v>
      </c>
      <c r="J22" s="75"/>
      <c r="K22" s="75">
        <v>0</v>
      </c>
      <c r="L22" s="75">
        <f t="shared" si="11"/>
        <v>0</v>
      </c>
      <c r="M22" s="75">
        <v>0</v>
      </c>
      <c r="N22" s="75">
        <f t="shared" si="12"/>
        <v>0</v>
      </c>
      <c r="O22" s="183"/>
      <c r="P22" s="75">
        <f t="shared" si="9"/>
        <v>683.88</v>
      </c>
    </row>
    <row r="23" spans="1:16" ht="23.25" customHeight="1" x14ac:dyDescent="0.25">
      <c r="A23" s="65"/>
      <c r="B23" s="117" t="s">
        <v>110</v>
      </c>
      <c r="C23" s="87" t="s">
        <v>105</v>
      </c>
      <c r="D23" s="75"/>
      <c r="E23" s="65"/>
      <c r="F23" s="75">
        <f t="shared" si="13"/>
        <v>578.16999999999996</v>
      </c>
      <c r="G23" s="75">
        <v>578.16999999999996</v>
      </c>
      <c r="H23" s="75">
        <v>0</v>
      </c>
      <c r="I23" s="75">
        <f t="shared" ref="I23" si="14">SUM(G23:H23)</f>
        <v>578.16999999999996</v>
      </c>
      <c r="J23" s="75"/>
      <c r="K23" s="88">
        <v>0</v>
      </c>
      <c r="L23" s="75">
        <f t="shared" si="11"/>
        <v>0</v>
      </c>
      <c r="M23" s="75">
        <v>0</v>
      </c>
      <c r="N23" s="75">
        <f t="shared" si="12"/>
        <v>0</v>
      </c>
      <c r="O23" s="183"/>
      <c r="P23" s="75">
        <f t="shared" si="9"/>
        <v>578.16999999999996</v>
      </c>
    </row>
    <row r="24" spans="1:16" ht="23.25" customHeight="1" x14ac:dyDescent="0.25">
      <c r="A24" s="74"/>
      <c r="B24" s="87" t="s">
        <v>111</v>
      </c>
      <c r="C24" s="78" t="s">
        <v>105</v>
      </c>
      <c r="D24" s="75"/>
      <c r="E24" s="65"/>
      <c r="F24" s="75">
        <f t="shared" si="13"/>
        <v>667.74</v>
      </c>
      <c r="G24" s="75">
        <v>667.74</v>
      </c>
      <c r="H24" s="75">
        <v>0</v>
      </c>
      <c r="I24" s="75">
        <f t="shared" ref="I24:I27" si="15">SUM(G24:H24)</f>
        <v>667.74</v>
      </c>
      <c r="J24" s="75"/>
      <c r="K24" s="75">
        <v>0</v>
      </c>
      <c r="L24" s="75">
        <f t="shared" si="11"/>
        <v>0</v>
      </c>
      <c r="M24" s="75">
        <v>0</v>
      </c>
      <c r="N24" s="75">
        <f t="shared" si="12"/>
        <v>0</v>
      </c>
      <c r="O24" s="183"/>
      <c r="P24" s="75">
        <f t="shared" si="9"/>
        <v>667.74</v>
      </c>
    </row>
    <row r="25" spans="1:16" ht="23.25" customHeight="1" x14ac:dyDescent="0.25">
      <c r="A25" s="74"/>
      <c r="B25" s="78" t="s">
        <v>112</v>
      </c>
      <c r="C25" s="87" t="s">
        <v>105</v>
      </c>
      <c r="D25" s="75"/>
      <c r="E25" s="65"/>
      <c r="F25" s="75">
        <f t="shared" si="13"/>
        <v>54.21</v>
      </c>
      <c r="G25" s="75">
        <v>54.21</v>
      </c>
      <c r="H25" s="75">
        <v>0</v>
      </c>
      <c r="I25" s="75">
        <f t="shared" si="15"/>
        <v>54.21</v>
      </c>
      <c r="J25" s="75"/>
      <c r="K25" s="75">
        <v>0</v>
      </c>
      <c r="L25" s="75">
        <f t="shared" si="11"/>
        <v>0</v>
      </c>
      <c r="M25" s="75">
        <v>0</v>
      </c>
      <c r="N25" s="75">
        <f t="shared" si="12"/>
        <v>0</v>
      </c>
      <c r="O25" s="183"/>
      <c r="P25" s="75">
        <f t="shared" si="9"/>
        <v>54.21</v>
      </c>
    </row>
    <row r="26" spans="1:16" ht="23.25" customHeight="1" x14ac:dyDescent="0.25">
      <c r="A26" s="74"/>
      <c r="B26" s="87" t="s">
        <v>113</v>
      </c>
      <c r="C26" s="87" t="s">
        <v>105</v>
      </c>
      <c r="D26" s="75"/>
      <c r="E26" s="65"/>
      <c r="F26" s="75">
        <f t="shared" si="13"/>
        <v>753.59</v>
      </c>
      <c r="G26" s="75">
        <v>753.59</v>
      </c>
      <c r="H26" s="75">
        <v>0</v>
      </c>
      <c r="I26" s="75">
        <f t="shared" si="15"/>
        <v>753.59</v>
      </c>
      <c r="J26" s="75"/>
      <c r="K26" s="75">
        <v>0</v>
      </c>
      <c r="L26" s="75">
        <f t="shared" si="11"/>
        <v>0</v>
      </c>
      <c r="M26" s="75">
        <v>0</v>
      </c>
      <c r="N26" s="75">
        <f t="shared" si="12"/>
        <v>0</v>
      </c>
      <c r="O26" s="183"/>
      <c r="P26" s="75">
        <f t="shared" si="9"/>
        <v>753.59</v>
      </c>
    </row>
    <row r="27" spans="1:16" ht="23.25" customHeight="1" x14ac:dyDescent="0.25">
      <c r="A27" s="74"/>
      <c r="B27" s="87" t="s">
        <v>114</v>
      </c>
      <c r="C27" s="87" t="s">
        <v>115</v>
      </c>
      <c r="D27" s="75"/>
      <c r="E27" s="65"/>
      <c r="F27" s="75">
        <f t="shared" si="13"/>
        <v>108.83</v>
      </c>
      <c r="G27" s="75">
        <v>108.83</v>
      </c>
      <c r="H27" s="75">
        <v>0</v>
      </c>
      <c r="I27" s="75">
        <f t="shared" si="15"/>
        <v>108.83</v>
      </c>
      <c r="J27" s="75"/>
      <c r="K27" s="75">
        <v>269.23</v>
      </c>
      <c r="L27" s="75">
        <f t="shared" si="11"/>
        <v>269.23</v>
      </c>
      <c r="M27" s="75">
        <v>0</v>
      </c>
      <c r="N27" s="75">
        <f t="shared" si="12"/>
        <v>0</v>
      </c>
      <c r="O27" s="183"/>
      <c r="P27" s="75">
        <f t="shared" si="9"/>
        <v>108.83</v>
      </c>
    </row>
    <row r="28" spans="1:16" ht="23.25" customHeight="1" x14ac:dyDescent="0.25">
      <c r="A28" s="26" t="s">
        <v>20</v>
      </c>
      <c r="B28" s="27"/>
      <c r="C28" s="28"/>
      <c r="D28" s="29"/>
      <c r="E28" s="76">
        <v>0</v>
      </c>
      <c r="F28" s="76">
        <v>0</v>
      </c>
      <c r="G28" s="76">
        <f>SUM(G5:G15)</f>
        <v>0</v>
      </c>
      <c r="H28" s="76">
        <f>SUM(H5:H15)</f>
        <v>0</v>
      </c>
      <c r="I28" s="76">
        <f>SUM(I5:I15)</f>
        <v>0</v>
      </c>
      <c r="J28" s="76"/>
      <c r="K28" s="76">
        <f>SUM(K5:K27)</f>
        <v>525.73</v>
      </c>
      <c r="L28" s="76">
        <f>SUM(L5:L15)</f>
        <v>50.25</v>
      </c>
      <c r="M28" s="76">
        <f>SUM(M5:M15)</f>
        <v>0</v>
      </c>
      <c r="N28" s="76">
        <f>SUM(N5:N15)</f>
        <v>0</v>
      </c>
      <c r="O28" s="76">
        <f>M28-K28</f>
        <v>-525.73</v>
      </c>
      <c r="P28" s="77">
        <f>SUM(P5:P15)</f>
        <v>0</v>
      </c>
    </row>
    <row r="29" spans="1:16" ht="23.25" customHeight="1" x14ac:dyDescent="0.25">
      <c r="A29" s="74" t="s">
        <v>21</v>
      </c>
      <c r="B29" s="87" t="s">
        <v>116</v>
      </c>
      <c r="C29" s="87" t="s">
        <v>117</v>
      </c>
      <c r="D29" s="75"/>
      <c r="E29" s="65"/>
      <c r="F29" s="75">
        <f t="shared" ref="F29:F52" si="16">I29-E29</f>
        <v>0</v>
      </c>
      <c r="G29" s="75">
        <v>0</v>
      </c>
      <c r="H29" s="75">
        <v>0</v>
      </c>
      <c r="I29" s="75">
        <f t="shared" ref="I29:I51" si="17">SUM(G29:H29)</f>
        <v>0</v>
      </c>
      <c r="J29" s="75"/>
      <c r="K29" s="75">
        <v>82</v>
      </c>
      <c r="L29" s="75">
        <f t="shared" ref="L29:L51" si="18">SUM(K29)</f>
        <v>82</v>
      </c>
      <c r="M29" s="75">
        <v>0</v>
      </c>
      <c r="N29" s="75">
        <f t="shared" ref="N29:N51" si="19">M29</f>
        <v>0</v>
      </c>
      <c r="O29" s="228"/>
      <c r="P29" s="75">
        <f t="shared" ref="P29:P53" si="20">G29+H29+M29</f>
        <v>0</v>
      </c>
    </row>
    <row r="30" spans="1:16" ht="23.25" customHeight="1" x14ac:dyDescent="0.25">
      <c r="A30" s="74"/>
      <c r="B30" s="87" t="s">
        <v>118</v>
      </c>
      <c r="C30" s="87"/>
      <c r="D30" s="75"/>
      <c r="E30" s="65"/>
      <c r="F30" s="75">
        <f t="shared" si="16"/>
        <v>0</v>
      </c>
      <c r="G30" s="75">
        <v>0</v>
      </c>
      <c r="H30" s="75">
        <v>0</v>
      </c>
      <c r="I30" s="75">
        <f t="shared" si="17"/>
        <v>0</v>
      </c>
      <c r="J30" s="75"/>
      <c r="K30" s="75">
        <v>20</v>
      </c>
      <c r="L30" s="75">
        <f t="shared" si="18"/>
        <v>20</v>
      </c>
      <c r="M30" s="75">
        <v>0</v>
      </c>
      <c r="N30" s="75">
        <f t="shared" si="19"/>
        <v>0</v>
      </c>
      <c r="O30" s="228"/>
      <c r="P30" s="75">
        <f t="shared" si="20"/>
        <v>0</v>
      </c>
    </row>
    <row r="31" spans="1:16" ht="23.25" customHeight="1" x14ac:dyDescent="0.25">
      <c r="A31" s="74"/>
      <c r="B31" s="87"/>
      <c r="C31" s="90"/>
      <c r="D31" s="75"/>
      <c r="E31" s="65"/>
      <c r="F31" s="75">
        <f t="shared" si="16"/>
        <v>0</v>
      </c>
      <c r="G31" s="75">
        <v>0</v>
      </c>
      <c r="H31" s="75">
        <v>0</v>
      </c>
      <c r="I31" s="75">
        <f t="shared" si="17"/>
        <v>0</v>
      </c>
      <c r="J31" s="75"/>
      <c r="K31" s="75">
        <v>0</v>
      </c>
      <c r="L31" s="75">
        <f t="shared" si="18"/>
        <v>0</v>
      </c>
      <c r="M31" s="75">
        <v>0</v>
      </c>
      <c r="N31" s="75">
        <f t="shared" si="19"/>
        <v>0</v>
      </c>
      <c r="O31" s="228"/>
      <c r="P31" s="75">
        <f t="shared" si="20"/>
        <v>0</v>
      </c>
    </row>
    <row r="32" spans="1:16" ht="23.25" customHeight="1" x14ac:dyDescent="0.25">
      <c r="A32" s="74"/>
      <c r="B32" s="87"/>
      <c r="C32" s="90"/>
      <c r="D32" s="75"/>
      <c r="E32" s="65"/>
      <c r="F32" s="75">
        <f t="shared" ref="F32:F33" si="21">I32-E32</f>
        <v>0</v>
      </c>
      <c r="G32" s="75">
        <v>0</v>
      </c>
      <c r="H32" s="75">
        <v>0</v>
      </c>
      <c r="I32" s="75">
        <f t="shared" ref="I32:I33" si="22">SUM(G32:H32)</f>
        <v>0</v>
      </c>
      <c r="J32" s="75"/>
      <c r="K32" s="75">
        <v>0</v>
      </c>
      <c r="L32" s="75">
        <f t="shared" ref="L32:L33" si="23">SUM(K32)</f>
        <v>0</v>
      </c>
      <c r="M32" s="75">
        <v>0</v>
      </c>
      <c r="N32" s="75">
        <f t="shared" ref="N32:N33" si="24">M32</f>
        <v>0</v>
      </c>
      <c r="O32" s="228"/>
      <c r="P32" s="75">
        <f t="shared" si="20"/>
        <v>0</v>
      </c>
    </row>
    <row r="33" spans="1:16" ht="23.25" customHeight="1" x14ac:dyDescent="0.25">
      <c r="A33" s="74"/>
      <c r="B33" s="89" t="s">
        <v>119</v>
      </c>
      <c r="C33" s="89" t="s">
        <v>120</v>
      </c>
      <c r="D33" s="75"/>
      <c r="E33" s="65"/>
      <c r="F33" s="75">
        <f t="shared" si="21"/>
        <v>590.92999999999995</v>
      </c>
      <c r="G33" s="75">
        <v>590.92999999999995</v>
      </c>
      <c r="H33" s="75">
        <v>0</v>
      </c>
      <c r="I33" s="75">
        <f t="shared" si="22"/>
        <v>590.92999999999995</v>
      </c>
      <c r="J33" s="75"/>
      <c r="K33" s="75">
        <v>0</v>
      </c>
      <c r="L33" s="75">
        <f t="shared" si="23"/>
        <v>0</v>
      </c>
      <c r="M33" s="75">
        <v>0</v>
      </c>
      <c r="N33" s="75">
        <f t="shared" si="24"/>
        <v>0</v>
      </c>
      <c r="O33" s="228"/>
      <c r="P33" s="75">
        <f t="shared" si="20"/>
        <v>590.92999999999995</v>
      </c>
    </row>
    <row r="34" spans="1:16" ht="23.25" customHeight="1" x14ac:dyDescent="0.25">
      <c r="A34" s="74"/>
      <c r="B34" s="89" t="s">
        <v>121</v>
      </c>
      <c r="C34" s="89" t="s">
        <v>120</v>
      </c>
      <c r="D34" s="75"/>
      <c r="E34" s="65"/>
      <c r="F34" s="75">
        <v>0</v>
      </c>
      <c r="G34" s="75">
        <v>275.35000000000002</v>
      </c>
      <c r="H34" s="75">
        <v>0</v>
      </c>
      <c r="I34" s="75">
        <f t="shared" ref="I34" si="25">SUM(G34:H34)</f>
        <v>275.35000000000002</v>
      </c>
      <c r="J34" s="75"/>
      <c r="K34" s="75">
        <v>0</v>
      </c>
      <c r="L34" s="75">
        <f t="shared" ref="L34" si="26">SUM(K34)</f>
        <v>0</v>
      </c>
      <c r="M34" s="75">
        <v>0</v>
      </c>
      <c r="N34" s="75">
        <f t="shared" ref="N34" si="27">M34</f>
        <v>0</v>
      </c>
      <c r="O34" s="228"/>
      <c r="P34" s="75">
        <f t="shared" si="20"/>
        <v>275.35000000000002</v>
      </c>
    </row>
    <row r="35" spans="1:16" ht="23.25" customHeight="1" x14ac:dyDescent="0.25">
      <c r="A35" s="74"/>
      <c r="B35" s="89" t="s">
        <v>122</v>
      </c>
      <c r="C35" s="89" t="s">
        <v>120</v>
      </c>
      <c r="D35" s="75"/>
      <c r="E35" s="65"/>
      <c r="F35" s="75">
        <v>0</v>
      </c>
      <c r="G35" s="75">
        <v>148.66999999999999</v>
      </c>
      <c r="H35" s="75">
        <v>0</v>
      </c>
      <c r="I35" s="75">
        <f t="shared" ref="I35:I36" si="28">SUM(G35:H35)</f>
        <v>148.66999999999999</v>
      </c>
      <c r="J35" s="75"/>
      <c r="K35" s="75">
        <v>0</v>
      </c>
      <c r="L35" s="75">
        <f t="shared" ref="L35:L36" si="29">SUM(K35)</f>
        <v>0</v>
      </c>
      <c r="M35" s="75">
        <v>0</v>
      </c>
      <c r="N35" s="75">
        <f t="shared" ref="N35:N36" si="30">M35</f>
        <v>0</v>
      </c>
      <c r="O35" s="228"/>
      <c r="P35" s="75">
        <f t="shared" si="20"/>
        <v>148.66999999999999</v>
      </c>
    </row>
    <row r="36" spans="1:16" ht="23.25" customHeight="1" x14ac:dyDescent="0.25">
      <c r="A36" s="74"/>
      <c r="B36" s="89" t="s">
        <v>123</v>
      </c>
      <c r="C36" s="89" t="s">
        <v>120</v>
      </c>
      <c r="D36" s="75"/>
      <c r="E36" s="65"/>
      <c r="F36" s="75">
        <v>0</v>
      </c>
      <c r="G36" s="75">
        <v>990.43</v>
      </c>
      <c r="H36" s="75">
        <v>0</v>
      </c>
      <c r="I36" s="75">
        <f t="shared" si="28"/>
        <v>990.43</v>
      </c>
      <c r="J36" s="75"/>
      <c r="K36" s="75">
        <v>0</v>
      </c>
      <c r="L36" s="75">
        <f t="shared" si="29"/>
        <v>0</v>
      </c>
      <c r="M36" s="75">
        <v>0</v>
      </c>
      <c r="N36" s="75">
        <f t="shared" si="30"/>
        <v>0</v>
      </c>
      <c r="O36" s="228"/>
      <c r="P36" s="75">
        <f t="shared" si="20"/>
        <v>990.43</v>
      </c>
    </row>
    <row r="37" spans="1:16" ht="23.25" customHeight="1" x14ac:dyDescent="0.25">
      <c r="A37" s="74"/>
      <c r="B37" s="89" t="s">
        <v>124</v>
      </c>
      <c r="C37" s="89" t="s">
        <v>120</v>
      </c>
      <c r="D37" s="75"/>
      <c r="E37" s="65"/>
      <c r="F37" s="75">
        <v>0</v>
      </c>
      <c r="G37" s="75">
        <v>709.05</v>
      </c>
      <c r="H37" s="75">
        <v>0</v>
      </c>
      <c r="I37" s="75">
        <f t="shared" ref="I37" si="31">SUM(G37:H37)</f>
        <v>709.05</v>
      </c>
      <c r="J37" s="75"/>
      <c r="K37" s="75">
        <v>0</v>
      </c>
      <c r="L37" s="75">
        <f t="shared" ref="L37" si="32">SUM(K37)</f>
        <v>0</v>
      </c>
      <c r="M37" s="75">
        <v>0</v>
      </c>
      <c r="N37" s="75">
        <f t="shared" ref="N37" si="33">M37</f>
        <v>0</v>
      </c>
      <c r="O37" s="228"/>
      <c r="P37" s="75">
        <f t="shared" si="20"/>
        <v>709.05</v>
      </c>
    </row>
    <row r="38" spans="1:16" ht="23.25" customHeight="1" x14ac:dyDescent="0.25">
      <c r="A38" s="74"/>
      <c r="B38" s="89" t="s">
        <v>125</v>
      </c>
      <c r="C38" s="89" t="s">
        <v>120</v>
      </c>
      <c r="D38" s="75"/>
      <c r="E38" s="65"/>
      <c r="F38" s="75">
        <v>0</v>
      </c>
      <c r="G38" s="75">
        <v>119.43</v>
      </c>
      <c r="H38" s="75">
        <v>0</v>
      </c>
      <c r="I38" s="75">
        <f t="shared" si="17"/>
        <v>119.43</v>
      </c>
      <c r="J38" s="75"/>
      <c r="K38" s="64">
        <v>0</v>
      </c>
      <c r="L38" s="75">
        <f t="shared" si="18"/>
        <v>0</v>
      </c>
      <c r="M38" s="75">
        <v>0</v>
      </c>
      <c r="N38" s="75">
        <f t="shared" si="19"/>
        <v>0</v>
      </c>
      <c r="O38" s="228"/>
      <c r="P38" s="75">
        <f t="shared" si="20"/>
        <v>119.43</v>
      </c>
    </row>
    <row r="39" spans="1:16" ht="23.25" customHeight="1" x14ac:dyDescent="0.25">
      <c r="A39" s="74"/>
      <c r="B39" s="89" t="s">
        <v>126</v>
      </c>
      <c r="C39" s="89" t="s">
        <v>120</v>
      </c>
      <c r="D39" s="75"/>
      <c r="E39" s="65"/>
      <c r="F39" s="75">
        <f t="shared" si="16"/>
        <v>269.14999999999998</v>
      </c>
      <c r="G39" s="75">
        <v>269.14999999999998</v>
      </c>
      <c r="H39" s="75">
        <v>0</v>
      </c>
      <c r="I39" s="75">
        <f t="shared" si="17"/>
        <v>269.14999999999998</v>
      </c>
      <c r="J39" s="75"/>
      <c r="K39" s="64">
        <v>0</v>
      </c>
      <c r="L39" s="75">
        <f t="shared" si="18"/>
        <v>0</v>
      </c>
      <c r="M39" s="75">
        <v>0</v>
      </c>
      <c r="N39" s="75">
        <f t="shared" si="19"/>
        <v>0</v>
      </c>
      <c r="O39" s="228"/>
      <c r="P39" s="75">
        <f t="shared" si="20"/>
        <v>269.14999999999998</v>
      </c>
    </row>
    <row r="40" spans="1:16" ht="23.25" customHeight="1" x14ac:dyDescent="0.25">
      <c r="A40" s="74"/>
      <c r="B40" s="89" t="s">
        <v>127</v>
      </c>
      <c r="C40" s="89" t="s">
        <v>120</v>
      </c>
      <c r="D40" s="75"/>
      <c r="E40" s="65"/>
      <c r="F40" s="75">
        <f t="shared" ref="F40" si="34">I40-E40</f>
        <v>853.57</v>
      </c>
      <c r="G40" s="75">
        <v>853.57</v>
      </c>
      <c r="H40" s="75">
        <v>0</v>
      </c>
      <c r="I40" s="75">
        <f t="shared" ref="I40" si="35">SUM(G40:H40)</f>
        <v>853.57</v>
      </c>
      <c r="J40" s="75"/>
      <c r="K40" s="64">
        <v>0</v>
      </c>
      <c r="L40" s="75">
        <f t="shared" ref="L40" si="36">SUM(K40)</f>
        <v>0</v>
      </c>
      <c r="M40" s="75">
        <v>0</v>
      </c>
      <c r="N40" s="75">
        <f t="shared" ref="N40" si="37">M40</f>
        <v>0</v>
      </c>
      <c r="O40" s="228"/>
      <c r="P40" s="75">
        <f t="shared" si="20"/>
        <v>853.57</v>
      </c>
    </row>
    <row r="41" spans="1:16" ht="23.25" customHeight="1" x14ac:dyDescent="0.25">
      <c r="A41" s="65" t="s">
        <v>22</v>
      </c>
      <c r="B41" s="87"/>
      <c r="C41" s="87"/>
      <c r="D41" s="85"/>
      <c r="E41" s="65"/>
      <c r="F41" s="75">
        <f t="shared" si="16"/>
        <v>0</v>
      </c>
      <c r="G41" s="75">
        <v>0</v>
      </c>
      <c r="H41" s="75">
        <v>0</v>
      </c>
      <c r="I41" s="75">
        <f t="shared" si="17"/>
        <v>0</v>
      </c>
      <c r="J41" s="75"/>
      <c r="K41" s="75">
        <v>0</v>
      </c>
      <c r="L41" s="75">
        <f t="shared" si="18"/>
        <v>0</v>
      </c>
      <c r="M41" s="75">
        <v>0</v>
      </c>
      <c r="N41" s="75">
        <f t="shared" si="19"/>
        <v>0</v>
      </c>
      <c r="O41" s="228"/>
      <c r="P41" s="75">
        <f t="shared" si="20"/>
        <v>0</v>
      </c>
    </row>
    <row r="42" spans="1:16" ht="23.25" customHeight="1" x14ac:dyDescent="0.25">
      <c r="A42" s="65"/>
      <c r="B42" s="87"/>
      <c r="C42" s="87"/>
      <c r="D42" s="85"/>
      <c r="E42" s="65"/>
      <c r="F42" s="75">
        <f t="shared" ref="F42" si="38">I42-E42</f>
        <v>0</v>
      </c>
      <c r="G42" s="75">
        <v>0</v>
      </c>
      <c r="H42" s="75">
        <v>0</v>
      </c>
      <c r="I42" s="75">
        <f t="shared" ref="I42" si="39">SUM(G42:H42)</f>
        <v>0</v>
      </c>
      <c r="J42" s="75"/>
      <c r="K42" s="75">
        <v>0</v>
      </c>
      <c r="L42" s="75">
        <f t="shared" ref="L42" si="40">SUM(K42)</f>
        <v>0</v>
      </c>
      <c r="M42" s="75">
        <v>0</v>
      </c>
      <c r="N42" s="75">
        <f t="shared" ref="N42" si="41">M42</f>
        <v>0</v>
      </c>
      <c r="O42" s="228"/>
      <c r="P42" s="75">
        <f t="shared" si="20"/>
        <v>0</v>
      </c>
    </row>
    <row r="43" spans="1:16" ht="23.25" customHeight="1" x14ac:dyDescent="0.25">
      <c r="A43" s="65"/>
      <c r="B43" s="118"/>
      <c r="C43" s="87"/>
      <c r="D43" s="85"/>
      <c r="E43" s="65"/>
      <c r="F43" s="75">
        <f t="shared" ref="F43:F46" si="42">I43-E43</f>
        <v>0</v>
      </c>
      <c r="G43" s="75">
        <v>0</v>
      </c>
      <c r="H43" s="75">
        <v>0</v>
      </c>
      <c r="I43" s="75">
        <f t="shared" ref="I43:I46" si="43">SUM(G43:H43)</f>
        <v>0</v>
      </c>
      <c r="J43" s="75"/>
      <c r="K43" s="75">
        <v>0</v>
      </c>
      <c r="L43" s="75">
        <f t="shared" ref="L43:L46" si="44">SUM(K43)</f>
        <v>0</v>
      </c>
      <c r="M43" s="75">
        <v>0</v>
      </c>
      <c r="N43" s="75">
        <f t="shared" ref="N43:N46" si="45">M43</f>
        <v>0</v>
      </c>
      <c r="O43" s="228"/>
      <c r="P43" s="75">
        <f t="shared" si="20"/>
        <v>0</v>
      </c>
    </row>
    <row r="44" spans="1:16" ht="23.25" customHeight="1" x14ac:dyDescent="0.25">
      <c r="A44" s="65"/>
      <c r="B44" s="87"/>
      <c r="C44" s="87"/>
      <c r="D44" s="85"/>
      <c r="E44" s="65"/>
      <c r="F44" s="75">
        <f t="shared" si="42"/>
        <v>0</v>
      </c>
      <c r="G44" s="75">
        <v>0</v>
      </c>
      <c r="H44" s="75">
        <v>0</v>
      </c>
      <c r="I44" s="75">
        <f t="shared" si="43"/>
        <v>0</v>
      </c>
      <c r="J44" s="75"/>
      <c r="K44" s="75">
        <v>0</v>
      </c>
      <c r="L44" s="75">
        <f t="shared" si="44"/>
        <v>0</v>
      </c>
      <c r="M44" s="75">
        <v>0</v>
      </c>
      <c r="N44" s="75">
        <f t="shared" si="45"/>
        <v>0</v>
      </c>
      <c r="O44" s="228"/>
      <c r="P44" s="75">
        <f t="shared" si="20"/>
        <v>0</v>
      </c>
    </row>
    <row r="45" spans="1:16" ht="23.25" customHeight="1" x14ac:dyDescent="0.25">
      <c r="A45" s="65"/>
      <c r="B45" s="87"/>
      <c r="C45" s="87"/>
      <c r="D45" s="85"/>
      <c r="E45" s="65"/>
      <c r="F45" s="75">
        <f t="shared" si="42"/>
        <v>0</v>
      </c>
      <c r="G45" s="75">
        <v>0</v>
      </c>
      <c r="H45" s="75">
        <v>0</v>
      </c>
      <c r="I45" s="75">
        <f t="shared" si="43"/>
        <v>0</v>
      </c>
      <c r="J45" s="75"/>
      <c r="K45" s="75">
        <v>0</v>
      </c>
      <c r="L45" s="75">
        <f t="shared" si="44"/>
        <v>0</v>
      </c>
      <c r="M45" s="75">
        <v>0</v>
      </c>
      <c r="N45" s="75">
        <f t="shared" si="45"/>
        <v>0</v>
      </c>
      <c r="O45" s="228"/>
      <c r="P45" s="75">
        <f t="shared" si="20"/>
        <v>0</v>
      </c>
    </row>
    <row r="46" spans="1:16" ht="23.25" customHeight="1" x14ac:dyDescent="0.25">
      <c r="A46" s="65"/>
      <c r="B46" s="87"/>
      <c r="C46" s="87"/>
      <c r="D46" s="85"/>
      <c r="E46" s="65"/>
      <c r="F46" s="75">
        <f t="shared" si="42"/>
        <v>0</v>
      </c>
      <c r="G46" s="75">
        <v>0</v>
      </c>
      <c r="H46" s="75">
        <v>0</v>
      </c>
      <c r="I46" s="75">
        <f t="shared" si="43"/>
        <v>0</v>
      </c>
      <c r="J46" s="75"/>
      <c r="K46" s="75">
        <v>0</v>
      </c>
      <c r="L46" s="75">
        <f t="shared" si="44"/>
        <v>0</v>
      </c>
      <c r="M46" s="75">
        <v>0</v>
      </c>
      <c r="N46" s="75">
        <f t="shared" si="45"/>
        <v>0</v>
      </c>
      <c r="O46" s="228"/>
      <c r="P46" s="75">
        <f t="shared" si="20"/>
        <v>0</v>
      </c>
    </row>
    <row r="47" spans="1:16" ht="23.25" customHeight="1" x14ac:dyDescent="0.25">
      <c r="A47" s="74" t="s">
        <v>23</v>
      </c>
      <c r="B47" s="87"/>
      <c r="C47" s="87"/>
      <c r="D47" s="75"/>
      <c r="E47" s="65"/>
      <c r="F47" s="75">
        <f t="shared" si="16"/>
        <v>0</v>
      </c>
      <c r="G47" s="75">
        <v>0</v>
      </c>
      <c r="H47" s="75">
        <v>0</v>
      </c>
      <c r="I47" s="75">
        <f t="shared" si="17"/>
        <v>0</v>
      </c>
      <c r="J47" s="75"/>
      <c r="K47" s="75">
        <v>0</v>
      </c>
      <c r="L47" s="75">
        <f t="shared" si="18"/>
        <v>0</v>
      </c>
      <c r="M47" s="75">
        <v>0</v>
      </c>
      <c r="N47" s="75">
        <f t="shared" si="19"/>
        <v>0</v>
      </c>
      <c r="O47" s="228"/>
      <c r="P47" s="75">
        <f t="shared" si="20"/>
        <v>0</v>
      </c>
    </row>
    <row r="48" spans="1:16" ht="23.25" customHeight="1" x14ac:dyDescent="0.25">
      <c r="A48" s="74"/>
      <c r="B48" s="87"/>
      <c r="C48" s="87"/>
      <c r="D48" s="75"/>
      <c r="E48" s="65"/>
      <c r="F48" s="75">
        <f t="shared" si="16"/>
        <v>0</v>
      </c>
      <c r="G48" s="75">
        <v>0</v>
      </c>
      <c r="H48" s="75">
        <v>0</v>
      </c>
      <c r="I48" s="75">
        <f t="shared" si="17"/>
        <v>0</v>
      </c>
      <c r="J48" s="75"/>
      <c r="K48" s="64">
        <v>0</v>
      </c>
      <c r="L48" s="75">
        <f t="shared" si="18"/>
        <v>0</v>
      </c>
      <c r="M48" s="75">
        <v>0</v>
      </c>
      <c r="N48" s="75">
        <f t="shared" si="19"/>
        <v>0</v>
      </c>
      <c r="O48" s="228"/>
      <c r="P48" s="75">
        <f t="shared" si="20"/>
        <v>0</v>
      </c>
    </row>
    <row r="49" spans="1:16" ht="23.25" customHeight="1" x14ac:dyDescent="0.25">
      <c r="A49" s="74"/>
      <c r="B49" s="87"/>
      <c r="C49" s="87"/>
      <c r="D49" s="75"/>
      <c r="E49" s="65"/>
      <c r="F49" s="75">
        <f t="shared" si="16"/>
        <v>0</v>
      </c>
      <c r="G49" s="75">
        <v>0</v>
      </c>
      <c r="H49" s="75">
        <v>0</v>
      </c>
      <c r="I49" s="75">
        <f t="shared" si="17"/>
        <v>0</v>
      </c>
      <c r="J49" s="75"/>
      <c r="K49" s="64">
        <v>0</v>
      </c>
      <c r="L49" s="75">
        <f t="shared" si="18"/>
        <v>0</v>
      </c>
      <c r="M49" s="75">
        <v>0</v>
      </c>
      <c r="N49" s="75">
        <f t="shared" si="19"/>
        <v>0</v>
      </c>
      <c r="O49" s="228"/>
      <c r="P49" s="75">
        <f t="shared" si="20"/>
        <v>0</v>
      </c>
    </row>
    <row r="50" spans="1:16" ht="23.25" customHeight="1" x14ac:dyDescent="0.25">
      <c r="A50" s="74"/>
      <c r="B50" s="87"/>
      <c r="C50" s="87"/>
      <c r="D50" s="75"/>
      <c r="E50" s="65"/>
      <c r="F50" s="75">
        <f t="shared" si="16"/>
        <v>0</v>
      </c>
      <c r="G50" s="75">
        <v>0</v>
      </c>
      <c r="H50" s="75">
        <v>0</v>
      </c>
      <c r="I50" s="75">
        <f t="shared" si="17"/>
        <v>0</v>
      </c>
      <c r="J50" s="75"/>
      <c r="K50" s="75">
        <v>0</v>
      </c>
      <c r="L50" s="75">
        <f t="shared" si="18"/>
        <v>0</v>
      </c>
      <c r="M50" s="75">
        <v>0</v>
      </c>
      <c r="N50" s="75">
        <f t="shared" si="19"/>
        <v>0</v>
      </c>
      <c r="O50" s="228"/>
      <c r="P50" s="75">
        <f t="shared" si="20"/>
        <v>0</v>
      </c>
    </row>
    <row r="51" spans="1:16" ht="23.25" customHeight="1" x14ac:dyDescent="0.25">
      <c r="A51" s="74"/>
      <c r="B51" s="87"/>
      <c r="C51" s="89"/>
      <c r="D51" s="75"/>
      <c r="E51" s="65"/>
      <c r="F51" s="75">
        <f t="shared" si="16"/>
        <v>0</v>
      </c>
      <c r="G51" s="75">
        <v>0</v>
      </c>
      <c r="H51" s="75">
        <v>0</v>
      </c>
      <c r="I51" s="75">
        <f t="shared" si="17"/>
        <v>0</v>
      </c>
      <c r="J51" s="75"/>
      <c r="K51" s="75">
        <v>0</v>
      </c>
      <c r="L51" s="75">
        <f t="shared" si="18"/>
        <v>0</v>
      </c>
      <c r="M51" s="75">
        <v>0</v>
      </c>
      <c r="N51" s="75">
        <f t="shared" si="19"/>
        <v>0</v>
      </c>
      <c r="O51" s="228"/>
      <c r="P51" s="75">
        <f t="shared" si="20"/>
        <v>0</v>
      </c>
    </row>
    <row r="52" spans="1:16" ht="23.25" customHeight="1" x14ac:dyDescent="0.25">
      <c r="A52" s="74"/>
      <c r="B52" s="87"/>
      <c r="C52" s="89"/>
      <c r="D52" s="115"/>
      <c r="E52" s="65"/>
      <c r="F52" s="75">
        <f t="shared" si="16"/>
        <v>0</v>
      </c>
      <c r="G52" s="75">
        <v>0</v>
      </c>
      <c r="H52" s="75">
        <v>0</v>
      </c>
      <c r="I52" s="75">
        <f t="shared" ref="I52" si="46">SUM(G52:H52)</f>
        <v>0</v>
      </c>
      <c r="J52" s="75"/>
      <c r="K52" s="75">
        <v>0</v>
      </c>
      <c r="L52" s="75">
        <f t="shared" ref="L52" si="47">SUM(K52)</f>
        <v>0</v>
      </c>
      <c r="M52" s="75">
        <v>0</v>
      </c>
      <c r="N52" s="75">
        <f t="shared" ref="N52" si="48">M52</f>
        <v>0</v>
      </c>
      <c r="O52" s="183"/>
      <c r="P52" s="75">
        <f t="shared" si="20"/>
        <v>0</v>
      </c>
    </row>
    <row r="53" spans="1:16" ht="23.25" customHeight="1" x14ac:dyDescent="0.25">
      <c r="A53" s="74"/>
      <c r="B53" s="87"/>
      <c r="C53" s="89"/>
      <c r="D53" s="75"/>
      <c r="E53" s="65"/>
      <c r="F53" s="75">
        <f t="shared" ref="F53" si="49">I53-E53</f>
        <v>0</v>
      </c>
      <c r="G53" s="75">
        <v>0</v>
      </c>
      <c r="H53" s="75">
        <v>0</v>
      </c>
      <c r="I53" s="75">
        <f t="shared" ref="I53" si="50">SUM(G53:H53)</f>
        <v>0</v>
      </c>
      <c r="J53" s="75"/>
      <c r="K53" s="75">
        <v>0</v>
      </c>
      <c r="L53" s="75">
        <f t="shared" ref="L53" si="51">SUM(K53)</f>
        <v>0</v>
      </c>
      <c r="M53" s="75">
        <v>0</v>
      </c>
      <c r="N53" s="75">
        <f t="shared" ref="N53" si="52">M53</f>
        <v>0</v>
      </c>
      <c r="O53" s="183"/>
      <c r="P53" s="75">
        <f t="shared" si="20"/>
        <v>0</v>
      </c>
    </row>
    <row r="54" spans="1:16" ht="23.25" customHeight="1" x14ac:dyDescent="0.25">
      <c r="A54" s="26" t="s">
        <v>24</v>
      </c>
      <c r="B54" s="27"/>
      <c r="C54" s="28"/>
      <c r="D54" s="29"/>
      <c r="E54" s="76">
        <f>SUM(E29:E51)</f>
        <v>0</v>
      </c>
      <c r="F54" s="76">
        <f>SUM(F29:F51)</f>
        <v>1713.65</v>
      </c>
      <c r="G54" s="76">
        <f>SUM(G29:G52)</f>
        <v>3956.58</v>
      </c>
      <c r="H54" s="76">
        <f>SUM(H29:H51)</f>
        <v>0</v>
      </c>
      <c r="I54" s="76">
        <f>SUM(I29:I51)</f>
        <v>3956.58</v>
      </c>
      <c r="J54" s="76"/>
      <c r="K54" s="76">
        <f>SUM(K29:K53)</f>
        <v>102</v>
      </c>
      <c r="L54" s="76">
        <f>SUM(L29:L51)</f>
        <v>102</v>
      </c>
      <c r="M54" s="76">
        <f>SUM(M29:M51)</f>
        <v>0</v>
      </c>
      <c r="N54" s="76">
        <f>SUM(N29:N51)</f>
        <v>0</v>
      </c>
      <c r="O54" s="76">
        <f>M54-K54</f>
        <v>-102</v>
      </c>
      <c r="P54" s="77">
        <f>SUM(P29:P51)</f>
        <v>3956.58</v>
      </c>
    </row>
    <row r="55" spans="1:16" ht="23.25" customHeight="1" x14ac:dyDescent="0.25">
      <c r="A55" s="74" t="s">
        <v>25</v>
      </c>
      <c r="B55" s="87"/>
      <c r="C55" s="87"/>
      <c r="D55" s="75"/>
      <c r="E55" s="65"/>
      <c r="F55" s="75">
        <f t="shared" ref="F55:F99" si="53">I55-E55</f>
        <v>0</v>
      </c>
      <c r="G55" s="75">
        <v>0</v>
      </c>
      <c r="H55" s="75">
        <v>0</v>
      </c>
      <c r="I55" s="75">
        <f t="shared" ref="I55:I74" si="54">SUM(G55:H55)</f>
        <v>0</v>
      </c>
      <c r="J55" s="75"/>
      <c r="K55" s="75">
        <v>0</v>
      </c>
      <c r="L55" s="75">
        <f t="shared" ref="L55:L74" si="55">SUM(K55)</f>
        <v>0</v>
      </c>
      <c r="M55" s="75">
        <v>0</v>
      </c>
      <c r="N55" s="75">
        <f t="shared" ref="N55:N74" si="56">M55</f>
        <v>0</v>
      </c>
      <c r="O55" s="228"/>
      <c r="P55" s="75">
        <f t="shared" ref="P55:P74" si="57">G55+H55+M55</f>
        <v>0</v>
      </c>
    </row>
    <row r="56" spans="1:16" ht="23.25" customHeight="1" x14ac:dyDescent="0.25">
      <c r="A56" s="74"/>
      <c r="B56" s="89" t="s">
        <v>344</v>
      </c>
      <c r="C56" s="89" t="s">
        <v>120</v>
      </c>
      <c r="D56" s="75"/>
      <c r="E56" s="65">
        <v>2000</v>
      </c>
      <c r="F56" s="209">
        <f>+I56-E56+K56</f>
        <v>-260.47000000000003</v>
      </c>
      <c r="G56" s="75">
        <v>1599.01</v>
      </c>
      <c r="H56" s="75">
        <v>0</v>
      </c>
      <c r="I56" s="75">
        <f t="shared" si="54"/>
        <v>1599.01</v>
      </c>
      <c r="J56" s="75"/>
      <c r="K56" s="75">
        <f>99.89+40.63</f>
        <v>140.52000000000001</v>
      </c>
      <c r="L56" s="75">
        <f t="shared" si="55"/>
        <v>140.52000000000001</v>
      </c>
      <c r="M56" s="94">
        <v>0</v>
      </c>
      <c r="N56" s="75">
        <f t="shared" si="56"/>
        <v>0</v>
      </c>
      <c r="O56" s="228"/>
      <c r="P56" s="75">
        <f t="shared" si="57"/>
        <v>1599.01</v>
      </c>
    </row>
    <row r="57" spans="1:16" ht="23.25" customHeight="1" x14ac:dyDescent="0.25">
      <c r="A57" s="74"/>
      <c r="B57" s="87" t="s">
        <v>345</v>
      </c>
      <c r="C57" s="87" t="s">
        <v>120</v>
      </c>
      <c r="D57" s="75"/>
      <c r="E57" s="65">
        <v>361.27</v>
      </c>
      <c r="F57" s="75">
        <f t="shared" si="53"/>
        <v>0</v>
      </c>
      <c r="G57" s="75">
        <v>361.27</v>
      </c>
      <c r="H57" s="75">
        <v>0</v>
      </c>
      <c r="I57" s="75">
        <f t="shared" si="54"/>
        <v>361.27</v>
      </c>
      <c r="J57" s="75"/>
      <c r="K57" s="75">
        <v>0</v>
      </c>
      <c r="L57" s="75">
        <f t="shared" si="55"/>
        <v>0</v>
      </c>
      <c r="M57" s="75">
        <v>0</v>
      </c>
      <c r="N57" s="75">
        <f t="shared" si="56"/>
        <v>0</v>
      </c>
      <c r="O57" s="228"/>
      <c r="P57" s="75">
        <f t="shared" si="57"/>
        <v>361.27</v>
      </c>
    </row>
    <row r="58" spans="1:16" ht="23.25" customHeight="1" thickBot="1" x14ac:dyDescent="0.3">
      <c r="A58" s="74"/>
      <c r="B58" s="213" t="s">
        <v>346</v>
      </c>
      <c r="C58" s="213" t="s">
        <v>120</v>
      </c>
      <c r="D58" s="75"/>
      <c r="E58" s="65">
        <v>408</v>
      </c>
      <c r="F58" s="75">
        <f t="shared" si="53"/>
        <v>0</v>
      </c>
      <c r="G58" s="75">
        <v>408</v>
      </c>
      <c r="H58" s="75">
        <v>0</v>
      </c>
      <c r="I58" s="75">
        <f t="shared" si="54"/>
        <v>408</v>
      </c>
      <c r="J58" s="75"/>
      <c r="K58" s="75">
        <v>0</v>
      </c>
      <c r="L58" s="75">
        <f t="shared" si="55"/>
        <v>0</v>
      </c>
      <c r="M58" s="75">
        <v>0</v>
      </c>
      <c r="N58" s="75">
        <f t="shared" si="56"/>
        <v>0</v>
      </c>
      <c r="O58" s="228"/>
      <c r="P58" s="75">
        <f t="shared" si="57"/>
        <v>408</v>
      </c>
    </row>
    <row r="59" spans="1:16" ht="23.25" customHeight="1" x14ac:dyDescent="0.25">
      <c r="A59" s="50"/>
      <c r="B59" s="215" t="s">
        <v>347</v>
      </c>
      <c r="C59" s="216" t="s">
        <v>120</v>
      </c>
      <c r="D59" s="211"/>
      <c r="E59" s="65">
        <v>552.25</v>
      </c>
      <c r="F59" s="75">
        <f t="shared" si="53"/>
        <v>-552.25</v>
      </c>
      <c r="G59" s="75">
        <v>0</v>
      </c>
      <c r="H59" s="75">
        <v>0</v>
      </c>
      <c r="I59" s="75">
        <f t="shared" si="54"/>
        <v>0</v>
      </c>
      <c r="J59" s="75"/>
      <c r="K59" s="75">
        <v>0</v>
      </c>
      <c r="L59" s="75">
        <f t="shared" si="55"/>
        <v>0</v>
      </c>
      <c r="M59" s="75">
        <v>0</v>
      </c>
      <c r="N59" s="75">
        <f t="shared" si="56"/>
        <v>0</v>
      </c>
      <c r="O59" s="228"/>
      <c r="P59" s="75">
        <f t="shared" si="57"/>
        <v>0</v>
      </c>
    </row>
    <row r="60" spans="1:16" ht="23.25" customHeight="1" x14ac:dyDescent="0.25">
      <c r="A60" s="210"/>
      <c r="B60" s="217" t="s">
        <v>348</v>
      </c>
      <c r="C60" s="218" t="s">
        <v>120</v>
      </c>
      <c r="D60" s="212"/>
      <c r="E60" s="90">
        <v>150.19</v>
      </c>
      <c r="F60" s="92">
        <f t="shared" si="53"/>
        <v>-150.19</v>
      </c>
      <c r="G60" s="92">
        <v>0</v>
      </c>
      <c r="H60" s="92">
        <v>0</v>
      </c>
      <c r="I60" s="92">
        <f t="shared" si="54"/>
        <v>0</v>
      </c>
      <c r="J60" s="92"/>
      <c r="K60" s="75">
        <v>0</v>
      </c>
      <c r="L60" s="75">
        <f t="shared" si="55"/>
        <v>0</v>
      </c>
      <c r="M60" s="75">
        <v>0</v>
      </c>
      <c r="N60" s="75">
        <f t="shared" si="56"/>
        <v>0</v>
      </c>
      <c r="O60" s="228"/>
      <c r="P60" s="75">
        <f t="shared" si="57"/>
        <v>0</v>
      </c>
    </row>
    <row r="61" spans="1:16" ht="23.25" customHeight="1" thickBot="1" x14ac:dyDescent="0.3">
      <c r="A61" s="210"/>
      <c r="B61" s="219" t="s">
        <v>355</v>
      </c>
      <c r="C61" s="220" t="s">
        <v>356</v>
      </c>
      <c r="D61" s="212"/>
      <c r="E61" s="90">
        <f>+E60+E59</f>
        <v>702.44</v>
      </c>
      <c r="F61" s="96">
        <f t="shared" si="53"/>
        <v>-304.64000000000004</v>
      </c>
      <c r="G61" s="92">
        <v>397.8</v>
      </c>
      <c r="H61" s="92">
        <v>0</v>
      </c>
      <c r="I61" s="92">
        <f t="shared" ref="I61" si="58">SUM(G61:H61)</f>
        <v>397.8</v>
      </c>
      <c r="J61" s="92"/>
      <c r="K61" s="75">
        <v>0</v>
      </c>
      <c r="L61" s="75">
        <v>0</v>
      </c>
      <c r="M61" s="75">
        <v>0</v>
      </c>
      <c r="N61" s="75">
        <f t="shared" ref="N61" si="59">M61</f>
        <v>0</v>
      </c>
      <c r="O61" s="228"/>
      <c r="P61" s="75"/>
    </row>
    <row r="62" spans="1:16" ht="23.25" customHeight="1" x14ac:dyDescent="0.25">
      <c r="A62" s="74"/>
      <c r="B62" s="214" t="s">
        <v>349</v>
      </c>
      <c r="C62" s="214" t="s">
        <v>120</v>
      </c>
      <c r="D62" s="75"/>
      <c r="E62" s="65">
        <v>458.56</v>
      </c>
      <c r="F62" s="96">
        <f t="shared" si="53"/>
        <v>-4.6999999999999886</v>
      </c>
      <c r="G62" s="75">
        <v>453.86</v>
      </c>
      <c r="H62" s="75">
        <v>0</v>
      </c>
      <c r="I62" s="75">
        <f t="shared" si="54"/>
        <v>453.86</v>
      </c>
      <c r="J62" s="75"/>
      <c r="K62" s="75">
        <v>0</v>
      </c>
      <c r="L62" s="75">
        <f t="shared" si="55"/>
        <v>0</v>
      </c>
      <c r="M62" s="75">
        <v>0</v>
      </c>
      <c r="N62" s="75">
        <f t="shared" si="56"/>
        <v>0</v>
      </c>
      <c r="O62" s="228"/>
      <c r="P62" s="75">
        <f t="shared" si="57"/>
        <v>453.86</v>
      </c>
    </row>
    <row r="63" spans="1:16" ht="23.25" customHeight="1" x14ac:dyDescent="0.25">
      <c r="A63" s="74"/>
      <c r="B63" s="87" t="s">
        <v>350</v>
      </c>
      <c r="C63" s="87" t="s">
        <v>120</v>
      </c>
      <c r="D63" s="75"/>
      <c r="E63" s="65">
        <v>290.95</v>
      </c>
      <c r="F63" s="75">
        <f t="shared" ref="F63" si="60">I63-E63</f>
        <v>0</v>
      </c>
      <c r="G63" s="75">
        <v>290.95</v>
      </c>
      <c r="H63" s="75">
        <v>0</v>
      </c>
      <c r="I63" s="75">
        <f t="shared" ref="I63" si="61">SUM(G63:H63)</f>
        <v>290.95</v>
      </c>
      <c r="J63" s="75"/>
      <c r="K63" s="75">
        <v>0</v>
      </c>
      <c r="L63" s="75">
        <f t="shared" ref="L63" si="62">SUM(K63)</f>
        <v>0</v>
      </c>
      <c r="M63" s="75">
        <v>0</v>
      </c>
      <c r="N63" s="75">
        <f t="shared" ref="N63" si="63">M63</f>
        <v>0</v>
      </c>
      <c r="O63" s="228"/>
      <c r="P63" s="75"/>
    </row>
    <row r="64" spans="1:16" ht="23.25" customHeight="1" x14ac:dyDescent="0.25">
      <c r="A64" s="74"/>
      <c r="B64" s="87" t="s">
        <v>353</v>
      </c>
      <c r="C64" s="87" t="s">
        <v>120</v>
      </c>
      <c r="D64" s="75"/>
      <c r="E64" s="65">
        <v>250</v>
      </c>
      <c r="F64" s="75">
        <f t="shared" si="53"/>
        <v>0.18999999999999773</v>
      </c>
      <c r="G64" s="75">
        <v>250.19</v>
      </c>
      <c r="H64" s="75">
        <v>0</v>
      </c>
      <c r="I64" s="75">
        <f t="shared" si="54"/>
        <v>250.19</v>
      </c>
      <c r="J64" s="75"/>
      <c r="K64" s="75">
        <v>0</v>
      </c>
      <c r="L64" s="75">
        <f t="shared" si="55"/>
        <v>0</v>
      </c>
      <c r="M64" s="75">
        <v>0.19</v>
      </c>
      <c r="N64" s="75">
        <f t="shared" si="56"/>
        <v>0.19</v>
      </c>
      <c r="O64" s="228"/>
      <c r="P64" s="75">
        <f t="shared" si="57"/>
        <v>250.38</v>
      </c>
    </row>
    <row r="65" spans="1:16" ht="23.25" customHeight="1" x14ac:dyDescent="0.25">
      <c r="A65" s="74"/>
      <c r="B65" s="87" t="s">
        <v>354</v>
      </c>
      <c r="C65" s="87" t="s">
        <v>120</v>
      </c>
      <c r="D65" s="75"/>
      <c r="E65" s="65">
        <v>525.5</v>
      </c>
      <c r="F65" s="75">
        <f t="shared" ref="F65" si="64">I65-E65</f>
        <v>40.440000000000055</v>
      </c>
      <c r="G65" s="75">
        <v>565.94000000000005</v>
      </c>
      <c r="H65" s="75">
        <v>0</v>
      </c>
      <c r="I65" s="75">
        <f t="shared" ref="I65" si="65">SUM(G65:H65)</f>
        <v>565.94000000000005</v>
      </c>
      <c r="J65" s="75"/>
      <c r="K65" s="75">
        <v>0</v>
      </c>
      <c r="L65" s="75">
        <f t="shared" ref="L65" si="66">SUM(K65)</f>
        <v>0</v>
      </c>
      <c r="M65" s="75">
        <v>40.44</v>
      </c>
      <c r="N65" s="75">
        <f t="shared" ref="N65" si="67">M65</f>
        <v>40.44</v>
      </c>
      <c r="O65" s="228"/>
      <c r="P65" s="75"/>
    </row>
    <row r="66" spans="1:16" ht="23.25" customHeight="1" x14ac:dyDescent="0.25">
      <c r="A66" s="74" t="s">
        <v>26</v>
      </c>
      <c r="B66" s="87"/>
      <c r="C66" s="87"/>
      <c r="D66" s="75"/>
      <c r="E66" s="65"/>
      <c r="F66" s="75">
        <f t="shared" si="53"/>
        <v>0</v>
      </c>
      <c r="G66" s="75">
        <v>0</v>
      </c>
      <c r="H66" s="75">
        <v>0</v>
      </c>
      <c r="I66" s="75">
        <f t="shared" si="54"/>
        <v>0</v>
      </c>
      <c r="J66" s="75"/>
      <c r="K66" s="75">
        <v>0</v>
      </c>
      <c r="L66" s="75">
        <f t="shared" si="55"/>
        <v>0</v>
      </c>
      <c r="M66" s="75">
        <v>0</v>
      </c>
      <c r="N66" s="75">
        <f t="shared" si="56"/>
        <v>0</v>
      </c>
      <c r="O66" s="228"/>
      <c r="P66" s="75">
        <f t="shared" si="57"/>
        <v>0</v>
      </c>
    </row>
    <row r="67" spans="1:16" ht="23.25" customHeight="1" x14ac:dyDescent="0.25">
      <c r="A67" s="74"/>
      <c r="B67" s="87" t="s">
        <v>351</v>
      </c>
      <c r="C67" s="87" t="s">
        <v>120</v>
      </c>
      <c r="D67" s="75"/>
      <c r="E67" s="65">
        <v>62.64</v>
      </c>
      <c r="F67" s="75">
        <f t="shared" si="53"/>
        <v>0</v>
      </c>
      <c r="G67" s="75">
        <v>62.64</v>
      </c>
      <c r="H67" s="75">
        <v>0</v>
      </c>
      <c r="I67" s="75">
        <f t="shared" si="54"/>
        <v>62.64</v>
      </c>
      <c r="J67" s="75"/>
      <c r="K67" s="75">
        <v>0</v>
      </c>
      <c r="L67" s="75">
        <f t="shared" si="55"/>
        <v>0</v>
      </c>
      <c r="M67" s="75">
        <v>0</v>
      </c>
      <c r="N67" s="75">
        <f t="shared" si="56"/>
        <v>0</v>
      </c>
      <c r="O67" s="228"/>
      <c r="P67" s="75">
        <f t="shared" si="57"/>
        <v>62.64</v>
      </c>
    </row>
    <row r="68" spans="1:16" ht="23.25" customHeight="1" x14ac:dyDescent="0.25">
      <c r="A68" s="74"/>
      <c r="B68" s="87"/>
      <c r="C68" s="87"/>
      <c r="D68" s="75"/>
      <c r="E68" s="65"/>
      <c r="F68" s="75">
        <f t="shared" si="53"/>
        <v>0</v>
      </c>
      <c r="G68" s="75">
        <v>0</v>
      </c>
      <c r="H68" s="75">
        <v>0</v>
      </c>
      <c r="I68" s="75">
        <f t="shared" si="54"/>
        <v>0</v>
      </c>
      <c r="J68" s="75"/>
      <c r="K68" s="75">
        <v>0</v>
      </c>
      <c r="L68" s="75">
        <f t="shared" si="55"/>
        <v>0</v>
      </c>
      <c r="M68" s="75">
        <v>0</v>
      </c>
      <c r="N68" s="75">
        <f t="shared" si="56"/>
        <v>0</v>
      </c>
      <c r="O68" s="228"/>
      <c r="P68" s="75">
        <f t="shared" si="57"/>
        <v>0</v>
      </c>
    </row>
    <row r="69" spans="1:16" ht="23.25" customHeight="1" x14ac:dyDescent="0.25">
      <c r="B69" s="87"/>
      <c r="C69" s="87"/>
      <c r="D69" s="75"/>
      <c r="E69" s="65"/>
      <c r="F69" s="75">
        <f t="shared" si="53"/>
        <v>0</v>
      </c>
      <c r="G69" s="75">
        <v>0</v>
      </c>
      <c r="H69" s="75">
        <v>0</v>
      </c>
      <c r="I69" s="75">
        <f t="shared" si="54"/>
        <v>0</v>
      </c>
      <c r="J69" s="75"/>
      <c r="K69" s="75">
        <v>0</v>
      </c>
      <c r="L69" s="75">
        <f t="shared" si="55"/>
        <v>0</v>
      </c>
      <c r="M69" s="75">
        <v>0</v>
      </c>
      <c r="N69" s="75">
        <f t="shared" si="56"/>
        <v>0</v>
      </c>
      <c r="O69" s="228"/>
      <c r="P69" s="75">
        <f t="shared" si="57"/>
        <v>0</v>
      </c>
    </row>
    <row r="70" spans="1:16" ht="23.25" customHeight="1" x14ac:dyDescent="0.25">
      <c r="A70" s="74" t="s">
        <v>28</v>
      </c>
      <c r="B70" s="87"/>
      <c r="C70" s="87"/>
      <c r="D70" s="75"/>
      <c r="E70" s="65"/>
      <c r="F70" s="75">
        <f t="shared" si="53"/>
        <v>0</v>
      </c>
      <c r="G70" s="75">
        <v>0</v>
      </c>
      <c r="H70" s="75">
        <v>0</v>
      </c>
      <c r="I70" s="75">
        <f t="shared" si="54"/>
        <v>0</v>
      </c>
      <c r="J70" s="75"/>
      <c r="K70" s="75">
        <v>0</v>
      </c>
      <c r="L70" s="75">
        <f t="shared" si="55"/>
        <v>0</v>
      </c>
      <c r="M70" s="75">
        <v>0</v>
      </c>
      <c r="N70" s="75">
        <f t="shared" si="56"/>
        <v>0</v>
      </c>
      <c r="O70" s="228"/>
      <c r="P70" s="75">
        <f t="shared" si="57"/>
        <v>0</v>
      </c>
    </row>
    <row r="71" spans="1:16" ht="23.25" customHeight="1" x14ac:dyDescent="0.25">
      <c r="A71" s="74"/>
      <c r="B71" s="87" t="s">
        <v>336</v>
      </c>
      <c r="C71" s="87" t="s">
        <v>120</v>
      </c>
      <c r="D71" s="75"/>
      <c r="E71" s="65">
        <v>187.36</v>
      </c>
      <c r="F71" s="75">
        <f t="shared" si="53"/>
        <v>0</v>
      </c>
      <c r="G71" s="75">
        <v>187.36</v>
      </c>
      <c r="H71" s="75">
        <v>0</v>
      </c>
      <c r="I71" s="75">
        <f t="shared" si="54"/>
        <v>187.36</v>
      </c>
      <c r="J71" s="75"/>
      <c r="K71" s="75">
        <v>0</v>
      </c>
      <c r="L71" s="75">
        <f t="shared" si="55"/>
        <v>0</v>
      </c>
      <c r="M71" s="75">
        <v>72.97</v>
      </c>
      <c r="N71" s="75">
        <f t="shared" si="56"/>
        <v>72.97</v>
      </c>
      <c r="O71" s="228"/>
      <c r="P71" s="75">
        <f t="shared" si="57"/>
        <v>260.33000000000004</v>
      </c>
    </row>
    <row r="72" spans="1:16" ht="23.25" customHeight="1" x14ac:dyDescent="0.25">
      <c r="A72" s="74"/>
      <c r="B72" s="87" t="s">
        <v>352</v>
      </c>
      <c r="C72" s="87" t="s">
        <v>120</v>
      </c>
      <c r="D72" s="75"/>
      <c r="E72" s="65">
        <v>236.73</v>
      </c>
      <c r="F72" s="75">
        <f t="shared" si="53"/>
        <v>0</v>
      </c>
      <c r="G72" s="75">
        <v>236.73</v>
      </c>
      <c r="H72" s="75">
        <v>0</v>
      </c>
      <c r="I72" s="75">
        <f t="shared" si="54"/>
        <v>236.73</v>
      </c>
      <c r="J72" s="75"/>
      <c r="K72" s="75">
        <v>0</v>
      </c>
      <c r="L72" s="75">
        <f t="shared" si="55"/>
        <v>0</v>
      </c>
      <c r="M72" s="75">
        <v>0</v>
      </c>
      <c r="N72" s="75">
        <f t="shared" si="56"/>
        <v>0</v>
      </c>
      <c r="O72" s="228"/>
      <c r="P72" s="75">
        <f t="shared" si="57"/>
        <v>236.73</v>
      </c>
    </row>
    <row r="73" spans="1:16" ht="23.25" customHeight="1" x14ac:dyDescent="0.25">
      <c r="A73" s="74"/>
      <c r="B73" s="89"/>
      <c r="C73" s="87"/>
      <c r="D73" s="75"/>
      <c r="E73" s="65"/>
      <c r="F73" s="75">
        <f t="shared" si="53"/>
        <v>0</v>
      </c>
      <c r="G73" s="75">
        <v>0</v>
      </c>
      <c r="H73" s="75">
        <v>0</v>
      </c>
      <c r="I73" s="75">
        <f t="shared" si="54"/>
        <v>0</v>
      </c>
      <c r="J73" s="75"/>
      <c r="K73" s="75">
        <v>0</v>
      </c>
      <c r="L73" s="75">
        <f t="shared" si="55"/>
        <v>0</v>
      </c>
      <c r="M73" s="75">
        <v>0</v>
      </c>
      <c r="N73" s="75">
        <f t="shared" si="56"/>
        <v>0</v>
      </c>
      <c r="O73" s="228"/>
      <c r="P73" s="75">
        <f t="shared" si="57"/>
        <v>0</v>
      </c>
    </row>
    <row r="74" spans="1:16" ht="23.25" customHeight="1" x14ac:dyDescent="0.25">
      <c r="A74" s="74"/>
      <c r="B74" s="78"/>
      <c r="C74" s="78"/>
      <c r="D74" s="75"/>
      <c r="E74" s="65"/>
      <c r="F74" s="75">
        <f t="shared" si="53"/>
        <v>0</v>
      </c>
      <c r="G74" s="75">
        <v>0</v>
      </c>
      <c r="H74" s="75">
        <v>0</v>
      </c>
      <c r="I74" s="75">
        <f t="shared" si="54"/>
        <v>0</v>
      </c>
      <c r="J74" s="75"/>
      <c r="K74" s="75">
        <v>0</v>
      </c>
      <c r="L74" s="75">
        <f t="shared" si="55"/>
        <v>0</v>
      </c>
      <c r="M74" s="75">
        <v>0</v>
      </c>
      <c r="N74" s="75">
        <f t="shared" si="56"/>
        <v>0</v>
      </c>
      <c r="O74" s="228"/>
      <c r="P74" s="75">
        <f t="shared" si="57"/>
        <v>0</v>
      </c>
    </row>
    <row r="75" spans="1:16" ht="23.25" customHeight="1" x14ac:dyDescent="0.25">
      <c r="A75" s="26" t="s">
        <v>29</v>
      </c>
      <c r="B75" s="27"/>
      <c r="C75" s="28"/>
      <c r="D75" s="29"/>
      <c r="E75" s="76">
        <f>SUM(E55:E74)</f>
        <v>6185.8899999999994</v>
      </c>
      <c r="F75" s="76">
        <f t="shared" si="53"/>
        <v>-1372.1399999999994</v>
      </c>
      <c r="G75" s="76">
        <f>SUM(G55:G74)</f>
        <v>4813.75</v>
      </c>
      <c r="H75" s="76">
        <f>SUM(H55:H74)</f>
        <v>0</v>
      </c>
      <c r="I75" s="76">
        <f>SUM(I55:I74)</f>
        <v>4813.75</v>
      </c>
      <c r="J75" s="76"/>
      <c r="K75" s="76">
        <f>SUM(K55:K74)</f>
        <v>140.52000000000001</v>
      </c>
      <c r="L75" s="76">
        <f>SUM(L55:L74)</f>
        <v>140.52000000000001</v>
      </c>
      <c r="M75" s="76">
        <f>SUM(M55:M74)</f>
        <v>113.6</v>
      </c>
      <c r="N75" s="76">
        <f>SUM(N55:N74)</f>
        <v>113.6</v>
      </c>
      <c r="O75" s="76">
        <f>M75-K75</f>
        <v>-26.920000000000016</v>
      </c>
      <c r="P75" s="77">
        <f>SUM(P55:P74)</f>
        <v>3632.22</v>
      </c>
    </row>
    <row r="76" spans="1:16" ht="23.25" customHeight="1" x14ac:dyDescent="0.25">
      <c r="A76" s="74" t="s">
        <v>30</v>
      </c>
      <c r="B76" s="87"/>
      <c r="C76" s="87"/>
      <c r="D76" s="85"/>
      <c r="E76" s="65"/>
      <c r="F76" s="75">
        <f t="shared" si="53"/>
        <v>0</v>
      </c>
      <c r="G76" s="75">
        <v>0</v>
      </c>
      <c r="H76" s="75">
        <v>0</v>
      </c>
      <c r="I76" s="75">
        <f t="shared" ref="I76:I96" si="68">SUM(G76:H76)</f>
        <v>0</v>
      </c>
      <c r="J76" s="75"/>
      <c r="K76" s="75">
        <v>0</v>
      </c>
      <c r="L76" s="75">
        <f t="shared" ref="L76:L96" si="69">SUM(K76)</f>
        <v>0</v>
      </c>
      <c r="M76" s="75">
        <v>0</v>
      </c>
      <c r="N76" s="75">
        <f t="shared" ref="N76:N96" si="70">M76</f>
        <v>0</v>
      </c>
      <c r="O76" s="228"/>
      <c r="P76" s="75">
        <f t="shared" ref="P76:P84" si="71">G76+H76+M76</f>
        <v>0</v>
      </c>
    </row>
    <row r="77" spans="1:16" ht="23.25" customHeight="1" x14ac:dyDescent="0.25">
      <c r="A77" s="74"/>
      <c r="B77" s="87"/>
      <c r="C77" s="87"/>
      <c r="D77" s="75"/>
      <c r="E77" s="65"/>
      <c r="F77" s="75">
        <f t="shared" si="53"/>
        <v>0</v>
      </c>
      <c r="G77" s="75">
        <v>0</v>
      </c>
      <c r="H77" s="75">
        <v>0</v>
      </c>
      <c r="I77" s="75">
        <f t="shared" si="68"/>
        <v>0</v>
      </c>
      <c r="J77" s="75"/>
      <c r="K77" s="75">
        <v>0</v>
      </c>
      <c r="L77" s="75">
        <f t="shared" si="69"/>
        <v>0</v>
      </c>
      <c r="M77" s="75">
        <v>0</v>
      </c>
      <c r="N77" s="75">
        <f t="shared" si="70"/>
        <v>0</v>
      </c>
      <c r="O77" s="228"/>
      <c r="P77" s="75">
        <f t="shared" si="71"/>
        <v>0</v>
      </c>
    </row>
    <row r="78" spans="1:16" ht="23.25" customHeight="1" x14ac:dyDescent="0.25">
      <c r="A78" s="74"/>
      <c r="B78" s="87"/>
      <c r="C78" s="87"/>
      <c r="D78" s="75"/>
      <c r="E78" s="65"/>
      <c r="F78" s="75">
        <f t="shared" si="53"/>
        <v>0</v>
      </c>
      <c r="G78" s="75">
        <v>0</v>
      </c>
      <c r="H78" s="75">
        <v>0</v>
      </c>
      <c r="I78" s="75">
        <f t="shared" si="68"/>
        <v>0</v>
      </c>
      <c r="J78" s="75"/>
      <c r="K78" s="75">
        <v>0</v>
      </c>
      <c r="L78" s="75">
        <f t="shared" si="69"/>
        <v>0</v>
      </c>
      <c r="M78" s="75">
        <v>0</v>
      </c>
      <c r="N78" s="75">
        <f t="shared" si="70"/>
        <v>0</v>
      </c>
      <c r="O78" s="228"/>
      <c r="P78" s="75">
        <f t="shared" si="71"/>
        <v>0</v>
      </c>
    </row>
    <row r="79" spans="1:16" ht="23.25" customHeight="1" x14ac:dyDescent="0.25">
      <c r="A79" s="74"/>
      <c r="B79" s="87"/>
      <c r="C79" s="87"/>
      <c r="D79" s="75"/>
      <c r="E79" s="65"/>
      <c r="F79" s="75">
        <f t="shared" si="53"/>
        <v>0</v>
      </c>
      <c r="G79" s="75">
        <v>0</v>
      </c>
      <c r="H79" s="75">
        <v>0</v>
      </c>
      <c r="I79" s="75">
        <f t="shared" si="68"/>
        <v>0</v>
      </c>
      <c r="J79" s="75"/>
      <c r="K79" s="75">
        <v>0</v>
      </c>
      <c r="L79" s="75">
        <f t="shared" si="69"/>
        <v>0</v>
      </c>
      <c r="M79" s="75">
        <v>0</v>
      </c>
      <c r="N79" s="75">
        <f t="shared" si="70"/>
        <v>0</v>
      </c>
      <c r="O79" s="228"/>
      <c r="P79" s="75">
        <f t="shared" si="71"/>
        <v>0</v>
      </c>
    </row>
    <row r="80" spans="1:16" ht="23.25" customHeight="1" x14ac:dyDescent="0.25">
      <c r="A80" s="74"/>
      <c r="B80" s="87"/>
      <c r="C80" s="87"/>
      <c r="D80" s="75"/>
      <c r="E80" s="65"/>
      <c r="F80" s="75">
        <f t="shared" si="53"/>
        <v>0</v>
      </c>
      <c r="G80" s="75">
        <v>0</v>
      </c>
      <c r="H80" s="75">
        <v>0</v>
      </c>
      <c r="I80" s="75">
        <f t="shared" si="68"/>
        <v>0</v>
      </c>
      <c r="J80" s="75"/>
      <c r="K80" s="75">
        <v>0</v>
      </c>
      <c r="L80" s="75">
        <f t="shared" si="69"/>
        <v>0</v>
      </c>
      <c r="M80" s="75">
        <v>0</v>
      </c>
      <c r="N80" s="75">
        <f t="shared" si="70"/>
        <v>0</v>
      </c>
      <c r="O80" s="228"/>
      <c r="P80" s="75">
        <f t="shared" si="71"/>
        <v>0</v>
      </c>
    </row>
    <row r="81" spans="1:16" ht="23.25" customHeight="1" x14ac:dyDescent="0.25">
      <c r="A81" s="74"/>
      <c r="B81" s="87"/>
      <c r="C81" s="87"/>
      <c r="D81" s="75"/>
      <c r="E81" s="65"/>
      <c r="F81" s="75">
        <f t="shared" si="53"/>
        <v>0</v>
      </c>
      <c r="G81" s="75">
        <v>0</v>
      </c>
      <c r="H81" s="75">
        <v>0</v>
      </c>
      <c r="I81" s="75">
        <f t="shared" si="68"/>
        <v>0</v>
      </c>
      <c r="J81" s="75"/>
      <c r="K81" s="75">
        <v>0</v>
      </c>
      <c r="L81" s="75">
        <f t="shared" si="69"/>
        <v>0</v>
      </c>
      <c r="M81" s="75">
        <v>0</v>
      </c>
      <c r="N81" s="75">
        <f t="shared" si="70"/>
        <v>0</v>
      </c>
      <c r="O81" s="228"/>
      <c r="P81" s="75">
        <f t="shared" si="71"/>
        <v>0</v>
      </c>
    </row>
    <row r="82" spans="1:16" ht="23.25" customHeight="1" x14ac:dyDescent="0.25">
      <c r="A82" s="74"/>
      <c r="B82" s="118"/>
      <c r="C82" s="87"/>
      <c r="D82" s="75"/>
      <c r="E82" s="65"/>
      <c r="F82" s="75">
        <f t="shared" si="53"/>
        <v>0</v>
      </c>
      <c r="G82" s="75">
        <v>0</v>
      </c>
      <c r="H82" s="75">
        <v>0</v>
      </c>
      <c r="I82" s="75">
        <f t="shared" si="68"/>
        <v>0</v>
      </c>
      <c r="J82" s="75"/>
      <c r="K82" s="75">
        <v>0</v>
      </c>
      <c r="L82" s="75">
        <f t="shared" si="69"/>
        <v>0</v>
      </c>
      <c r="M82" s="75">
        <v>0</v>
      </c>
      <c r="N82" s="75">
        <f t="shared" si="70"/>
        <v>0</v>
      </c>
      <c r="O82" s="228"/>
      <c r="P82" s="75">
        <f t="shared" si="71"/>
        <v>0</v>
      </c>
    </row>
    <row r="83" spans="1:16" ht="23.25" customHeight="1" x14ac:dyDescent="0.25">
      <c r="A83" s="74"/>
      <c r="B83" s="87"/>
      <c r="C83" s="87"/>
      <c r="D83" s="75"/>
      <c r="E83" s="65"/>
      <c r="F83" s="75">
        <f t="shared" si="53"/>
        <v>0</v>
      </c>
      <c r="G83" s="75">
        <v>0</v>
      </c>
      <c r="H83" s="75">
        <v>0</v>
      </c>
      <c r="I83" s="75">
        <f t="shared" si="68"/>
        <v>0</v>
      </c>
      <c r="J83" s="75"/>
      <c r="K83" s="75">
        <v>0</v>
      </c>
      <c r="L83" s="75">
        <f t="shared" ref="L83" si="72">SUM(K83)</f>
        <v>0</v>
      </c>
      <c r="M83" s="75">
        <v>0</v>
      </c>
      <c r="N83" s="75">
        <f t="shared" ref="N83" si="73">M83</f>
        <v>0</v>
      </c>
      <c r="O83" s="228"/>
      <c r="P83" s="75">
        <f t="shared" si="71"/>
        <v>0</v>
      </c>
    </row>
    <row r="84" spans="1:16" ht="23.25" customHeight="1" x14ac:dyDescent="0.25">
      <c r="A84" s="74" t="s">
        <v>36</v>
      </c>
      <c r="B84" s="87"/>
      <c r="C84" s="87"/>
      <c r="D84" s="75"/>
      <c r="E84" s="65"/>
      <c r="F84" s="75">
        <f t="shared" si="53"/>
        <v>0</v>
      </c>
      <c r="G84" s="75">
        <v>0</v>
      </c>
      <c r="H84" s="75">
        <v>0</v>
      </c>
      <c r="I84" s="75">
        <f t="shared" si="68"/>
        <v>0</v>
      </c>
      <c r="J84" s="75"/>
      <c r="K84" s="75">
        <v>0</v>
      </c>
      <c r="L84" s="75">
        <f t="shared" si="69"/>
        <v>0</v>
      </c>
      <c r="M84" s="75">
        <v>0</v>
      </c>
      <c r="N84" s="75">
        <f t="shared" si="70"/>
        <v>0</v>
      </c>
      <c r="O84" s="228"/>
      <c r="P84" s="75">
        <f t="shared" si="71"/>
        <v>0</v>
      </c>
    </row>
    <row r="85" spans="1:16" ht="23.25" customHeight="1" x14ac:dyDescent="0.25">
      <c r="A85" s="74"/>
      <c r="B85" s="87"/>
      <c r="C85" s="87"/>
      <c r="D85" s="75"/>
      <c r="E85" s="65"/>
      <c r="F85" s="75">
        <f t="shared" si="53"/>
        <v>0</v>
      </c>
      <c r="G85" s="75">
        <v>0</v>
      </c>
      <c r="H85" s="75">
        <v>0</v>
      </c>
      <c r="I85" s="75">
        <f t="shared" si="68"/>
        <v>0</v>
      </c>
      <c r="J85" s="75"/>
      <c r="K85" s="75">
        <v>0</v>
      </c>
      <c r="L85" s="75">
        <f t="shared" si="69"/>
        <v>0</v>
      </c>
      <c r="M85" s="75">
        <v>0</v>
      </c>
      <c r="N85" s="75">
        <f t="shared" si="70"/>
        <v>0</v>
      </c>
      <c r="O85" s="228"/>
      <c r="P85" s="75"/>
    </row>
    <row r="86" spans="1:16" ht="23.25" customHeight="1" x14ac:dyDescent="0.25">
      <c r="A86" s="74"/>
      <c r="B86" s="87"/>
      <c r="C86" s="87"/>
      <c r="D86" s="75"/>
      <c r="E86" s="65"/>
      <c r="F86" s="75">
        <f t="shared" si="53"/>
        <v>0</v>
      </c>
      <c r="G86" s="75">
        <v>0</v>
      </c>
      <c r="H86" s="75">
        <v>0</v>
      </c>
      <c r="I86" s="75">
        <f t="shared" si="68"/>
        <v>0</v>
      </c>
      <c r="J86" s="75"/>
      <c r="K86" s="75">
        <v>0</v>
      </c>
      <c r="L86" s="75">
        <f t="shared" si="69"/>
        <v>0</v>
      </c>
      <c r="M86" s="75">
        <v>0</v>
      </c>
      <c r="N86" s="75">
        <f t="shared" si="70"/>
        <v>0</v>
      </c>
      <c r="O86" s="228"/>
      <c r="P86" s="75"/>
    </row>
    <row r="87" spans="1:16" ht="23.25" customHeight="1" x14ac:dyDescent="0.25">
      <c r="B87" s="87"/>
      <c r="C87" s="87"/>
      <c r="D87" s="75"/>
      <c r="E87" s="65"/>
      <c r="F87" s="75">
        <f t="shared" si="53"/>
        <v>0</v>
      </c>
      <c r="G87" s="75">
        <v>0</v>
      </c>
      <c r="H87" s="75">
        <v>0</v>
      </c>
      <c r="I87" s="75">
        <f t="shared" si="68"/>
        <v>0</v>
      </c>
      <c r="J87" s="75"/>
      <c r="K87" s="75">
        <v>0</v>
      </c>
      <c r="L87" s="75">
        <f t="shared" si="69"/>
        <v>0</v>
      </c>
      <c r="M87" s="75">
        <v>0</v>
      </c>
      <c r="N87" s="75">
        <f t="shared" si="70"/>
        <v>0</v>
      </c>
      <c r="O87" s="228"/>
      <c r="P87" s="75">
        <f>G87+H87+M87</f>
        <v>0</v>
      </c>
    </row>
    <row r="88" spans="1:16" ht="23.25" customHeight="1" x14ac:dyDescent="0.25">
      <c r="A88" s="74"/>
      <c r="B88" s="87"/>
      <c r="C88" s="89"/>
      <c r="D88" s="75"/>
      <c r="E88" s="65"/>
      <c r="F88" s="75">
        <f t="shared" si="53"/>
        <v>0</v>
      </c>
      <c r="G88" s="75">
        <v>0</v>
      </c>
      <c r="H88" s="75">
        <v>0</v>
      </c>
      <c r="I88" s="75">
        <f t="shared" si="68"/>
        <v>0</v>
      </c>
      <c r="J88" s="75"/>
      <c r="K88" s="75">
        <v>0</v>
      </c>
      <c r="L88" s="75">
        <f t="shared" si="69"/>
        <v>0</v>
      </c>
      <c r="M88" s="75">
        <v>0</v>
      </c>
      <c r="N88" s="75">
        <f t="shared" si="70"/>
        <v>0</v>
      </c>
      <c r="O88" s="228"/>
      <c r="P88" s="75">
        <f>G88+H88+M88</f>
        <v>0</v>
      </c>
    </row>
    <row r="89" spans="1:16" ht="23.25" customHeight="1" x14ac:dyDescent="0.25">
      <c r="A89" s="74"/>
      <c r="B89" s="87"/>
      <c r="C89" s="87"/>
      <c r="D89" s="85"/>
      <c r="E89" s="65"/>
      <c r="F89" s="75">
        <f t="shared" si="53"/>
        <v>0</v>
      </c>
      <c r="G89" s="75">
        <v>0</v>
      </c>
      <c r="H89" s="75">
        <v>0</v>
      </c>
      <c r="I89" s="75">
        <f t="shared" si="68"/>
        <v>0</v>
      </c>
      <c r="J89" s="75"/>
      <c r="K89" s="75">
        <v>0</v>
      </c>
      <c r="L89" s="75">
        <f t="shared" si="69"/>
        <v>0</v>
      </c>
      <c r="M89" s="75">
        <v>0</v>
      </c>
      <c r="N89" s="75">
        <f t="shared" si="70"/>
        <v>0</v>
      </c>
      <c r="O89" s="228"/>
      <c r="P89" s="75">
        <f>G89+H89+M89</f>
        <v>0</v>
      </c>
    </row>
    <row r="90" spans="1:16" ht="23.25" customHeight="1" x14ac:dyDescent="0.25">
      <c r="A90" s="74"/>
      <c r="B90" s="87"/>
      <c r="C90" s="87"/>
      <c r="D90" s="85"/>
      <c r="E90" s="78"/>
      <c r="F90" s="75">
        <f t="shared" si="53"/>
        <v>0</v>
      </c>
      <c r="G90" s="75">
        <v>0</v>
      </c>
      <c r="H90" s="75">
        <v>0</v>
      </c>
      <c r="I90" s="75">
        <f>SUM(G90:H90)</f>
        <v>0</v>
      </c>
      <c r="J90" s="75"/>
      <c r="K90" s="75">
        <v>0</v>
      </c>
      <c r="L90" s="75">
        <f>SUM(K90)</f>
        <v>0</v>
      </c>
      <c r="M90" s="75">
        <v>0</v>
      </c>
      <c r="N90" s="75">
        <f>M90</f>
        <v>0</v>
      </c>
      <c r="O90" s="228"/>
      <c r="P90" s="75">
        <f>G90+H90+M90</f>
        <v>0</v>
      </c>
    </row>
    <row r="91" spans="1:16" ht="23.25" customHeight="1" x14ac:dyDescent="0.25">
      <c r="A91" s="74" t="s">
        <v>31</v>
      </c>
      <c r="B91" s="93"/>
      <c r="C91" s="89"/>
      <c r="D91" s="75"/>
      <c r="E91" s="65"/>
      <c r="F91" s="75">
        <f t="shared" si="53"/>
        <v>0</v>
      </c>
      <c r="G91" s="75">
        <v>0</v>
      </c>
      <c r="H91" s="75">
        <v>0</v>
      </c>
      <c r="I91" s="75">
        <f t="shared" si="68"/>
        <v>0</v>
      </c>
      <c r="J91" s="75"/>
      <c r="K91" s="75">
        <v>0</v>
      </c>
      <c r="L91" s="75">
        <f t="shared" si="69"/>
        <v>0</v>
      </c>
      <c r="M91" s="75">
        <v>0</v>
      </c>
      <c r="N91" s="75">
        <f t="shared" si="70"/>
        <v>0</v>
      </c>
      <c r="O91" s="228"/>
      <c r="P91" s="75"/>
    </row>
    <row r="92" spans="1:16" ht="23.25" customHeight="1" x14ac:dyDescent="0.25">
      <c r="A92" s="74"/>
      <c r="B92" s="89" t="s">
        <v>397</v>
      </c>
      <c r="C92" s="89" t="s">
        <v>120</v>
      </c>
      <c r="D92" s="75"/>
      <c r="E92" s="65"/>
      <c r="F92" s="75">
        <f t="shared" si="53"/>
        <v>93.09</v>
      </c>
      <c r="G92" s="75">
        <v>93.09</v>
      </c>
      <c r="H92" s="75">
        <v>0</v>
      </c>
      <c r="I92" s="75">
        <f>SUM(G92:H92)</f>
        <v>93.09</v>
      </c>
      <c r="J92" s="75"/>
      <c r="K92" s="75">
        <v>0</v>
      </c>
      <c r="L92" s="75">
        <f>SUM(K92)</f>
        <v>0</v>
      </c>
      <c r="M92" s="75">
        <v>0</v>
      </c>
      <c r="N92" s="75">
        <f>M92</f>
        <v>0</v>
      </c>
      <c r="O92" s="228"/>
      <c r="P92" s="75">
        <f>G92+H92+M92</f>
        <v>93.09</v>
      </c>
    </row>
    <row r="93" spans="1:16" ht="23.25" customHeight="1" x14ac:dyDescent="0.25">
      <c r="A93" s="74"/>
      <c r="B93" s="89"/>
      <c r="C93" s="89"/>
      <c r="D93" s="75"/>
      <c r="E93" s="65"/>
      <c r="F93" s="75">
        <f t="shared" si="53"/>
        <v>0</v>
      </c>
      <c r="G93" s="75">
        <v>0</v>
      </c>
      <c r="H93" s="75">
        <v>0</v>
      </c>
      <c r="I93" s="75">
        <f t="shared" si="68"/>
        <v>0</v>
      </c>
      <c r="J93" s="75"/>
      <c r="K93" s="75">
        <v>0</v>
      </c>
      <c r="L93" s="75">
        <f t="shared" si="69"/>
        <v>0</v>
      </c>
      <c r="M93" s="75">
        <v>0</v>
      </c>
      <c r="N93" s="75">
        <f t="shared" si="70"/>
        <v>0</v>
      </c>
      <c r="O93" s="228"/>
      <c r="P93" s="75">
        <f>G93+H93+M93</f>
        <v>0</v>
      </c>
    </row>
    <row r="94" spans="1:16" ht="23.25" customHeight="1" x14ac:dyDescent="0.25">
      <c r="A94" s="74"/>
      <c r="B94" s="89"/>
      <c r="C94" s="89"/>
      <c r="D94" s="75"/>
      <c r="E94" s="65"/>
      <c r="F94" s="75">
        <f t="shared" si="53"/>
        <v>0</v>
      </c>
      <c r="G94" s="75">
        <v>0</v>
      </c>
      <c r="H94" s="75">
        <v>0</v>
      </c>
      <c r="I94" s="75">
        <f t="shared" si="68"/>
        <v>0</v>
      </c>
      <c r="J94" s="75"/>
      <c r="K94" s="75">
        <v>0</v>
      </c>
      <c r="L94" s="75">
        <f t="shared" si="69"/>
        <v>0</v>
      </c>
      <c r="M94" s="75">
        <v>0</v>
      </c>
      <c r="N94" s="75">
        <f t="shared" si="70"/>
        <v>0</v>
      </c>
      <c r="O94" s="183"/>
      <c r="P94" s="75">
        <f>G94+H94+M94</f>
        <v>0</v>
      </c>
    </row>
    <row r="95" spans="1:16" ht="23.25" customHeight="1" x14ac:dyDescent="0.25">
      <c r="A95" s="74"/>
      <c r="B95" s="89"/>
      <c r="C95" s="89"/>
      <c r="D95" s="75"/>
      <c r="E95" s="65"/>
      <c r="F95" s="75">
        <f t="shared" si="53"/>
        <v>0</v>
      </c>
      <c r="G95" s="75">
        <v>0</v>
      </c>
      <c r="H95" s="75">
        <v>0</v>
      </c>
      <c r="I95" s="75">
        <f t="shared" si="68"/>
        <v>0</v>
      </c>
      <c r="J95" s="75"/>
      <c r="K95" s="75">
        <v>0</v>
      </c>
      <c r="L95" s="75">
        <f t="shared" si="69"/>
        <v>0</v>
      </c>
      <c r="M95" s="75">
        <v>0</v>
      </c>
      <c r="N95" s="75">
        <f t="shared" si="70"/>
        <v>0</v>
      </c>
      <c r="O95" s="183"/>
      <c r="P95" s="75">
        <f>G95+H95+M95</f>
        <v>0</v>
      </c>
    </row>
    <row r="96" spans="1:16" ht="23.25" customHeight="1" x14ac:dyDescent="0.25">
      <c r="A96" s="74"/>
      <c r="B96" s="89"/>
      <c r="C96" s="89"/>
      <c r="D96" s="75"/>
      <c r="E96" s="65"/>
      <c r="F96" s="75">
        <f t="shared" si="53"/>
        <v>0</v>
      </c>
      <c r="G96" s="75">
        <v>0</v>
      </c>
      <c r="H96" s="75">
        <v>0</v>
      </c>
      <c r="I96" s="75">
        <f t="shared" si="68"/>
        <v>0</v>
      </c>
      <c r="J96" s="75"/>
      <c r="K96" s="75">
        <v>0</v>
      </c>
      <c r="L96" s="75">
        <f t="shared" si="69"/>
        <v>0</v>
      </c>
      <c r="M96" s="75">
        <v>0</v>
      </c>
      <c r="N96" s="75">
        <f t="shared" si="70"/>
        <v>0</v>
      </c>
      <c r="O96" s="183"/>
      <c r="P96" s="75">
        <f>G96+H96+M96</f>
        <v>0</v>
      </c>
    </row>
    <row r="97" spans="1:16" ht="23.25" customHeight="1" x14ac:dyDescent="0.25">
      <c r="A97" s="74"/>
      <c r="B97" s="89"/>
      <c r="C97" s="89"/>
      <c r="D97" s="75"/>
      <c r="E97" s="65"/>
      <c r="F97" s="75">
        <f t="shared" si="53"/>
        <v>0</v>
      </c>
      <c r="G97" s="75">
        <v>0</v>
      </c>
      <c r="H97" s="75">
        <v>0</v>
      </c>
      <c r="I97" s="75">
        <f t="shared" ref="I97" si="74">SUM(G97:H97)</f>
        <v>0</v>
      </c>
      <c r="J97" s="75"/>
      <c r="K97" s="75">
        <v>0</v>
      </c>
      <c r="L97" s="75">
        <f t="shared" ref="L97" si="75">SUM(K97)</f>
        <v>0</v>
      </c>
      <c r="M97" s="75">
        <v>0</v>
      </c>
      <c r="N97" s="75">
        <f t="shared" ref="N97" si="76">M97</f>
        <v>0</v>
      </c>
      <c r="O97" s="183"/>
      <c r="P97" s="75">
        <f t="shared" ref="P97" si="77">G97+H97+M97</f>
        <v>0</v>
      </c>
    </row>
    <row r="98" spans="1:16" ht="23.25" customHeight="1" x14ac:dyDescent="0.25">
      <c r="A98" s="26" t="s">
        <v>32</v>
      </c>
      <c r="B98" s="27"/>
      <c r="C98" s="28"/>
      <c r="D98" s="29"/>
      <c r="E98" s="76">
        <f>SUM(G76:G93)</f>
        <v>93.09</v>
      </c>
      <c r="F98" s="76">
        <f t="shared" si="53"/>
        <v>0</v>
      </c>
      <c r="G98" s="76">
        <f>SUM(G76:G93)</f>
        <v>93.09</v>
      </c>
      <c r="H98" s="76">
        <f>SUM(H76:H93)</f>
        <v>0</v>
      </c>
      <c r="I98" s="76">
        <f>SUM(I76:I93)</f>
        <v>93.09</v>
      </c>
      <c r="J98" s="76"/>
      <c r="K98" s="76">
        <f>SUM(K76:K97)</f>
        <v>0</v>
      </c>
      <c r="L98" s="76">
        <f>SUM(L76:L93)</f>
        <v>0</v>
      </c>
      <c r="M98" s="76">
        <f>SUM(M76:M93)</f>
        <v>0</v>
      </c>
      <c r="N98" s="76">
        <f>SUM(N76:N93)</f>
        <v>0</v>
      </c>
      <c r="O98" s="76">
        <f>M98-K98</f>
        <v>0</v>
      </c>
      <c r="P98" s="77">
        <f>SUM(P76:P93)</f>
        <v>93.09</v>
      </c>
    </row>
    <row r="99" spans="1:16" ht="23.25" customHeight="1" x14ac:dyDescent="0.25">
      <c r="A99" s="30" t="s">
        <v>33</v>
      </c>
      <c r="B99" s="31"/>
      <c r="C99" s="32"/>
      <c r="D99" s="33"/>
      <c r="E99" s="69">
        <f>B98+E75+E54+E28</f>
        <v>6185.8899999999994</v>
      </c>
      <c r="F99" s="69">
        <f t="shared" si="53"/>
        <v>2677.5300000000007</v>
      </c>
      <c r="G99" s="69">
        <f>E98+G75+G54+G28</f>
        <v>8863.42</v>
      </c>
      <c r="H99" s="69">
        <f>H98+H75+H54+H28</f>
        <v>0</v>
      </c>
      <c r="I99" s="69">
        <f>I98+I75+I54+I28</f>
        <v>8863.42</v>
      </c>
      <c r="J99" s="69"/>
      <c r="K99" s="69">
        <f>K98+K75+K54+K28</f>
        <v>768.25</v>
      </c>
      <c r="L99" s="69">
        <f>L98+L75+L54+L28</f>
        <v>292.77</v>
      </c>
      <c r="M99" s="69">
        <f>M98+M75+M54+M28</f>
        <v>113.6</v>
      </c>
      <c r="N99" s="69">
        <f>N98+N75+N54+N28</f>
        <v>113.6</v>
      </c>
      <c r="O99" s="69">
        <f>M99-K99</f>
        <v>-654.65</v>
      </c>
      <c r="P99" s="77">
        <f>P98+P75+P54+P28</f>
        <v>7681.8899999999994</v>
      </c>
    </row>
    <row r="100" spans="1:16" x14ac:dyDescent="0.25">
      <c r="A100" s="1"/>
      <c r="B100" s="1"/>
      <c r="C100" s="1"/>
      <c r="D100" s="1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90"/>
      <c r="B101" s="65"/>
      <c r="C101" s="65"/>
    </row>
  </sheetData>
  <mergeCells count="8">
    <mergeCell ref="O29:O51"/>
    <mergeCell ref="O55:O74"/>
    <mergeCell ref="O76:O93"/>
    <mergeCell ref="G1:I1"/>
    <mergeCell ref="K1:L1"/>
    <mergeCell ref="M1:O1"/>
    <mergeCell ref="P1:P2"/>
    <mergeCell ref="O5:O1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O46"/>
  <sheetViews>
    <sheetView workbookViewId="0">
      <pane ySplit="4" topLeftCell="A5" activePane="bottomLeft" state="frozen"/>
      <selection pane="bottomLeft" activeCell="M4" sqref="M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128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2023</v>
      </c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26">
        <f>L45-J45+N35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O1:O2"/>
    <mergeCell ref="N5:N13"/>
    <mergeCell ref="N15:N23"/>
    <mergeCell ref="N25:N33"/>
    <mergeCell ref="N35:N43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O46"/>
  <sheetViews>
    <sheetView workbookViewId="0">
      <pane ySplit="4" topLeftCell="A5" activePane="bottomLeft" state="frozen"/>
      <selection pane="bottomLeft" activeCell="B18" sqref="B18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129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38</v>
      </c>
      <c r="N3" s="71">
        <v>459.53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287.90999999999997</v>
      </c>
      <c r="L4" s="16" t="s">
        <v>35</v>
      </c>
      <c r="M4" s="17"/>
      <c r="N4" s="198">
        <f>L45-K45+N3</f>
        <v>171.62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 t="s">
        <v>130</v>
      </c>
      <c r="C18" s="78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99.91</v>
      </c>
      <c r="K18" s="75">
        <f t="shared" si="8"/>
        <v>99.91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99.91</v>
      </c>
      <c r="K24" s="76">
        <f t="shared" si="11"/>
        <v>99.91</v>
      </c>
      <c r="L24" s="76">
        <f t="shared" si="11"/>
        <v>0</v>
      </c>
      <c r="M24" s="76">
        <f t="shared" si="11"/>
        <v>0</v>
      </c>
      <c r="N24" s="76">
        <f>L24-J24</f>
        <v>-99.91</v>
      </c>
      <c r="O24" s="77">
        <f>SUM(O15:O23)</f>
        <v>0</v>
      </c>
    </row>
    <row r="25" spans="1:15" ht="23.25" customHeight="1" x14ac:dyDescent="0.25">
      <c r="A25" s="74" t="s">
        <v>25</v>
      </c>
      <c r="B25" s="78" t="s">
        <v>316</v>
      </c>
      <c r="C25" s="78"/>
      <c r="D25" s="8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80</v>
      </c>
      <c r="K25" s="75">
        <f t="shared" ref="K25:K33" si="14">SUM(J25)</f>
        <v>80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78" t="s">
        <v>318</v>
      </c>
      <c r="C26" s="78"/>
      <c r="D26" s="8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108</v>
      </c>
      <c r="K26" s="75">
        <f t="shared" si="14"/>
        <v>108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188</v>
      </c>
      <c r="K34" s="76">
        <f t="shared" si="17"/>
        <v>188</v>
      </c>
      <c r="L34" s="76">
        <f t="shared" si="17"/>
        <v>0</v>
      </c>
      <c r="M34" s="76">
        <f t="shared" si="17"/>
        <v>0</v>
      </c>
      <c r="N34" s="76">
        <f>L34-J34</f>
        <v>-188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287.90999999999997</v>
      </c>
      <c r="K45" s="69">
        <f t="shared" si="23"/>
        <v>287.90999999999997</v>
      </c>
      <c r="L45" s="69">
        <f t="shared" si="23"/>
        <v>0</v>
      </c>
      <c r="M45" s="69">
        <f t="shared" si="23"/>
        <v>0</v>
      </c>
      <c r="N45" s="69">
        <f>L45-J45</f>
        <v>-287.90999999999997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O1:O2"/>
    <mergeCell ref="N5:N13"/>
    <mergeCell ref="N15:N23"/>
    <mergeCell ref="N25:N33"/>
    <mergeCell ref="N35:N43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O44"/>
  <sheetViews>
    <sheetView tabSelected="1" workbookViewId="0">
      <pane ySplit="4" topLeftCell="A5" activePane="bottomLeft" state="frozen"/>
      <selection pane="bottomLeft" activeCell="H15" sqref="H15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131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1584.38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0</v>
      </c>
      <c r="J4" s="65"/>
      <c r="K4" s="73">
        <f>K43</f>
        <v>1983.41</v>
      </c>
      <c r="L4" s="24" t="s">
        <v>16</v>
      </c>
      <c r="M4" s="16"/>
      <c r="N4" s="198">
        <f>L43-J43+N3</f>
        <v>134.84999999999991</v>
      </c>
      <c r="O4" s="25"/>
    </row>
    <row r="5" spans="1:15" ht="23.25" customHeight="1" x14ac:dyDescent="0.25">
      <c r="A5" s="74"/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 t="s">
        <v>412</v>
      </c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400</v>
      </c>
      <c r="K6" s="75">
        <f t="shared" si="2"/>
        <v>400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/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400</v>
      </c>
      <c r="K13" s="76">
        <f t="shared" si="5"/>
        <v>400</v>
      </c>
      <c r="L13" s="76">
        <f t="shared" si="5"/>
        <v>0</v>
      </c>
      <c r="M13" s="76">
        <f t="shared" si="5"/>
        <v>0</v>
      </c>
      <c r="N13" s="76">
        <f>L13-J13</f>
        <v>-400</v>
      </c>
      <c r="O13" s="77">
        <f>SUM(O5:O12)</f>
        <v>0</v>
      </c>
    </row>
    <row r="14" spans="1:15" ht="23.25" customHeight="1" x14ac:dyDescent="0.25">
      <c r="A14" s="74"/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/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/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68" t="s">
        <v>60</v>
      </c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78" t="s">
        <v>317</v>
      </c>
      <c r="C28" s="78"/>
      <c r="D28" s="8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113.41</v>
      </c>
      <c r="K28" s="75">
        <f t="shared" si="13"/>
        <v>113.41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78" t="s">
        <v>328</v>
      </c>
      <c r="C29" s="78"/>
      <c r="D29" s="8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1470</v>
      </c>
      <c r="K29" s="75">
        <f t="shared" si="13"/>
        <v>1470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1583.41</v>
      </c>
      <c r="K33" s="76">
        <f t="shared" si="16"/>
        <v>1583.41</v>
      </c>
      <c r="L33" s="76">
        <f t="shared" si="16"/>
        <v>0</v>
      </c>
      <c r="M33" s="76">
        <f t="shared" si="16"/>
        <v>0</v>
      </c>
      <c r="N33" s="76">
        <f>L33-J33</f>
        <v>-1583.41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 t="s">
        <v>36</v>
      </c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200" t="s">
        <v>2</v>
      </c>
      <c r="C37" s="200" t="s">
        <v>381</v>
      </c>
      <c r="D37" s="225"/>
      <c r="E37" s="200"/>
      <c r="F37" s="225">
        <f t="shared" si="11"/>
        <v>0</v>
      </c>
      <c r="G37" s="225">
        <v>0</v>
      </c>
      <c r="H37" s="225">
        <v>0</v>
      </c>
      <c r="I37" s="225">
        <f t="shared" si="17"/>
        <v>0</v>
      </c>
      <c r="J37" s="225">
        <v>0</v>
      </c>
      <c r="K37" s="225">
        <f t="shared" si="18"/>
        <v>0</v>
      </c>
      <c r="L37" s="225">
        <v>125.04</v>
      </c>
      <c r="M37" s="225">
        <f t="shared" si="19"/>
        <v>125.04</v>
      </c>
      <c r="N37" s="228"/>
      <c r="O37" s="75">
        <f t="shared" si="20"/>
        <v>125.04</v>
      </c>
    </row>
    <row r="38" spans="1:15" ht="23.25" customHeight="1" x14ac:dyDescent="0.25">
      <c r="A38" s="63" t="s">
        <v>31</v>
      </c>
      <c r="B38" s="200"/>
      <c r="C38" s="200"/>
      <c r="D38" s="225"/>
      <c r="E38" s="200"/>
      <c r="F38" s="225">
        <v>0</v>
      </c>
      <c r="G38" s="225">
        <v>0</v>
      </c>
      <c r="H38" s="225">
        <v>0</v>
      </c>
      <c r="I38" s="225">
        <f t="shared" si="17"/>
        <v>0</v>
      </c>
      <c r="J38" s="225">
        <v>0</v>
      </c>
      <c r="K38" s="225">
        <f t="shared" si="18"/>
        <v>0</v>
      </c>
      <c r="L38" s="225">
        <v>0</v>
      </c>
      <c r="M38" s="22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200" t="s">
        <v>60</v>
      </c>
      <c r="C39" s="200" t="s">
        <v>410</v>
      </c>
      <c r="D39" s="225"/>
      <c r="E39" s="200"/>
      <c r="F39" s="225">
        <v>0</v>
      </c>
      <c r="G39" s="225">
        <v>0</v>
      </c>
      <c r="H39" s="225">
        <v>0</v>
      </c>
      <c r="I39" s="225">
        <f t="shared" si="17"/>
        <v>0</v>
      </c>
      <c r="J39" s="225">
        <v>0</v>
      </c>
      <c r="K39" s="225">
        <f>SUM(J39)</f>
        <v>0</v>
      </c>
      <c r="L39" s="225">
        <v>408.84</v>
      </c>
      <c r="M39" s="225">
        <f>L39</f>
        <v>408.84</v>
      </c>
      <c r="N39" s="228"/>
      <c r="O39" s="75">
        <f>G39+H39+L39</f>
        <v>408.84</v>
      </c>
    </row>
    <row r="40" spans="1:15" ht="23.25" customHeight="1" x14ac:dyDescent="0.25">
      <c r="A40" s="65"/>
      <c r="B40" s="226" t="s">
        <v>411</v>
      </c>
      <c r="C40" s="152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533.88</v>
      </c>
      <c r="M42" s="67">
        <f t="shared" si="21"/>
        <v>533.88</v>
      </c>
      <c r="N42" s="67">
        <f>L42-J42</f>
        <v>533.88</v>
      </c>
      <c r="O42" s="68">
        <f>SUM(O34:O40)</f>
        <v>533.88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0</v>
      </c>
      <c r="G43" s="69">
        <f>E42+G33+G23+G13</f>
        <v>0</v>
      </c>
      <c r="H43" s="69">
        <f t="shared" ref="H43:M43" si="22">H42+H33+H23+H13</f>
        <v>0</v>
      </c>
      <c r="I43" s="69">
        <f t="shared" si="22"/>
        <v>0</v>
      </c>
      <c r="J43" s="69">
        <f t="shared" si="22"/>
        <v>1983.41</v>
      </c>
      <c r="K43" s="69">
        <f t="shared" si="22"/>
        <v>1983.41</v>
      </c>
      <c r="L43" s="69">
        <f t="shared" si="22"/>
        <v>533.88</v>
      </c>
      <c r="M43" s="69">
        <f t="shared" si="22"/>
        <v>533.88</v>
      </c>
      <c r="N43" s="69">
        <f>L43-J43</f>
        <v>-1449.5300000000002</v>
      </c>
      <c r="O43" s="77">
        <f>O42+O33+O23+O13</f>
        <v>533.88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G1:I1"/>
    <mergeCell ref="J1:K1"/>
    <mergeCell ref="L1:N1"/>
    <mergeCell ref="O1:O2"/>
    <mergeCell ref="N5:N12"/>
    <mergeCell ref="N14:N22"/>
    <mergeCell ref="N24:N32"/>
    <mergeCell ref="N34:N4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O44"/>
  <sheetViews>
    <sheetView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132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0</v>
      </c>
      <c r="J4" s="65"/>
      <c r="K4" s="73">
        <f>K43</f>
        <v>0</v>
      </c>
      <c r="L4" s="24" t="s">
        <v>16</v>
      </c>
      <c r="M4" s="16"/>
      <c r="N4" s="198">
        <f>L43-J43+N3</f>
        <v>0</v>
      </c>
      <c r="O4" s="2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0</v>
      </c>
    </row>
    <row r="14" spans="1:15" ht="23.25" customHeight="1" x14ac:dyDescent="0.25">
      <c r="A14" s="74" t="s">
        <v>21</v>
      </c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0</v>
      </c>
      <c r="G43" s="69">
        <f>E42+G33+G23+G13</f>
        <v>0</v>
      </c>
      <c r="H43" s="69">
        <f t="shared" ref="H43:M43" si="22">H42+H33+H23+H13</f>
        <v>0</v>
      </c>
      <c r="I43" s="69">
        <f t="shared" si="22"/>
        <v>0</v>
      </c>
      <c r="J43" s="69">
        <f t="shared" si="22"/>
        <v>0</v>
      </c>
      <c r="K43" s="69">
        <f t="shared" si="22"/>
        <v>0</v>
      </c>
      <c r="L43" s="69">
        <f t="shared" si="22"/>
        <v>0</v>
      </c>
      <c r="M43" s="69">
        <f t="shared" si="22"/>
        <v>0</v>
      </c>
      <c r="N43" s="69">
        <f>L43-J43</f>
        <v>0</v>
      </c>
      <c r="O43" s="77">
        <f>O42+O33+O23+O13</f>
        <v>0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O1:O2"/>
    <mergeCell ref="N5:N12"/>
    <mergeCell ref="N14:N22"/>
    <mergeCell ref="N24:N32"/>
    <mergeCell ref="N34:N40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O46"/>
  <sheetViews>
    <sheetView workbookViewId="0">
      <pane ySplit="4" topLeftCell="A29" activePane="bottomLeft" state="frozen"/>
      <selection pane="bottomLeft" activeCell="J48" sqref="J48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133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134</v>
      </c>
      <c r="N3" s="71"/>
      <c r="O3" s="3"/>
    </row>
    <row r="4" spans="1:15" ht="23.25" customHeight="1" x14ac:dyDescent="0.25">
      <c r="A4" s="21"/>
      <c r="B4" s="122"/>
      <c r="C4" s="122"/>
      <c r="D4" s="22"/>
      <c r="E4" s="21"/>
      <c r="F4" s="21"/>
      <c r="G4" s="21"/>
      <c r="H4" s="23"/>
      <c r="I4" s="72">
        <f>I45</f>
        <v>0</v>
      </c>
      <c r="J4" s="65"/>
      <c r="K4" s="121">
        <f>K45</f>
        <v>0</v>
      </c>
      <c r="L4" s="16" t="s">
        <v>35</v>
      </c>
      <c r="M4" s="17"/>
      <c r="N4" s="125">
        <f>L45-K4</f>
        <v>1392.53</v>
      </c>
      <c r="O4" s="25"/>
    </row>
    <row r="5" spans="1:15" ht="23.25" customHeight="1" x14ac:dyDescent="0.25">
      <c r="A5" s="74" t="s">
        <v>17</v>
      </c>
      <c r="B5" s="78"/>
      <c r="C5" s="78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78"/>
      <c r="C6" s="78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78"/>
      <c r="C7" s="78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f t="shared" si="0"/>
        <v>0</v>
      </c>
      <c r="G8" s="75">
        <v>0</v>
      </c>
      <c r="H8" s="96">
        <v>0</v>
      </c>
      <c r="I8" s="75">
        <f t="shared" si="1"/>
        <v>0</v>
      </c>
      <c r="J8" s="75">
        <v>0</v>
      </c>
      <c r="K8" s="75">
        <f t="shared" si="2"/>
        <v>0</v>
      </c>
      <c r="L8" s="96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78"/>
      <c r="C9" s="78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78"/>
      <c r="C10" s="78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10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78"/>
      <c r="C12" s="78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78"/>
      <c r="C13" s="78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123"/>
      <c r="C14" s="124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2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78"/>
      <c r="C16" s="78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78"/>
      <c r="C17" s="78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/>
      <c r="C18" s="78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78"/>
      <c r="C20" s="78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83" t="s">
        <v>60</v>
      </c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193.53</v>
      </c>
      <c r="M21" s="75">
        <f t="shared" si="9"/>
        <v>193.53</v>
      </c>
      <c r="N21" s="228"/>
      <c r="O21" s="75">
        <f t="shared" si="10"/>
        <v>193.53</v>
      </c>
    </row>
    <row r="22" spans="1:15" ht="23.25" customHeight="1" x14ac:dyDescent="0.25">
      <c r="A22" s="74"/>
      <c r="B22" s="65" t="s">
        <v>60</v>
      </c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1199</v>
      </c>
      <c r="M22" s="75">
        <f t="shared" si="9"/>
        <v>1199</v>
      </c>
      <c r="N22" s="228"/>
      <c r="O22" s="75">
        <f t="shared" si="10"/>
        <v>1199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1392.53</v>
      </c>
      <c r="M24" s="76">
        <f t="shared" si="11"/>
        <v>1392.53</v>
      </c>
      <c r="N24" s="76">
        <f>L24-J24</f>
        <v>1392.53</v>
      </c>
      <c r="O24" s="77">
        <f>SUM(O15:O23)</f>
        <v>1392.53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1392.53</v>
      </c>
      <c r="M45" s="69">
        <f t="shared" si="23"/>
        <v>1392.53</v>
      </c>
      <c r="N45" s="69">
        <f>L45-J45</f>
        <v>1392.53</v>
      </c>
      <c r="O45" s="77">
        <f>O44+O34+O24+O14</f>
        <v>1392.53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O46"/>
  <sheetViews>
    <sheetView workbookViewId="0">
      <pane ySplit="4" topLeftCell="A5" activePane="bottomLeft" state="frozen"/>
      <selection pane="bottomLeft" activeCell="N15" sqref="N15:N23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135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17.52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24" t="s">
        <v>16</v>
      </c>
      <c r="M4" s="16"/>
      <c r="N4" s="126">
        <f>L45-J45+N3</f>
        <v>17.52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75"/>
      <c r="E15" s="65">
        <v>0</v>
      </c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78"/>
      <c r="C32" s="78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78"/>
      <c r="C41" s="78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O46"/>
  <sheetViews>
    <sheetView workbookViewId="0">
      <pane ySplit="4" topLeftCell="A35" activePane="bottomLeft" state="frozen"/>
      <selection pane="bottomLeft" activeCell="D42" sqref="D42"/>
    </sheetView>
  </sheetViews>
  <sheetFormatPr baseColWidth="10" defaultColWidth="9" defaultRowHeight="15.75" x14ac:dyDescent="0.25"/>
  <cols>
    <col min="1" max="1" width="12.125" customWidth="1"/>
    <col min="2" max="2" width="45.125" bestFit="1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4" width="9.625" customWidth="1"/>
    <col min="15" max="15" width="15.375" customWidth="1"/>
    <col min="16" max="1026" width="9.625" customWidth="1"/>
  </cols>
  <sheetData>
    <row r="1" spans="1:15" ht="31.5" customHeight="1" x14ac:dyDescent="0.3">
      <c r="A1" s="7"/>
      <c r="B1" s="12" t="s">
        <v>136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126</v>
      </c>
      <c r="O3" s="150" t="s">
        <v>137</v>
      </c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1420.42</v>
      </c>
      <c r="J4" s="65"/>
      <c r="K4" s="73">
        <f>K45</f>
        <v>12.9</v>
      </c>
      <c r="L4" s="16" t="s">
        <v>35</v>
      </c>
      <c r="M4" s="17"/>
      <c r="N4" s="125">
        <f>L45-J45+N3</f>
        <v>113.1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39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40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40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40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40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40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40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40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41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39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40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40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40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40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40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40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40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41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 t="s">
        <v>360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78" t="s">
        <v>359</v>
      </c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12.9</v>
      </c>
      <c r="K35" s="75">
        <f t="shared" ref="K35:K43" si="19">SUM(J35)</f>
        <v>12.9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 t="s">
        <v>385</v>
      </c>
      <c r="C38" s="65" t="s">
        <v>387</v>
      </c>
      <c r="D38" s="75"/>
      <c r="E38" s="65"/>
      <c r="F38" s="75">
        <f t="shared" si="12"/>
        <v>270.3</v>
      </c>
      <c r="G38" s="75">
        <v>270.3</v>
      </c>
      <c r="H38" s="75">
        <v>0</v>
      </c>
      <c r="I38" s="75">
        <f t="shared" si="18"/>
        <v>270.3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270.3</v>
      </c>
    </row>
    <row r="39" spans="1:15" ht="23.25" customHeight="1" x14ac:dyDescent="0.25">
      <c r="A39" s="74"/>
      <c r="B39" s="65" t="s">
        <v>386</v>
      </c>
      <c r="C39" s="65" t="s">
        <v>398</v>
      </c>
      <c r="D39" s="75"/>
      <c r="E39" s="65"/>
      <c r="F39" s="75">
        <f t="shared" si="12"/>
        <v>503</v>
      </c>
      <c r="G39" s="75">
        <v>503</v>
      </c>
      <c r="H39" s="75">
        <v>0</v>
      </c>
      <c r="I39" s="75">
        <f t="shared" si="18"/>
        <v>503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503</v>
      </c>
    </row>
    <row r="40" spans="1:15" ht="23.25" customHeight="1" x14ac:dyDescent="0.25">
      <c r="A40" s="74"/>
      <c r="B40" s="65" t="s">
        <v>395</v>
      </c>
      <c r="C40" s="65" t="s">
        <v>396</v>
      </c>
      <c r="D40" s="75"/>
      <c r="E40" s="65"/>
      <c r="F40" s="75">
        <f t="shared" si="12"/>
        <v>647.12</v>
      </c>
      <c r="G40" s="75">
        <v>316.79000000000002</v>
      </c>
      <c r="H40" s="75">
        <v>330.33</v>
      </c>
      <c r="I40" s="75">
        <f t="shared" si="18"/>
        <v>647.12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647.12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1090.0899999999999</v>
      </c>
      <c r="F44" s="76">
        <f t="shared" si="12"/>
        <v>330.33000000000015</v>
      </c>
      <c r="G44" s="76">
        <f t="shared" ref="G44:M44" si="22">SUM(G35:G43)</f>
        <v>1090.0899999999999</v>
      </c>
      <c r="H44" s="76">
        <f t="shared" si="22"/>
        <v>330.33</v>
      </c>
      <c r="I44" s="76">
        <f t="shared" si="22"/>
        <v>1420.42</v>
      </c>
      <c r="J44" s="76">
        <f t="shared" si="22"/>
        <v>12.9</v>
      </c>
      <c r="K44" s="76">
        <f t="shared" si="22"/>
        <v>12.9</v>
      </c>
      <c r="L44" s="76">
        <f t="shared" si="22"/>
        <v>0</v>
      </c>
      <c r="M44" s="76">
        <f t="shared" si="22"/>
        <v>0</v>
      </c>
      <c r="N44" s="76">
        <f>L44-J44</f>
        <v>-12.9</v>
      </c>
      <c r="O44" s="77">
        <f>SUM(O35:O43)</f>
        <v>1420.42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1420.42</v>
      </c>
      <c r="G45" s="69">
        <f>E44+G34+G24+G14</f>
        <v>1090.0899999999999</v>
      </c>
      <c r="H45" s="69">
        <f t="shared" ref="H45:M45" si="23">H44+H34+H24+H14</f>
        <v>330.33</v>
      </c>
      <c r="I45" s="69">
        <f t="shared" si="23"/>
        <v>1420.42</v>
      </c>
      <c r="J45" s="69">
        <f t="shared" si="23"/>
        <v>12.9</v>
      </c>
      <c r="K45" s="69">
        <f t="shared" si="23"/>
        <v>12.9</v>
      </c>
      <c r="L45" s="69">
        <f t="shared" si="23"/>
        <v>0</v>
      </c>
      <c r="M45" s="69">
        <f t="shared" si="23"/>
        <v>0</v>
      </c>
      <c r="N45" s="69">
        <f>L45-J45</f>
        <v>-12.9</v>
      </c>
      <c r="O45" s="77">
        <f>O44+O34+O24+O14</f>
        <v>1420.42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25:N33"/>
    <mergeCell ref="N35:N43"/>
    <mergeCell ref="N15:N23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O44"/>
  <sheetViews>
    <sheetView workbookViewId="0">
      <pane ySplit="4" topLeftCell="A5" activePane="bottomLeft" state="frozen"/>
      <selection pane="bottomLeft" activeCell="B19" sqref="B19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151" t="s">
        <v>138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675.22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I43</f>
        <v>0</v>
      </c>
      <c r="J4" s="65"/>
      <c r="K4" s="73">
        <f>K43</f>
        <v>547.84</v>
      </c>
      <c r="L4" s="16" t="s">
        <v>35</v>
      </c>
      <c r="M4" s="17"/>
      <c r="N4" s="125">
        <f>L43-K43+N3</f>
        <v>127.38</v>
      </c>
      <c r="O4" s="25"/>
    </row>
    <row r="5" spans="1:15" ht="23.25" customHeight="1" x14ac:dyDescent="0.25">
      <c r="A5" s="74"/>
      <c r="B5" s="143" t="s">
        <v>139</v>
      </c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1" si="6">I15-E15</f>
        <v>0</v>
      </c>
      <c r="G15" s="75">
        <v>0</v>
      </c>
      <c r="H15" s="75">
        <v>0</v>
      </c>
      <c r="I15" s="75">
        <f t="shared" ref="I15:I21" si="7">SUM(G15:H15)</f>
        <v>0</v>
      </c>
      <c r="J15" s="75">
        <v>0</v>
      </c>
      <c r="K15" s="75">
        <f t="shared" ref="K15:K21" si="8">SUM(J15)</f>
        <v>0</v>
      </c>
      <c r="L15" s="75">
        <v>0</v>
      </c>
      <c r="M15" s="75">
        <f t="shared" ref="M15:M21" si="9">L15</f>
        <v>0</v>
      </c>
      <c r="N15" s="228"/>
      <c r="O15" s="75">
        <f t="shared" ref="O15:O21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/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 t="s">
        <v>23</v>
      </c>
      <c r="B19" s="78" t="s">
        <v>140</v>
      </c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330</v>
      </c>
      <c r="K19" s="75">
        <f t="shared" si="8"/>
        <v>330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78" t="s">
        <v>141</v>
      </c>
      <c r="C20" s="78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67.84</v>
      </c>
      <c r="K20" s="75">
        <f t="shared" si="8"/>
        <v>67.84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/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26" t="s">
        <v>24</v>
      </c>
      <c r="B22" s="27"/>
      <c r="C22" s="28"/>
      <c r="D22" s="29"/>
      <c r="E22" s="76">
        <f t="shared" ref="E22:M22" si="11">SUM(E15:E21)</f>
        <v>0</v>
      </c>
      <c r="F22" s="76">
        <f t="shared" si="11"/>
        <v>0</v>
      </c>
      <c r="G22" s="76">
        <f t="shared" si="11"/>
        <v>0</v>
      </c>
      <c r="H22" s="76">
        <f t="shared" si="11"/>
        <v>0</v>
      </c>
      <c r="I22" s="76">
        <f t="shared" si="11"/>
        <v>0</v>
      </c>
      <c r="J22" s="76">
        <f t="shared" si="11"/>
        <v>397.84000000000003</v>
      </c>
      <c r="K22" s="76">
        <f t="shared" si="11"/>
        <v>397.84000000000003</v>
      </c>
      <c r="L22" s="76">
        <f t="shared" si="11"/>
        <v>0</v>
      </c>
      <c r="M22" s="76">
        <f t="shared" si="11"/>
        <v>0</v>
      </c>
      <c r="N22" s="76">
        <f>L22-J22</f>
        <v>-397.84000000000003</v>
      </c>
      <c r="O22" s="77">
        <f>SUM(O15:O21)</f>
        <v>0</v>
      </c>
    </row>
    <row r="23" spans="1:15" ht="23.25" customHeight="1" x14ac:dyDescent="0.25">
      <c r="A23" s="74" t="s">
        <v>25</v>
      </c>
      <c r="B23" s="65" t="s">
        <v>142</v>
      </c>
      <c r="C23" s="65"/>
      <c r="D23" s="75"/>
      <c r="E23" s="65"/>
      <c r="F23" s="75">
        <f t="shared" ref="F23:F43" si="12">I23-E23</f>
        <v>0</v>
      </c>
      <c r="G23" s="75">
        <v>0</v>
      </c>
      <c r="H23" s="75">
        <v>0</v>
      </c>
      <c r="I23" s="75">
        <f t="shared" ref="I23:I31" si="13">SUM(G23:H23)</f>
        <v>0</v>
      </c>
      <c r="J23" s="75">
        <v>150</v>
      </c>
      <c r="K23" s="75">
        <f t="shared" ref="K23:K31" si="14">SUM(J23)</f>
        <v>150</v>
      </c>
      <c r="L23" s="75">
        <v>0</v>
      </c>
      <c r="M23" s="75">
        <f t="shared" ref="M23:M31" si="15">L23</f>
        <v>0</v>
      </c>
      <c r="N23" s="228"/>
      <c r="O23" s="75">
        <f t="shared" ref="O23:O31" si="16">G23+H23+L23</f>
        <v>0</v>
      </c>
    </row>
    <row r="24" spans="1:15" ht="23.25" customHeight="1" x14ac:dyDescent="0.25">
      <c r="A24" s="74"/>
      <c r="B24" s="65"/>
      <c r="C24" s="65"/>
      <c r="D24" s="75"/>
      <c r="E24" s="65"/>
      <c r="F24" s="75">
        <f t="shared" si="12"/>
        <v>0</v>
      </c>
      <c r="G24" s="75">
        <v>0</v>
      </c>
      <c r="H24" s="75">
        <v>0</v>
      </c>
      <c r="I24" s="75">
        <f t="shared" si="13"/>
        <v>0</v>
      </c>
      <c r="J24" s="75">
        <v>0</v>
      </c>
      <c r="K24" s="75">
        <f t="shared" si="14"/>
        <v>0</v>
      </c>
      <c r="L24" s="75">
        <v>0</v>
      </c>
      <c r="M24" s="75">
        <f t="shared" si="15"/>
        <v>0</v>
      </c>
      <c r="N24" s="228"/>
      <c r="O24" s="75">
        <f t="shared" si="16"/>
        <v>0</v>
      </c>
    </row>
    <row r="25" spans="1:15" ht="23.25" customHeight="1" x14ac:dyDescent="0.25">
      <c r="A25" s="74"/>
      <c r="B25" s="65"/>
      <c r="C25" s="65"/>
      <c r="D25" s="75"/>
      <c r="E25" s="65"/>
      <c r="F25" s="75">
        <f t="shared" si="12"/>
        <v>0</v>
      </c>
      <c r="G25" s="75">
        <v>0</v>
      </c>
      <c r="H25" s="75">
        <v>0</v>
      </c>
      <c r="I25" s="75">
        <f t="shared" si="13"/>
        <v>0</v>
      </c>
      <c r="J25" s="75">
        <v>0</v>
      </c>
      <c r="K25" s="75">
        <f t="shared" si="14"/>
        <v>0</v>
      </c>
      <c r="L25" s="75">
        <v>0</v>
      </c>
      <c r="M25" s="75">
        <f t="shared" si="15"/>
        <v>0</v>
      </c>
      <c r="N25" s="228"/>
      <c r="O25" s="75">
        <f t="shared" si="16"/>
        <v>0</v>
      </c>
    </row>
    <row r="26" spans="1:15" ht="23.25" customHeight="1" x14ac:dyDescent="0.25">
      <c r="A26" s="74" t="s">
        <v>26</v>
      </c>
      <c r="B26" s="78"/>
      <c r="C26" s="78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 t="s">
        <v>28</v>
      </c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26" t="s">
        <v>29</v>
      </c>
      <c r="B32" s="27"/>
      <c r="C32" s="28"/>
      <c r="D32" s="29"/>
      <c r="E32" s="76">
        <f>SUM(E23:E31)</f>
        <v>0</v>
      </c>
      <c r="F32" s="76">
        <f t="shared" si="12"/>
        <v>0</v>
      </c>
      <c r="G32" s="76">
        <f t="shared" ref="G32:M32" si="17">SUM(G23:G31)</f>
        <v>0</v>
      </c>
      <c r="H32" s="76">
        <f t="shared" si="17"/>
        <v>0</v>
      </c>
      <c r="I32" s="76">
        <f t="shared" si="17"/>
        <v>0</v>
      </c>
      <c r="J32" s="76">
        <f t="shared" si="17"/>
        <v>150</v>
      </c>
      <c r="K32" s="76">
        <f t="shared" si="17"/>
        <v>150</v>
      </c>
      <c r="L32" s="76">
        <f t="shared" si="17"/>
        <v>0</v>
      </c>
      <c r="M32" s="76">
        <f t="shared" si="17"/>
        <v>0</v>
      </c>
      <c r="N32" s="76">
        <f>L32-J32</f>
        <v>-150</v>
      </c>
      <c r="O32" s="77">
        <f>SUM(O23:O31)</f>
        <v>0</v>
      </c>
    </row>
    <row r="33" spans="1:15" ht="23.25" customHeight="1" x14ac:dyDescent="0.25">
      <c r="A33" s="74" t="s">
        <v>30</v>
      </c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ref="I33:I41" si="18">SUM(G33:H33)</f>
        <v>0</v>
      </c>
      <c r="J33" s="75">
        <v>0</v>
      </c>
      <c r="K33" s="75">
        <f t="shared" ref="K33:K41" si="19">SUM(J33)</f>
        <v>0</v>
      </c>
      <c r="L33" s="75">
        <v>0</v>
      </c>
      <c r="M33" s="75">
        <f t="shared" ref="M33:M41" si="20">L33</f>
        <v>0</v>
      </c>
      <c r="N33" s="228"/>
      <c r="O33" s="75">
        <f t="shared" ref="O33:O41" si="21">G33+H33+L33</f>
        <v>0</v>
      </c>
    </row>
    <row r="34" spans="1:15" ht="23.25" customHeight="1" x14ac:dyDescent="0.25">
      <c r="A34" s="74"/>
      <c r="B34" s="65"/>
      <c r="C34" s="65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8"/>
        <v>0</v>
      </c>
      <c r="J34" s="75">
        <v>0</v>
      </c>
      <c r="K34" s="75">
        <f t="shared" si="19"/>
        <v>0</v>
      </c>
      <c r="L34" s="75">
        <v>0</v>
      </c>
      <c r="M34" s="75">
        <f t="shared" si="20"/>
        <v>0</v>
      </c>
      <c r="N34" s="228"/>
      <c r="O34" s="75">
        <f t="shared" si="21"/>
        <v>0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8"/>
        <v>0</v>
      </c>
      <c r="J35" s="75">
        <v>0</v>
      </c>
      <c r="K35" s="75">
        <f t="shared" si="19"/>
        <v>0</v>
      </c>
      <c r="L35" s="75">
        <v>0</v>
      </c>
      <c r="M35" s="75">
        <f t="shared" si="20"/>
        <v>0</v>
      </c>
      <c r="N35" s="228"/>
      <c r="O35" s="75">
        <f t="shared" si="21"/>
        <v>0</v>
      </c>
    </row>
    <row r="36" spans="1:15" ht="23.25" customHeight="1" x14ac:dyDescent="0.25">
      <c r="A36" s="74" t="s">
        <v>36</v>
      </c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 t="s">
        <v>31</v>
      </c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26" t="s">
        <v>32</v>
      </c>
      <c r="B42" s="27"/>
      <c r="C42" s="28"/>
      <c r="D42" s="29"/>
      <c r="E42" s="76">
        <f>SUM(G33:G41)</f>
        <v>0</v>
      </c>
      <c r="F42" s="76">
        <f t="shared" si="12"/>
        <v>0</v>
      </c>
      <c r="G42" s="76">
        <f t="shared" ref="G42:M42" si="22">SUM(G33:G41)</f>
        <v>0</v>
      </c>
      <c r="H42" s="76">
        <f t="shared" si="22"/>
        <v>0</v>
      </c>
      <c r="I42" s="76">
        <f t="shared" si="22"/>
        <v>0</v>
      </c>
      <c r="J42" s="76">
        <f t="shared" si="22"/>
        <v>0</v>
      </c>
      <c r="K42" s="76">
        <f t="shared" si="22"/>
        <v>0</v>
      </c>
      <c r="L42" s="76">
        <f t="shared" si="22"/>
        <v>0</v>
      </c>
      <c r="M42" s="76">
        <f t="shared" si="22"/>
        <v>0</v>
      </c>
      <c r="N42" s="76">
        <f>L42-J42</f>
        <v>0</v>
      </c>
      <c r="O42" s="77">
        <f>SUM(O33:O41)</f>
        <v>0</v>
      </c>
    </row>
    <row r="43" spans="1:15" ht="23.25" customHeight="1" x14ac:dyDescent="0.25">
      <c r="A43" s="30" t="s">
        <v>33</v>
      </c>
      <c r="B43" s="31"/>
      <c r="C43" s="32"/>
      <c r="D43" s="33"/>
      <c r="E43" s="69">
        <f>B42+E32+E22+E14</f>
        <v>0</v>
      </c>
      <c r="F43" s="69">
        <f t="shared" si="12"/>
        <v>0</v>
      </c>
      <c r="G43" s="69">
        <f>E42+G32+G22+G14</f>
        <v>0</v>
      </c>
      <c r="H43" s="69">
        <f t="shared" ref="H43:M43" si="23">H42+H32+H22+H14</f>
        <v>0</v>
      </c>
      <c r="I43" s="69">
        <f t="shared" si="23"/>
        <v>0</v>
      </c>
      <c r="J43" s="69">
        <f t="shared" si="23"/>
        <v>547.84</v>
      </c>
      <c r="K43" s="69">
        <f t="shared" si="23"/>
        <v>547.84</v>
      </c>
      <c r="L43" s="69">
        <f t="shared" si="23"/>
        <v>0</v>
      </c>
      <c r="M43" s="69">
        <f t="shared" si="23"/>
        <v>0</v>
      </c>
      <c r="N43" s="69">
        <f>L43-J43</f>
        <v>-547.84</v>
      </c>
      <c r="O43" s="77">
        <f>O42+O32+O22+O14</f>
        <v>0</v>
      </c>
    </row>
    <row r="44" spans="1:15" x14ac:dyDescent="0.25">
      <c r="A44" s="1"/>
      <c r="B44" s="1"/>
      <c r="C44" s="1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O1:O2"/>
    <mergeCell ref="N5:N13"/>
    <mergeCell ref="N15:N21"/>
    <mergeCell ref="N23:N31"/>
    <mergeCell ref="N33:N41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O46"/>
  <sheetViews>
    <sheetView workbookViewId="0">
      <pane ySplit="4" topLeftCell="A29" activePane="bottomLeft" state="frozen"/>
      <selection pane="bottomLeft" activeCell="B46" sqref="B46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8.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143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88</v>
      </c>
      <c r="N3" s="71">
        <v>121.91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169</v>
      </c>
      <c r="L4" s="24" t="s">
        <v>16</v>
      </c>
      <c r="M4" s="16"/>
      <c r="N4" s="198">
        <f>L45-J45+N3</f>
        <v>-47.09</v>
      </c>
      <c r="O4" s="25"/>
    </row>
    <row r="5" spans="1:15" ht="23.25" customHeight="1" x14ac:dyDescent="0.25">
      <c r="A5" s="74" t="s">
        <v>17</v>
      </c>
      <c r="B5" s="78" t="s">
        <v>144</v>
      </c>
      <c r="C5" s="78" t="s">
        <v>145</v>
      </c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169</v>
      </c>
      <c r="K5" s="75">
        <f t="shared" ref="K5:K13" si="2">SUM(J5)</f>
        <v>169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97" t="s">
        <v>146</v>
      </c>
      <c r="C7" s="97"/>
      <c r="D7" s="98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169</v>
      </c>
      <c r="K14" s="76">
        <f t="shared" si="5"/>
        <v>169</v>
      </c>
      <c r="L14" s="76">
        <f t="shared" si="5"/>
        <v>0</v>
      </c>
      <c r="M14" s="76">
        <f t="shared" si="5"/>
        <v>0</v>
      </c>
      <c r="N14" s="76">
        <f>L14-J14</f>
        <v>-169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169</v>
      </c>
      <c r="K45" s="69">
        <f t="shared" si="23"/>
        <v>169</v>
      </c>
      <c r="L45" s="69">
        <f t="shared" si="23"/>
        <v>0</v>
      </c>
      <c r="M45" s="69">
        <f t="shared" si="23"/>
        <v>0</v>
      </c>
      <c r="N45" s="69">
        <f>L45-J45</f>
        <v>-169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  <ignoredErrors>
    <ignoredError sqref="F14:O14 F24:O24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O46"/>
  <sheetViews>
    <sheetView workbookViewId="0">
      <pane ySplit="4" topLeftCell="A20" activePane="bottomLeft" state="frozen"/>
      <selection pane="bottomLeft" activeCell="B27" sqref="B27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147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148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0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710</v>
      </c>
      <c r="L4" s="24" t="s">
        <v>16</v>
      </c>
      <c r="M4" s="16"/>
      <c r="N4" s="126">
        <f>L45-J45+N3</f>
        <v>351.09000000000015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v>0</v>
      </c>
      <c r="G5" s="75">
        <v>0</v>
      </c>
      <c r="H5" s="75">
        <v>0</v>
      </c>
      <c r="I5" s="75">
        <f t="shared" ref="I5:I13" si="0">SUM(G5:H5)</f>
        <v>0</v>
      </c>
      <c r="J5" s="75">
        <v>0</v>
      </c>
      <c r="K5" s="75">
        <f t="shared" ref="K5:K13" si="1">SUM(J5)</f>
        <v>0</v>
      </c>
      <c r="L5" s="75">
        <v>0</v>
      </c>
      <c r="M5" s="75">
        <f t="shared" ref="M5:M13" si="2">L5</f>
        <v>0</v>
      </c>
      <c r="N5" s="228"/>
      <c r="O5" s="75">
        <f t="shared" ref="O5:O13" si="3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ref="F6:F13" si="4">I6-E6</f>
        <v>0</v>
      </c>
      <c r="G6" s="75">
        <v>0</v>
      </c>
      <c r="H6" s="75">
        <v>0</v>
      </c>
      <c r="I6" s="75">
        <f t="shared" si="0"/>
        <v>0</v>
      </c>
      <c r="J6" s="75">
        <v>0</v>
      </c>
      <c r="K6" s="75">
        <f t="shared" si="1"/>
        <v>0</v>
      </c>
      <c r="L6" s="75">
        <v>0</v>
      </c>
      <c r="M6" s="75">
        <f t="shared" si="2"/>
        <v>0</v>
      </c>
      <c r="N6" s="228"/>
      <c r="O6" s="75">
        <f t="shared" si="3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4"/>
        <v>0</v>
      </c>
      <c r="G7" s="75">
        <v>0</v>
      </c>
      <c r="H7" s="75">
        <v>0</v>
      </c>
      <c r="I7" s="75">
        <f t="shared" si="0"/>
        <v>0</v>
      </c>
      <c r="J7" s="75">
        <v>0</v>
      </c>
      <c r="K7" s="75">
        <f t="shared" si="1"/>
        <v>0</v>
      </c>
      <c r="L7" s="75">
        <v>0</v>
      </c>
      <c r="M7" s="75">
        <f t="shared" si="2"/>
        <v>0</v>
      </c>
      <c r="N7" s="228"/>
      <c r="O7" s="75">
        <f t="shared" si="3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f t="shared" si="4"/>
        <v>0</v>
      </c>
      <c r="G8" s="75">
        <v>0</v>
      </c>
      <c r="H8" s="75">
        <v>0</v>
      </c>
      <c r="I8" s="75">
        <f t="shared" si="0"/>
        <v>0</v>
      </c>
      <c r="J8" s="75">
        <v>0</v>
      </c>
      <c r="K8" s="75">
        <f t="shared" si="1"/>
        <v>0</v>
      </c>
      <c r="L8" s="75">
        <v>0</v>
      </c>
      <c r="M8" s="75">
        <f t="shared" si="2"/>
        <v>0</v>
      </c>
      <c r="N8" s="228"/>
      <c r="O8" s="75">
        <f t="shared" si="3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4"/>
        <v>0</v>
      </c>
      <c r="G9" s="75">
        <v>0</v>
      </c>
      <c r="H9" s="75">
        <v>0</v>
      </c>
      <c r="I9" s="75">
        <f t="shared" si="0"/>
        <v>0</v>
      </c>
      <c r="J9" s="75">
        <v>0</v>
      </c>
      <c r="K9" s="75">
        <f t="shared" si="1"/>
        <v>0</v>
      </c>
      <c r="L9" s="75">
        <v>0</v>
      </c>
      <c r="M9" s="75">
        <f t="shared" si="2"/>
        <v>0</v>
      </c>
      <c r="N9" s="228"/>
      <c r="O9" s="75">
        <f t="shared" si="3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4"/>
        <v>0</v>
      </c>
      <c r="G10" s="75">
        <v>0</v>
      </c>
      <c r="H10" s="75">
        <v>0</v>
      </c>
      <c r="I10" s="75">
        <f t="shared" si="0"/>
        <v>0</v>
      </c>
      <c r="J10" s="75">
        <v>0</v>
      </c>
      <c r="K10" s="75">
        <f t="shared" si="1"/>
        <v>0</v>
      </c>
      <c r="L10" s="75">
        <v>0</v>
      </c>
      <c r="M10" s="75">
        <f t="shared" si="2"/>
        <v>0</v>
      </c>
      <c r="N10" s="228"/>
      <c r="O10" s="75">
        <f t="shared" si="3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4"/>
        <v>0</v>
      </c>
      <c r="G11" s="75">
        <v>0</v>
      </c>
      <c r="H11" s="75">
        <v>0</v>
      </c>
      <c r="I11" s="75">
        <f t="shared" si="0"/>
        <v>0</v>
      </c>
      <c r="J11" s="75">
        <v>0</v>
      </c>
      <c r="K11" s="75">
        <f t="shared" si="1"/>
        <v>0</v>
      </c>
      <c r="L11" s="75">
        <v>0</v>
      </c>
      <c r="M11" s="75">
        <f t="shared" si="2"/>
        <v>0</v>
      </c>
      <c r="N11" s="228"/>
      <c r="O11" s="75">
        <f t="shared" si="3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4"/>
        <v>0</v>
      </c>
      <c r="G12" s="75">
        <v>0</v>
      </c>
      <c r="H12" s="75">
        <v>0</v>
      </c>
      <c r="I12" s="75">
        <f t="shared" si="0"/>
        <v>0</v>
      </c>
      <c r="J12" s="75">
        <v>0</v>
      </c>
      <c r="K12" s="75">
        <f t="shared" si="1"/>
        <v>0</v>
      </c>
      <c r="L12" s="75">
        <v>0</v>
      </c>
      <c r="M12" s="75">
        <f t="shared" si="2"/>
        <v>0</v>
      </c>
      <c r="N12" s="228"/>
      <c r="O12" s="75">
        <f t="shared" si="3"/>
        <v>0</v>
      </c>
    </row>
    <row r="13" spans="1:15" ht="23.25" customHeight="1" x14ac:dyDescent="0.25">
      <c r="A13" s="74"/>
      <c r="B13" s="78"/>
      <c r="C13" s="78"/>
      <c r="D13" s="75"/>
      <c r="E13" s="65"/>
      <c r="F13" s="75">
        <f t="shared" si="4"/>
        <v>0</v>
      </c>
      <c r="G13" s="75">
        <v>0</v>
      </c>
      <c r="H13" s="75">
        <v>0</v>
      </c>
      <c r="I13" s="75">
        <f t="shared" si="0"/>
        <v>0</v>
      </c>
      <c r="J13" s="75">
        <v>0</v>
      </c>
      <c r="K13" s="75">
        <f t="shared" si="1"/>
        <v>0</v>
      </c>
      <c r="L13" s="75">
        <v>0</v>
      </c>
      <c r="M13" s="75">
        <f t="shared" si="2"/>
        <v>0</v>
      </c>
      <c r="N13" s="228"/>
      <c r="O13" s="75">
        <f t="shared" si="3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8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78"/>
      <c r="C16" s="78"/>
      <c r="D16" s="8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 t="s">
        <v>120</v>
      </c>
      <c r="C25" s="78" t="s">
        <v>60</v>
      </c>
      <c r="D25" s="8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793.99</v>
      </c>
      <c r="M25" s="75">
        <f t="shared" ref="M25:M33" si="15">L25</f>
        <v>793.99</v>
      </c>
      <c r="N25" s="228"/>
      <c r="O25" s="75">
        <f t="shared" ref="O25:O33" si="16">G25+H25+L25</f>
        <v>793.99</v>
      </c>
    </row>
    <row r="26" spans="1:15" ht="23.25" customHeight="1" x14ac:dyDescent="0.25">
      <c r="A26" s="74"/>
      <c r="B26" s="78" t="s">
        <v>149</v>
      </c>
      <c r="C26" s="78"/>
      <c r="D26" s="8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150</v>
      </c>
      <c r="K26" s="75">
        <f t="shared" si="14"/>
        <v>150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78" t="s">
        <v>150</v>
      </c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350</v>
      </c>
      <c r="K27" s="75">
        <f t="shared" si="14"/>
        <v>350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78" t="s">
        <v>151</v>
      </c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210</v>
      </c>
      <c r="K28" s="75">
        <f t="shared" si="14"/>
        <v>210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B29" s="65" t="s">
        <v>60</v>
      </c>
      <c r="C29" s="65" t="s">
        <v>311</v>
      </c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267.10000000000002</v>
      </c>
      <c r="M29" s="75">
        <f t="shared" si="15"/>
        <v>267.10000000000002</v>
      </c>
      <c r="N29" s="228"/>
      <c r="O29" s="75">
        <f t="shared" si="16"/>
        <v>267.10000000000002</v>
      </c>
    </row>
    <row r="30" spans="1:15" ht="23.25" customHeight="1" x14ac:dyDescent="0.25">
      <c r="A30" s="74" t="s">
        <v>26</v>
      </c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B31" s="78"/>
      <c r="C31" s="78"/>
      <c r="D31" s="8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 t="s">
        <v>28</v>
      </c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710</v>
      </c>
      <c r="K34" s="76">
        <f t="shared" si="17"/>
        <v>710</v>
      </c>
      <c r="L34" s="76">
        <f t="shared" si="17"/>
        <v>1061.0900000000001</v>
      </c>
      <c r="M34" s="76">
        <f t="shared" si="17"/>
        <v>1061.0900000000001</v>
      </c>
      <c r="N34" s="76">
        <f>L34-J34</f>
        <v>351.09000000000015</v>
      </c>
      <c r="O34" s="77">
        <f>SUM(O25:O33)</f>
        <v>1061.0900000000001</v>
      </c>
    </row>
    <row r="35" spans="1:15" ht="23.25" customHeight="1" x14ac:dyDescent="0.25">
      <c r="A35" s="74" t="s">
        <v>30</v>
      </c>
      <c r="B35" s="78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78"/>
      <c r="C36" s="78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78"/>
      <c r="C37" s="78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78"/>
      <c r="C38" s="78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 t="s">
        <v>36</v>
      </c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710</v>
      </c>
      <c r="K45" s="69">
        <f t="shared" si="23"/>
        <v>710</v>
      </c>
      <c r="L45" s="69">
        <f t="shared" si="23"/>
        <v>1061.0900000000001</v>
      </c>
      <c r="M45" s="69">
        <f t="shared" si="23"/>
        <v>1061.0900000000001</v>
      </c>
      <c r="N45" s="69">
        <f>L45-J45</f>
        <v>351.09000000000015</v>
      </c>
      <c r="O45" s="77">
        <f>O44+O34+O24+O14</f>
        <v>1061.0900000000001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O47"/>
  <sheetViews>
    <sheetView workbookViewId="0">
      <pane ySplit="4" topLeftCell="A5" activePane="bottomLeft" state="frozen"/>
      <selection pane="bottomLeft" activeCell="Q48" sqref="Q48"/>
    </sheetView>
  </sheetViews>
  <sheetFormatPr baseColWidth="10" defaultColWidth="9" defaultRowHeight="15.75" x14ac:dyDescent="0.25"/>
  <cols>
    <col min="1" max="1" width="12.125" customWidth="1"/>
    <col min="2" max="2" width="22.625" style="14" customWidth="1"/>
    <col min="3" max="3" width="33.1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151" t="s">
        <v>152</v>
      </c>
      <c r="B1" s="38"/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39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 t="s">
        <v>153</v>
      </c>
      <c r="N3" s="71">
        <v>2806.53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I46</f>
        <v>0</v>
      </c>
      <c r="J4" s="65"/>
      <c r="K4" s="73">
        <f>K46</f>
        <v>2642.93</v>
      </c>
      <c r="L4" s="24" t="s">
        <v>16</v>
      </c>
      <c r="M4" s="16"/>
      <c r="N4" s="198">
        <f>L46-J46+N3</f>
        <v>163.60000000000036</v>
      </c>
      <c r="O4" s="25"/>
    </row>
    <row r="5" spans="1:15" ht="23.25" customHeight="1" x14ac:dyDescent="0.25">
      <c r="A5" s="74" t="s">
        <v>17</v>
      </c>
      <c r="B5" s="78"/>
      <c r="C5" s="78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35">
      <c r="A6" s="74"/>
      <c r="B6" s="99" t="s">
        <v>154</v>
      </c>
      <c r="C6" s="152"/>
      <c r="D6" s="96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83"/>
      <c r="C10" s="83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>
        <v>0</v>
      </c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83"/>
      <c r="C13" s="83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42"/>
      <c r="C14" s="45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8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83"/>
      <c r="C17" s="83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83"/>
      <c r="C18" s="83"/>
      <c r="D18" s="8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83"/>
      <c r="C20" s="83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 t="s">
        <v>155</v>
      </c>
      <c r="C21" s="78"/>
      <c r="D21" s="8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762.93</v>
      </c>
      <c r="K21" s="75">
        <f t="shared" si="8"/>
        <v>762.93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83"/>
      <c r="C23" s="83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42"/>
      <c r="C24" s="45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762.93</v>
      </c>
      <c r="K24" s="76">
        <f t="shared" si="11"/>
        <v>762.93</v>
      </c>
      <c r="L24" s="76">
        <f t="shared" si="11"/>
        <v>0</v>
      </c>
      <c r="M24" s="76">
        <f t="shared" si="11"/>
        <v>0</v>
      </c>
      <c r="N24" s="76">
        <f>L24-J24</f>
        <v>-762.93</v>
      </c>
      <c r="O24" s="77">
        <f>SUM(O15:O23)</f>
        <v>0</v>
      </c>
    </row>
    <row r="25" spans="1:15" ht="23.25" customHeight="1" x14ac:dyDescent="0.25">
      <c r="A25" s="74" t="s">
        <v>25</v>
      </c>
      <c r="B25" s="83" t="s">
        <v>156</v>
      </c>
      <c r="C25" s="83"/>
      <c r="D25" s="75"/>
      <c r="E25" s="65"/>
      <c r="F25" s="75">
        <f t="shared" ref="F25:F46" si="12">I25-E25</f>
        <v>0</v>
      </c>
      <c r="G25" s="75">
        <v>0</v>
      </c>
      <c r="H25" s="75">
        <v>0</v>
      </c>
      <c r="I25" s="75">
        <f t="shared" ref="I25:I31" si="13">SUM(G25:H25)</f>
        <v>0</v>
      </c>
      <c r="J25" s="75">
        <v>1880</v>
      </c>
      <c r="K25" s="75">
        <f t="shared" ref="K25:K31" si="14">SUM(J25)</f>
        <v>1880</v>
      </c>
      <c r="L25" s="75">
        <v>0</v>
      </c>
      <c r="M25" s="75">
        <f t="shared" ref="M25:M31" si="15">L25</f>
        <v>0</v>
      </c>
      <c r="N25" s="228"/>
      <c r="O25" s="75">
        <f t="shared" ref="O25:O31" si="16">G25+H25+L25</f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 t="s">
        <v>26</v>
      </c>
      <c r="B27" s="83"/>
      <c r="C27" s="83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26" t="s">
        <v>29</v>
      </c>
      <c r="B32" s="42"/>
      <c r="C32" s="45"/>
      <c r="D32" s="29"/>
      <c r="E32" s="76">
        <f>SUM(E25:E31)</f>
        <v>0</v>
      </c>
      <c r="F32" s="76">
        <f t="shared" si="12"/>
        <v>0</v>
      </c>
      <c r="G32" s="76">
        <f t="shared" ref="G32:M32" si="17">SUM(G25:G31)</f>
        <v>0</v>
      </c>
      <c r="H32" s="76">
        <f t="shared" si="17"/>
        <v>0</v>
      </c>
      <c r="I32" s="76">
        <f t="shared" si="17"/>
        <v>0</v>
      </c>
      <c r="J32" s="76">
        <f t="shared" si="17"/>
        <v>1880</v>
      </c>
      <c r="K32" s="76">
        <f t="shared" si="17"/>
        <v>1880</v>
      </c>
      <c r="L32" s="76">
        <f t="shared" si="17"/>
        <v>0</v>
      </c>
      <c r="M32" s="76">
        <f t="shared" si="17"/>
        <v>0</v>
      </c>
      <c r="N32" s="76">
        <f>L32-J32</f>
        <v>-1880</v>
      </c>
      <c r="O32" s="77">
        <f>SUM(O25:O31)</f>
        <v>0</v>
      </c>
    </row>
    <row r="33" spans="1:15" ht="23.25" customHeight="1" x14ac:dyDescent="0.25">
      <c r="A33" s="74" t="s">
        <v>30</v>
      </c>
      <c r="B33" s="83"/>
      <c r="C33" s="83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ref="I33:I41" si="18">SUM(G33:H33)</f>
        <v>0</v>
      </c>
      <c r="J33" s="75">
        <v>0</v>
      </c>
      <c r="K33" s="75">
        <f t="shared" ref="K33:K41" si="19">SUM(J33)</f>
        <v>0</v>
      </c>
      <c r="L33" s="75">
        <v>0</v>
      </c>
      <c r="M33" s="75">
        <f t="shared" ref="M33:M41" si="20">L33</f>
        <v>0</v>
      </c>
      <c r="N33" s="228"/>
      <c r="O33" s="75">
        <f t="shared" ref="O33:O41" si="21">G33+H33+L33</f>
        <v>0</v>
      </c>
    </row>
    <row r="34" spans="1:15" ht="23.25" customHeight="1" x14ac:dyDescent="0.25">
      <c r="A34" s="74"/>
      <c r="B34" s="83"/>
      <c r="C34" s="83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8"/>
        <v>0</v>
      </c>
      <c r="J34" s="75">
        <v>0</v>
      </c>
      <c r="K34" s="75">
        <f t="shared" si="19"/>
        <v>0</v>
      </c>
      <c r="L34" s="75">
        <v>0</v>
      </c>
      <c r="M34" s="75">
        <f t="shared" si="20"/>
        <v>0</v>
      </c>
      <c r="N34" s="228"/>
      <c r="O34" s="75">
        <f t="shared" si="21"/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8"/>
        <v>0</v>
      </c>
      <c r="J35" s="75">
        <v>0</v>
      </c>
      <c r="K35" s="75">
        <f t="shared" si="19"/>
        <v>0</v>
      </c>
      <c r="L35" s="75">
        <v>0</v>
      </c>
      <c r="M35" s="75">
        <f t="shared" si="20"/>
        <v>0</v>
      </c>
      <c r="N35" s="228"/>
      <c r="O35" s="75">
        <f t="shared" si="21"/>
        <v>0</v>
      </c>
    </row>
    <row r="36" spans="1:15" ht="23.25" customHeight="1" x14ac:dyDescent="0.25">
      <c r="A36" s="74" t="s">
        <v>36</v>
      </c>
      <c r="B36" s="83"/>
      <c r="C36" s="83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83"/>
      <c r="C37" s="83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83"/>
      <c r="C38" s="83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 t="s">
        <v>31</v>
      </c>
      <c r="B39" s="78"/>
      <c r="C39" s="78"/>
      <c r="D39" s="8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78"/>
      <c r="C40" s="78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78"/>
      <c r="C41" s="78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83"/>
      <c r="C42" s="83"/>
      <c r="D42" s="75"/>
      <c r="E42" s="65"/>
      <c r="F42" s="75">
        <f>I42-E42</f>
        <v>0</v>
      </c>
      <c r="G42" s="75">
        <v>0</v>
      </c>
      <c r="H42" s="75">
        <v>0</v>
      </c>
      <c r="I42" s="75">
        <f>SUM(G42:H42)</f>
        <v>0</v>
      </c>
      <c r="J42" s="75">
        <v>0</v>
      </c>
      <c r="K42" s="75">
        <f>SUM(J42)</f>
        <v>0</v>
      </c>
      <c r="L42" s="75">
        <v>0</v>
      </c>
      <c r="M42" s="75">
        <f>L42</f>
        <v>0</v>
      </c>
      <c r="N42" s="183"/>
      <c r="O42" s="75">
        <f>G42+H42+L42</f>
        <v>0</v>
      </c>
    </row>
    <row r="43" spans="1:15" ht="23.25" customHeight="1" x14ac:dyDescent="0.25">
      <c r="A43" s="74"/>
      <c r="B43" s="78"/>
      <c r="C43" s="83"/>
      <c r="D43" s="75"/>
      <c r="E43" s="65"/>
      <c r="F43" s="75">
        <f>I43-E43</f>
        <v>0</v>
      </c>
      <c r="G43" s="75">
        <v>0</v>
      </c>
      <c r="H43" s="75">
        <v>0</v>
      </c>
      <c r="I43" s="75">
        <f>SUM(G43:H43)</f>
        <v>0</v>
      </c>
      <c r="J43" s="75">
        <v>0</v>
      </c>
      <c r="K43" s="75">
        <f>SUM(J43)</f>
        <v>0</v>
      </c>
      <c r="L43" s="75">
        <v>0</v>
      </c>
      <c r="M43" s="75">
        <f>L43</f>
        <v>0</v>
      </c>
      <c r="N43" s="183"/>
      <c r="O43" s="75">
        <f>G43+H43+L43</f>
        <v>0</v>
      </c>
    </row>
    <row r="44" spans="1:15" ht="23.25" customHeight="1" x14ac:dyDescent="0.25">
      <c r="A44" s="74"/>
      <c r="B44" s="83"/>
      <c r="C44" s="83"/>
      <c r="D44" s="75"/>
      <c r="E44" s="65"/>
      <c r="F44" s="75">
        <f>I44-E44</f>
        <v>0</v>
      </c>
      <c r="G44" s="75">
        <v>0</v>
      </c>
      <c r="H44" s="75">
        <v>0</v>
      </c>
      <c r="I44" s="75">
        <f>SUM(G44:H44)</f>
        <v>0</v>
      </c>
      <c r="J44" s="75">
        <v>0</v>
      </c>
      <c r="K44" s="75">
        <f>SUM(J44)</f>
        <v>0</v>
      </c>
      <c r="L44" s="75">
        <v>0</v>
      </c>
      <c r="M44" s="75">
        <f>L44</f>
        <v>0</v>
      </c>
      <c r="N44" s="183"/>
      <c r="O44" s="75">
        <f>G44+H44+L44</f>
        <v>0</v>
      </c>
    </row>
    <row r="45" spans="1:15" ht="23.25" customHeight="1" x14ac:dyDescent="0.25">
      <c r="A45" s="26" t="s">
        <v>32</v>
      </c>
      <c r="B45" s="42"/>
      <c r="C45" s="45"/>
      <c r="D45" s="29"/>
      <c r="E45" s="76">
        <f>SUM(G33:G41)</f>
        <v>0</v>
      </c>
      <c r="F45" s="76">
        <f t="shared" si="12"/>
        <v>0</v>
      </c>
      <c r="G45" s="76">
        <f t="shared" ref="G45:M45" si="22">SUM(G33:G41)</f>
        <v>0</v>
      </c>
      <c r="H45" s="76">
        <f t="shared" si="22"/>
        <v>0</v>
      </c>
      <c r="I45" s="76">
        <f t="shared" si="22"/>
        <v>0</v>
      </c>
      <c r="J45" s="76">
        <f t="shared" si="22"/>
        <v>0</v>
      </c>
      <c r="K45" s="76">
        <f t="shared" si="22"/>
        <v>0</v>
      </c>
      <c r="L45" s="76">
        <f t="shared" si="22"/>
        <v>0</v>
      </c>
      <c r="M45" s="76">
        <f t="shared" si="22"/>
        <v>0</v>
      </c>
      <c r="N45" s="76">
        <f>L45-J45</f>
        <v>0</v>
      </c>
      <c r="O45" s="77">
        <f>SUM(O33:O41)</f>
        <v>0</v>
      </c>
    </row>
    <row r="46" spans="1:15" ht="23.25" customHeight="1" x14ac:dyDescent="0.25">
      <c r="A46" s="30" t="s">
        <v>33</v>
      </c>
      <c r="B46" s="43"/>
      <c r="C46" s="46"/>
      <c r="D46" s="33"/>
      <c r="E46" s="69">
        <f>B45+E32+E24+E14</f>
        <v>0</v>
      </c>
      <c r="F46" s="69">
        <f t="shared" si="12"/>
        <v>0</v>
      </c>
      <c r="G46" s="69">
        <f>E45+G32+G24+G14</f>
        <v>0</v>
      </c>
      <c r="H46" s="69">
        <f t="shared" ref="H46:M46" si="23">H45+H32+H24+H14</f>
        <v>0</v>
      </c>
      <c r="I46" s="69">
        <f t="shared" si="23"/>
        <v>0</v>
      </c>
      <c r="J46" s="69">
        <f t="shared" si="23"/>
        <v>2642.93</v>
      </c>
      <c r="K46" s="69">
        <f t="shared" si="23"/>
        <v>2642.93</v>
      </c>
      <c r="L46" s="69">
        <f t="shared" si="23"/>
        <v>0</v>
      </c>
      <c r="M46" s="69">
        <f t="shared" si="23"/>
        <v>0</v>
      </c>
      <c r="N46" s="69">
        <f>L46-J46</f>
        <v>-2642.93</v>
      </c>
      <c r="O46" s="77">
        <f>O45+O32+O24+O14</f>
        <v>0</v>
      </c>
    </row>
    <row r="47" spans="1:15" x14ac:dyDescent="0.25">
      <c r="A47" s="1"/>
      <c r="B47" s="44"/>
      <c r="C47" s="44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mergeCells count="8">
    <mergeCell ref="O1:O2"/>
    <mergeCell ref="N5:N13"/>
    <mergeCell ref="N15:N23"/>
    <mergeCell ref="N25:N31"/>
    <mergeCell ref="N33:N41"/>
    <mergeCell ref="G1:I1"/>
    <mergeCell ref="J1:K1"/>
    <mergeCell ref="L1:N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O48"/>
  <sheetViews>
    <sheetView topLeftCell="A2" workbookViewId="0">
      <selection activeCell="A18" sqref="A18"/>
    </sheetView>
  </sheetViews>
  <sheetFormatPr baseColWidth="10" defaultColWidth="9" defaultRowHeight="15.75" x14ac:dyDescent="0.25"/>
  <cols>
    <col min="1" max="1" width="12.125" customWidth="1"/>
    <col min="2" max="2" width="22.625" style="14" customWidth="1"/>
    <col min="3" max="3" width="33.1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157</v>
      </c>
      <c r="B1" s="38"/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39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I47</f>
        <v>625</v>
      </c>
      <c r="J4" s="65"/>
      <c r="K4" s="73">
        <f>K47</f>
        <v>0</v>
      </c>
      <c r="L4" s="24" t="s">
        <v>16</v>
      </c>
      <c r="M4" s="16"/>
      <c r="N4" s="126">
        <f>L47-J47+N3</f>
        <v>0</v>
      </c>
      <c r="O4" s="25"/>
    </row>
    <row r="5" spans="1:15" ht="23.25" customHeight="1" x14ac:dyDescent="0.25">
      <c r="A5" s="74" t="s">
        <v>17</v>
      </c>
      <c r="B5" s="78"/>
      <c r="C5" s="78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thickBot="1" x14ac:dyDescent="0.3">
      <c r="A7" s="74"/>
      <c r="B7" s="140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50" t="s">
        <v>18</v>
      </c>
      <c r="B8" s="242" t="s">
        <v>158</v>
      </c>
      <c r="C8" s="139" t="s">
        <v>159</v>
      </c>
      <c r="D8" s="75"/>
      <c r="E8" s="65"/>
      <c r="F8" s="75">
        <v>0</v>
      </c>
      <c r="G8" s="75">
        <v>400</v>
      </c>
      <c r="H8" s="75">
        <v>0</v>
      </c>
      <c r="I8" s="75">
        <f t="shared" si="1"/>
        <v>400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400</v>
      </c>
    </row>
    <row r="9" spans="1:15" ht="23.25" customHeight="1" thickBot="1" x14ac:dyDescent="0.3">
      <c r="A9" s="50"/>
      <c r="B9" s="243"/>
      <c r="C9" s="139" t="s">
        <v>160</v>
      </c>
      <c r="D9" s="75"/>
      <c r="E9" s="65"/>
      <c r="F9" s="75">
        <f t="shared" si="0"/>
        <v>225</v>
      </c>
      <c r="G9" s="75">
        <v>225</v>
      </c>
      <c r="H9" s="75">
        <v>0</v>
      </c>
      <c r="I9" s="75">
        <f t="shared" si="1"/>
        <v>225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225</v>
      </c>
    </row>
    <row r="10" spans="1:15" ht="23.25" customHeight="1" x14ac:dyDescent="0.25">
      <c r="A10" s="74"/>
      <c r="B10" s="141"/>
      <c r="C10" s="78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78"/>
      <c r="C12" s="78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83"/>
      <c r="C13" s="83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42"/>
      <c r="C14" s="45"/>
      <c r="D14" s="29"/>
      <c r="E14" s="76">
        <f t="shared" ref="E14:M14" si="5">SUM(E5:E13)</f>
        <v>0</v>
      </c>
      <c r="F14" s="76">
        <f t="shared" si="5"/>
        <v>225</v>
      </c>
      <c r="G14" s="76">
        <f t="shared" si="5"/>
        <v>625</v>
      </c>
      <c r="H14" s="76">
        <f t="shared" si="5"/>
        <v>0</v>
      </c>
      <c r="I14" s="76">
        <f t="shared" si="5"/>
        <v>625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625</v>
      </c>
    </row>
    <row r="15" spans="1:15" ht="23.25" customHeight="1" x14ac:dyDescent="0.25">
      <c r="A15" s="74" t="s">
        <v>21</v>
      </c>
      <c r="B15" s="78"/>
      <c r="C15" s="78"/>
      <c r="D15" s="8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78"/>
      <c r="C16" s="78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78"/>
      <c r="C17" s="78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/>
      <c r="C18" s="78"/>
      <c r="D18" s="8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83"/>
      <c r="C20" s="83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83"/>
      <c r="C23" s="83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42"/>
      <c r="C24" s="45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83"/>
      <c r="C25" s="83"/>
      <c r="D25" s="75"/>
      <c r="E25" s="65"/>
      <c r="F25" s="75">
        <f t="shared" ref="F25:F47" si="12">I25-E25</f>
        <v>0</v>
      </c>
      <c r="G25" s="75">
        <v>0</v>
      </c>
      <c r="H25" s="75">
        <v>0</v>
      </c>
      <c r="I25" s="75">
        <f t="shared" ref="I25:I31" si="13">SUM(G25:H25)</f>
        <v>0</v>
      </c>
      <c r="J25" s="75">
        <v>0</v>
      </c>
      <c r="K25" s="75">
        <f t="shared" ref="K25:K31" si="14">SUM(J25)</f>
        <v>0</v>
      </c>
      <c r="L25" s="75">
        <v>0</v>
      </c>
      <c r="M25" s="75">
        <f t="shared" ref="M25:M31" si="15">L25</f>
        <v>0</v>
      </c>
      <c r="N25" s="228"/>
      <c r="O25" s="75">
        <f t="shared" ref="O25:O31" si="16">G25+H25+L25</f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 t="s">
        <v>26</v>
      </c>
      <c r="B27" s="83"/>
      <c r="C27" s="83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26" t="s">
        <v>29</v>
      </c>
      <c r="B32" s="42"/>
      <c r="C32" s="45"/>
      <c r="D32" s="29"/>
      <c r="E32" s="76">
        <f>SUM(E25:E31)</f>
        <v>0</v>
      </c>
      <c r="F32" s="76">
        <f t="shared" si="12"/>
        <v>0</v>
      </c>
      <c r="G32" s="76">
        <f t="shared" ref="G32:M32" si="17">SUM(G25:G31)</f>
        <v>0</v>
      </c>
      <c r="H32" s="76">
        <f t="shared" si="17"/>
        <v>0</v>
      </c>
      <c r="I32" s="76">
        <f t="shared" si="17"/>
        <v>0</v>
      </c>
      <c r="J32" s="76">
        <f t="shared" si="17"/>
        <v>0</v>
      </c>
      <c r="K32" s="76">
        <f t="shared" si="17"/>
        <v>0</v>
      </c>
      <c r="L32" s="76">
        <f t="shared" si="17"/>
        <v>0</v>
      </c>
      <c r="M32" s="76">
        <f t="shared" si="17"/>
        <v>0</v>
      </c>
      <c r="N32" s="76">
        <f>L32-J32</f>
        <v>0</v>
      </c>
      <c r="O32" s="77">
        <f>SUM(O25:O31)</f>
        <v>0</v>
      </c>
    </row>
    <row r="33" spans="1:15" ht="23.25" customHeight="1" x14ac:dyDescent="0.25">
      <c r="A33" s="74" t="s">
        <v>30</v>
      </c>
      <c r="B33" s="78"/>
      <c r="C33" s="78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ref="I33:I45" si="18">SUM(G33:H33)</f>
        <v>0</v>
      </c>
      <c r="J33" s="75">
        <v>0</v>
      </c>
      <c r="K33" s="75">
        <f t="shared" ref="K33:K45" si="19">SUM(J33)</f>
        <v>0</v>
      </c>
      <c r="L33" s="75">
        <v>0</v>
      </c>
      <c r="M33" s="75">
        <f t="shared" ref="M33:M45" si="20">L33</f>
        <v>0</v>
      </c>
      <c r="N33" s="228"/>
      <c r="O33" s="75">
        <f t="shared" ref="O33:O45" si="21">G33+H33+L33</f>
        <v>0</v>
      </c>
    </row>
    <row r="34" spans="1:15" ht="23.25" customHeight="1" x14ac:dyDescent="0.25">
      <c r="A34" s="74"/>
      <c r="B34" s="78"/>
      <c r="C34" s="78"/>
      <c r="D34" s="75"/>
      <c r="E34" s="65"/>
      <c r="F34" s="75">
        <f>I34-E34</f>
        <v>0</v>
      </c>
      <c r="G34" s="75">
        <v>0</v>
      </c>
      <c r="H34" s="75">
        <v>0</v>
      </c>
      <c r="I34" s="75">
        <f>SUM(G34:H34)</f>
        <v>0</v>
      </c>
      <c r="J34" s="75">
        <v>0</v>
      </c>
      <c r="K34" s="75">
        <f>SUM(J34)</f>
        <v>0</v>
      </c>
      <c r="L34" s="75">
        <v>0</v>
      </c>
      <c r="M34" s="75">
        <f>L34</f>
        <v>0</v>
      </c>
      <c r="N34" s="228"/>
      <c r="O34" s="75">
        <f>G34+H34+L34</f>
        <v>0</v>
      </c>
    </row>
    <row r="35" spans="1:15" ht="23.25" customHeight="1" x14ac:dyDescent="0.25">
      <c r="A35" s="74"/>
      <c r="B35" s="78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8"/>
        <v>0</v>
      </c>
      <c r="J35" s="75">
        <v>0</v>
      </c>
      <c r="K35" s="75">
        <f t="shared" si="19"/>
        <v>0</v>
      </c>
      <c r="L35" s="75">
        <v>0</v>
      </c>
      <c r="M35" s="75">
        <f t="shared" si="20"/>
        <v>0</v>
      </c>
      <c r="N35" s="228"/>
      <c r="O35" s="75">
        <f t="shared" si="21"/>
        <v>0</v>
      </c>
    </row>
    <row r="36" spans="1:15" ht="23.25" customHeight="1" x14ac:dyDescent="0.25">
      <c r="A36" s="74"/>
      <c r="B36" s="78"/>
      <c r="C36" s="78"/>
      <c r="D36" s="75"/>
      <c r="E36" s="65">
        <v>0</v>
      </c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 t="s">
        <v>36</v>
      </c>
      <c r="B37" s="78"/>
      <c r="C37" s="78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83"/>
      <c r="C38" s="83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83"/>
      <c r="C39" s="83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 t="s">
        <v>31</v>
      </c>
      <c r="B40" s="78"/>
      <c r="C40" s="78"/>
      <c r="D40" s="8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78"/>
      <c r="C41" s="78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78"/>
      <c r="C42" s="78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83"/>
      <c r="C43" s="83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183"/>
      <c r="O43" s="75">
        <f t="shared" si="21"/>
        <v>0</v>
      </c>
    </row>
    <row r="44" spans="1:15" ht="23.25" customHeight="1" x14ac:dyDescent="0.25">
      <c r="A44" s="74"/>
      <c r="B44" s="78"/>
      <c r="C44" s="83"/>
      <c r="D44" s="75"/>
      <c r="E44" s="65"/>
      <c r="F44" s="75">
        <f t="shared" si="12"/>
        <v>0</v>
      </c>
      <c r="G44" s="75">
        <v>0</v>
      </c>
      <c r="H44" s="75">
        <v>0</v>
      </c>
      <c r="I44" s="75">
        <f t="shared" si="18"/>
        <v>0</v>
      </c>
      <c r="J44" s="75">
        <v>0</v>
      </c>
      <c r="K44" s="75">
        <f t="shared" si="19"/>
        <v>0</v>
      </c>
      <c r="L44" s="75">
        <v>0</v>
      </c>
      <c r="M44" s="75">
        <f t="shared" si="20"/>
        <v>0</v>
      </c>
      <c r="N44" s="183"/>
      <c r="O44" s="75">
        <f t="shared" si="21"/>
        <v>0</v>
      </c>
    </row>
    <row r="45" spans="1:15" ht="23.25" customHeight="1" x14ac:dyDescent="0.25">
      <c r="A45" s="74"/>
      <c r="B45" s="83"/>
      <c r="C45" s="83"/>
      <c r="D45" s="75"/>
      <c r="E45" s="65"/>
      <c r="F45" s="75">
        <f t="shared" si="12"/>
        <v>0</v>
      </c>
      <c r="G45" s="75">
        <v>0</v>
      </c>
      <c r="H45" s="75">
        <v>0</v>
      </c>
      <c r="I45" s="75">
        <f t="shared" si="18"/>
        <v>0</v>
      </c>
      <c r="J45" s="75">
        <v>0</v>
      </c>
      <c r="K45" s="75">
        <f t="shared" si="19"/>
        <v>0</v>
      </c>
      <c r="L45" s="75">
        <v>0</v>
      </c>
      <c r="M45" s="75">
        <f t="shared" si="20"/>
        <v>0</v>
      </c>
      <c r="N45" s="183"/>
      <c r="O45" s="75">
        <f t="shared" si="21"/>
        <v>0</v>
      </c>
    </row>
    <row r="46" spans="1:15" ht="23.25" customHeight="1" x14ac:dyDescent="0.25">
      <c r="A46" s="26" t="s">
        <v>32</v>
      </c>
      <c r="B46" s="42"/>
      <c r="C46" s="45"/>
      <c r="D46" s="29"/>
      <c r="E46" s="76">
        <f>SUM(G33:G42)</f>
        <v>0</v>
      </c>
      <c r="F46" s="76">
        <f t="shared" si="12"/>
        <v>0</v>
      </c>
      <c r="G46" s="76">
        <f t="shared" ref="G46:M46" si="22">SUM(G33:G42)</f>
        <v>0</v>
      </c>
      <c r="H46" s="76">
        <f t="shared" si="22"/>
        <v>0</v>
      </c>
      <c r="I46" s="76">
        <f t="shared" si="22"/>
        <v>0</v>
      </c>
      <c r="J46" s="76">
        <f t="shared" si="22"/>
        <v>0</v>
      </c>
      <c r="K46" s="76">
        <f t="shared" si="22"/>
        <v>0</v>
      </c>
      <c r="L46" s="76">
        <f t="shared" si="22"/>
        <v>0</v>
      </c>
      <c r="M46" s="76">
        <f t="shared" si="22"/>
        <v>0</v>
      </c>
      <c r="N46" s="76">
        <f>L46-J46</f>
        <v>0</v>
      </c>
      <c r="O46" s="77">
        <f>SUM(O33:O42)</f>
        <v>0</v>
      </c>
    </row>
    <row r="47" spans="1:15" ht="23.25" customHeight="1" x14ac:dyDescent="0.25">
      <c r="A47" s="30" t="s">
        <v>33</v>
      </c>
      <c r="B47" s="43"/>
      <c r="C47" s="46"/>
      <c r="D47" s="33"/>
      <c r="E47" s="69">
        <f>B46+E32+E24+E14</f>
        <v>0</v>
      </c>
      <c r="F47" s="69">
        <f t="shared" si="12"/>
        <v>625</v>
      </c>
      <c r="G47" s="69">
        <f>E46+G32+G24+G14</f>
        <v>625</v>
      </c>
      <c r="H47" s="69">
        <f t="shared" ref="H47:M47" si="23">H46+H32+H24+H14</f>
        <v>0</v>
      </c>
      <c r="I47" s="69">
        <f t="shared" si="23"/>
        <v>625</v>
      </c>
      <c r="J47" s="69">
        <f t="shared" si="23"/>
        <v>0</v>
      </c>
      <c r="K47" s="69">
        <f t="shared" si="23"/>
        <v>0</v>
      </c>
      <c r="L47" s="69">
        <f t="shared" si="23"/>
        <v>0</v>
      </c>
      <c r="M47" s="69">
        <f t="shared" si="23"/>
        <v>0</v>
      </c>
      <c r="N47" s="69">
        <f>L47-J47</f>
        <v>0</v>
      </c>
      <c r="O47" s="77">
        <f>O46+O32+O24+O14</f>
        <v>625</v>
      </c>
    </row>
    <row r="48" spans="1:15" x14ac:dyDescent="0.25">
      <c r="A48" s="1"/>
      <c r="B48" s="44"/>
      <c r="C48" s="44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9">
    <mergeCell ref="G1:I1"/>
    <mergeCell ref="J1:K1"/>
    <mergeCell ref="L1:N1"/>
    <mergeCell ref="B8:B9"/>
    <mergeCell ref="O1:O2"/>
    <mergeCell ref="N5:N13"/>
    <mergeCell ref="N15:N23"/>
    <mergeCell ref="N25:N31"/>
    <mergeCell ref="N33:N42"/>
  </mergeCells>
  <pageMargins left="0.7" right="0.7" top="0.75" bottom="0.75" header="0.3" footer="0.3"/>
  <pageSetup paperSize="9" orientation="portrait" horizontalDpi="0" verticalDpi="0" r:id="rId1"/>
  <ignoredErrors>
    <ignoredError sqref="I2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O47"/>
  <sheetViews>
    <sheetView workbookViewId="0">
      <pane ySplit="5" topLeftCell="A39" activePane="bottomLeft" state="frozen"/>
      <selection pane="bottomLeft" activeCell="C15" sqref="C15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31.5" customHeight="1" x14ac:dyDescent="0.3">
      <c r="A2" s="7"/>
      <c r="B2" s="12" t="s">
        <v>161</v>
      </c>
      <c r="C2" s="12" t="s">
        <v>162</v>
      </c>
      <c r="G2" s="100"/>
      <c r="H2" s="100"/>
      <c r="I2" s="100"/>
      <c r="J2" s="101"/>
      <c r="K2" s="101"/>
      <c r="L2" s="100"/>
      <c r="M2" s="100"/>
      <c r="N2" s="100"/>
      <c r="O2" s="236"/>
    </row>
    <row r="3" spans="1:15" ht="15.75" customHeight="1" x14ac:dyDescent="0.25">
      <c r="A3" s="6" t="s">
        <v>4</v>
      </c>
      <c r="B3" s="6" t="s">
        <v>5</v>
      </c>
      <c r="C3" s="6" t="s">
        <v>6</v>
      </c>
      <c r="D3" s="9" t="s">
        <v>7</v>
      </c>
      <c r="E3" s="70" t="s">
        <v>8</v>
      </c>
      <c r="F3" s="70" t="s">
        <v>9</v>
      </c>
      <c r="G3" s="18" t="s">
        <v>10</v>
      </c>
      <c r="H3" s="18" t="s">
        <v>11</v>
      </c>
      <c r="I3" s="18" t="s">
        <v>12</v>
      </c>
      <c r="J3" s="19" t="s">
        <v>13</v>
      </c>
      <c r="K3" s="19" t="s">
        <v>12</v>
      </c>
      <c r="L3" s="20" t="s">
        <v>14</v>
      </c>
      <c r="M3" s="20" t="s">
        <v>12</v>
      </c>
      <c r="N3" s="20" t="s">
        <v>15</v>
      </c>
      <c r="O3" s="236"/>
    </row>
    <row r="4" spans="1:15" ht="15.75" customHeight="1" x14ac:dyDescent="0.25">
      <c r="A4" s="2"/>
      <c r="B4" s="2"/>
      <c r="C4" s="2"/>
      <c r="D4" s="10"/>
      <c r="E4" s="5"/>
      <c r="F4" s="5"/>
      <c r="G4" s="4"/>
      <c r="H4" s="4"/>
      <c r="I4" s="4"/>
      <c r="J4" s="4"/>
      <c r="K4" s="4"/>
      <c r="M4" s="155">
        <v>2022</v>
      </c>
      <c r="N4" s="155">
        <v>1143.3699999999999</v>
      </c>
      <c r="O4" s="3"/>
    </row>
    <row r="5" spans="1:15" ht="23.25" customHeight="1" x14ac:dyDescent="0.25">
      <c r="A5" s="21"/>
      <c r="B5" s="21"/>
      <c r="C5" s="21"/>
      <c r="D5" s="22"/>
      <c r="E5" s="21"/>
      <c r="F5" s="21"/>
      <c r="G5" s="21"/>
      <c r="H5" s="23"/>
      <c r="I5" s="72">
        <f>I46</f>
        <v>0</v>
      </c>
      <c r="J5" s="65"/>
      <c r="K5" s="73">
        <f>K46</f>
        <v>963.6</v>
      </c>
      <c r="L5" s="24" t="s">
        <v>16</v>
      </c>
      <c r="M5" s="16"/>
      <c r="N5" s="125">
        <f>L46-J46+N4</f>
        <v>1141.2199999999998</v>
      </c>
      <c r="O5" s="25"/>
    </row>
    <row r="6" spans="1:15" ht="23.25" customHeight="1" x14ac:dyDescent="0.25">
      <c r="A6" s="74" t="s">
        <v>17</v>
      </c>
      <c r="B6" s="149" t="s">
        <v>163</v>
      </c>
      <c r="C6" s="65"/>
      <c r="D6" s="75"/>
      <c r="E6" s="65"/>
      <c r="F6" s="75">
        <f t="shared" ref="F6:F14" si="0">I6-E6</f>
        <v>0</v>
      </c>
      <c r="G6" s="75">
        <v>0</v>
      </c>
      <c r="H6" s="75">
        <v>0</v>
      </c>
      <c r="I6" s="75">
        <f t="shared" ref="I6:I14" si="1">SUM(G6:H6)</f>
        <v>0</v>
      </c>
      <c r="J6" s="75">
        <v>0</v>
      </c>
      <c r="K6" s="75">
        <f t="shared" ref="K6:K14" si="2">SUM(J6)</f>
        <v>0</v>
      </c>
      <c r="L6" s="75">
        <v>0</v>
      </c>
      <c r="M6" s="75">
        <f t="shared" ref="M6:M14" si="3">L6</f>
        <v>0</v>
      </c>
      <c r="N6" s="228"/>
      <c r="O6" s="75">
        <f t="shared" ref="O6:O14" si="4">G6+H6+L6</f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/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 t="s">
        <v>18</v>
      </c>
      <c r="B9" s="78" t="s">
        <v>60</v>
      </c>
      <c r="C9" s="83" t="s">
        <v>120</v>
      </c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277.16000000000003</v>
      </c>
      <c r="M9" s="75">
        <f t="shared" si="3"/>
        <v>277.16000000000003</v>
      </c>
      <c r="N9" s="228"/>
      <c r="O9" s="75">
        <f t="shared" si="4"/>
        <v>277.16000000000003</v>
      </c>
    </row>
    <row r="10" spans="1:15" ht="23.25" customHeight="1" x14ac:dyDescent="0.25">
      <c r="A10" s="74"/>
      <c r="B10" s="78"/>
      <c r="C10" s="78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 t="s">
        <v>19</v>
      </c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74"/>
      <c r="B14" s="65"/>
      <c r="C14" s="65"/>
      <c r="D14" s="75"/>
      <c r="E14" s="65"/>
      <c r="F14" s="75">
        <f t="shared" si="0"/>
        <v>0</v>
      </c>
      <c r="G14" s="75">
        <v>0</v>
      </c>
      <c r="H14" s="75">
        <v>0</v>
      </c>
      <c r="I14" s="75">
        <f t="shared" si="1"/>
        <v>0</v>
      </c>
      <c r="J14" s="75">
        <v>0</v>
      </c>
      <c r="K14" s="75">
        <f t="shared" si="2"/>
        <v>0</v>
      </c>
      <c r="L14" s="75">
        <v>0</v>
      </c>
      <c r="M14" s="75">
        <f t="shared" si="3"/>
        <v>0</v>
      </c>
      <c r="N14" s="228"/>
      <c r="O14" s="75">
        <f t="shared" si="4"/>
        <v>0</v>
      </c>
    </row>
    <row r="15" spans="1:15" ht="23.25" customHeight="1" x14ac:dyDescent="0.25">
      <c r="A15" s="26" t="s">
        <v>20</v>
      </c>
      <c r="B15" s="27"/>
      <c r="C15" s="28"/>
      <c r="D15" s="29"/>
      <c r="E15" s="76">
        <f t="shared" ref="E15:M15" si="5">SUM(E6:E14)</f>
        <v>0</v>
      </c>
      <c r="F15" s="76">
        <f t="shared" si="5"/>
        <v>0</v>
      </c>
      <c r="G15" s="76">
        <f t="shared" si="5"/>
        <v>0</v>
      </c>
      <c r="H15" s="76">
        <f t="shared" si="5"/>
        <v>0</v>
      </c>
      <c r="I15" s="76">
        <f t="shared" si="5"/>
        <v>0</v>
      </c>
      <c r="J15" s="76">
        <f t="shared" si="5"/>
        <v>0</v>
      </c>
      <c r="K15" s="76">
        <f t="shared" si="5"/>
        <v>0</v>
      </c>
      <c r="L15" s="76">
        <f t="shared" si="5"/>
        <v>277.16000000000003</v>
      </c>
      <c r="M15" s="76">
        <f t="shared" si="5"/>
        <v>277.16000000000003</v>
      </c>
      <c r="N15" s="76">
        <f>L15-J15</f>
        <v>277.16000000000003</v>
      </c>
      <c r="O15" s="77">
        <f>SUM(O6:O14)</f>
        <v>277.16000000000003</v>
      </c>
    </row>
    <row r="16" spans="1:15" ht="23.25" customHeight="1" x14ac:dyDescent="0.25">
      <c r="A16" s="74" t="s">
        <v>21</v>
      </c>
      <c r="B16" s="173"/>
      <c r="C16" s="78"/>
      <c r="D16" s="75"/>
      <c r="E16" s="65"/>
      <c r="F16" s="75">
        <f t="shared" ref="F16:F24" si="6">I16-E16</f>
        <v>0</v>
      </c>
      <c r="G16" s="75">
        <v>0</v>
      </c>
      <c r="H16" s="75">
        <v>0</v>
      </c>
      <c r="I16" s="75">
        <f t="shared" ref="I16:I24" si="7">SUM(G16:H16)</f>
        <v>0</v>
      </c>
      <c r="J16" s="75">
        <v>0</v>
      </c>
      <c r="K16" s="75">
        <f t="shared" ref="K16:K24" si="8">SUM(J16)</f>
        <v>0</v>
      </c>
      <c r="L16" s="75">
        <v>0</v>
      </c>
      <c r="M16" s="75">
        <f t="shared" ref="M16:M24" si="9">L16</f>
        <v>0</v>
      </c>
      <c r="N16" s="228"/>
      <c r="O16" s="75">
        <f t="shared" ref="O16:O24" si="10">G16+H16+L16</f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/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 t="s">
        <v>22</v>
      </c>
      <c r="B19" s="153"/>
      <c r="C19" s="153"/>
      <c r="D19" s="154"/>
      <c r="E19" s="153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v>0</v>
      </c>
      <c r="N20" s="228"/>
      <c r="O20" s="75">
        <f t="shared" si="10"/>
        <v>0</v>
      </c>
    </row>
    <row r="21" spans="1:15" ht="23.25" customHeight="1" x14ac:dyDescent="0.25">
      <c r="A21" s="74"/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 t="s">
        <v>23</v>
      </c>
      <c r="B22" s="78" t="s">
        <v>60</v>
      </c>
      <c r="C22" s="78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115.84</v>
      </c>
      <c r="M22" s="75">
        <f t="shared" si="9"/>
        <v>115.84</v>
      </c>
      <c r="N22" s="228"/>
      <c r="O22" s="75">
        <f t="shared" si="10"/>
        <v>115.84</v>
      </c>
    </row>
    <row r="23" spans="1:15" ht="23.25" customHeight="1" x14ac:dyDescent="0.25">
      <c r="A23" s="74"/>
      <c r="B23" s="78" t="s">
        <v>164</v>
      </c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300</v>
      </c>
      <c r="M23" s="75">
        <f t="shared" si="9"/>
        <v>300</v>
      </c>
      <c r="N23" s="228"/>
      <c r="O23" s="75">
        <f t="shared" si="10"/>
        <v>300</v>
      </c>
    </row>
    <row r="24" spans="1:15" ht="23.25" customHeight="1" x14ac:dyDescent="0.25">
      <c r="A24" s="74"/>
      <c r="B24" s="65"/>
      <c r="C24" s="65"/>
      <c r="D24" s="75"/>
      <c r="E24" s="65"/>
      <c r="F24" s="75">
        <f t="shared" si="6"/>
        <v>0</v>
      </c>
      <c r="G24" s="75">
        <v>0</v>
      </c>
      <c r="H24" s="75">
        <v>0</v>
      </c>
      <c r="I24" s="75">
        <f t="shared" si="7"/>
        <v>0</v>
      </c>
      <c r="J24" s="75">
        <v>0</v>
      </c>
      <c r="K24" s="75">
        <f t="shared" si="8"/>
        <v>0</v>
      </c>
      <c r="L24" s="75">
        <v>0</v>
      </c>
      <c r="M24" s="75">
        <f t="shared" si="9"/>
        <v>0</v>
      </c>
      <c r="N24" s="228"/>
      <c r="O24" s="75">
        <f t="shared" si="10"/>
        <v>0</v>
      </c>
    </row>
    <row r="25" spans="1:15" ht="23.25" customHeight="1" x14ac:dyDescent="0.25">
      <c r="A25" s="26" t="s">
        <v>24</v>
      </c>
      <c r="B25" s="27"/>
      <c r="C25" s="28"/>
      <c r="D25" s="29"/>
      <c r="E25" s="76">
        <f t="shared" ref="E25:M25" si="11">SUM(E16:E24)</f>
        <v>0</v>
      </c>
      <c r="F25" s="76">
        <f t="shared" si="11"/>
        <v>0</v>
      </c>
      <c r="G25" s="76">
        <f t="shared" si="11"/>
        <v>0</v>
      </c>
      <c r="H25" s="76">
        <f t="shared" si="11"/>
        <v>0</v>
      </c>
      <c r="I25" s="76">
        <f t="shared" si="11"/>
        <v>0</v>
      </c>
      <c r="J25" s="76">
        <f t="shared" si="11"/>
        <v>0</v>
      </c>
      <c r="K25" s="76">
        <f t="shared" si="11"/>
        <v>0</v>
      </c>
      <c r="L25" s="76">
        <f>SUM(L16:L24)</f>
        <v>415.84000000000003</v>
      </c>
      <c r="M25" s="76">
        <f t="shared" si="11"/>
        <v>415.84000000000003</v>
      </c>
      <c r="N25" s="76">
        <f>L25-J25</f>
        <v>415.84000000000003</v>
      </c>
      <c r="O25" s="77">
        <f>SUM(O16:O24)</f>
        <v>415.84000000000003</v>
      </c>
    </row>
    <row r="26" spans="1:15" ht="23.25" customHeight="1" x14ac:dyDescent="0.25">
      <c r="A26" s="74" t="s">
        <v>25</v>
      </c>
      <c r="B26" s="78"/>
      <c r="C26" s="78"/>
      <c r="D26" s="75"/>
      <c r="E26" s="65"/>
      <c r="F26" s="75">
        <f t="shared" ref="F26:F46" si="12">I26-E26</f>
        <v>0</v>
      </c>
      <c r="G26" s="75">
        <v>0</v>
      </c>
      <c r="H26" s="75">
        <v>0</v>
      </c>
      <c r="I26" s="75">
        <f t="shared" ref="I26:I34" si="13">SUM(G26:H26)</f>
        <v>0</v>
      </c>
      <c r="J26" s="75">
        <v>0</v>
      </c>
      <c r="K26" s="75">
        <f t="shared" ref="K26:K34" si="14">SUM(J26)</f>
        <v>0</v>
      </c>
      <c r="L26" s="75">
        <v>0</v>
      </c>
      <c r="M26" s="75">
        <f t="shared" ref="M26:M34" si="15">L26</f>
        <v>0</v>
      </c>
      <c r="N26" s="228"/>
      <c r="O26" s="75">
        <f t="shared" ref="O26:O34" si="16">G26+H26+L26</f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 t="s">
        <v>26</v>
      </c>
      <c r="B29" s="78"/>
      <c r="C29" s="78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 t="s">
        <v>28</v>
      </c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78" t="s">
        <v>330</v>
      </c>
      <c r="C33" s="78"/>
      <c r="D33" s="85"/>
      <c r="E33" s="78"/>
      <c r="F33" s="85">
        <f t="shared" si="12"/>
        <v>0</v>
      </c>
      <c r="G33" s="85">
        <v>0</v>
      </c>
      <c r="H33" s="85">
        <v>0</v>
      </c>
      <c r="I33" s="85">
        <f t="shared" si="13"/>
        <v>0</v>
      </c>
      <c r="J33" s="85">
        <v>405.9</v>
      </c>
      <c r="K33" s="75">
        <f t="shared" si="14"/>
        <v>405.9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74"/>
      <c r="B34" s="78" t="s">
        <v>60</v>
      </c>
      <c r="C34" s="78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3"/>
        <v>0</v>
      </c>
      <c r="J34" s="75">
        <v>0</v>
      </c>
      <c r="K34" s="75">
        <f t="shared" si="14"/>
        <v>0</v>
      </c>
      <c r="L34" s="75">
        <v>268.45</v>
      </c>
      <c r="M34" s="75">
        <f t="shared" si="15"/>
        <v>268.45</v>
      </c>
      <c r="N34" s="228"/>
      <c r="O34" s="75">
        <f t="shared" si="16"/>
        <v>268.45</v>
      </c>
    </row>
    <row r="35" spans="1:15" ht="23.25" customHeight="1" x14ac:dyDescent="0.25">
      <c r="A35" s="26" t="s">
        <v>29</v>
      </c>
      <c r="B35" s="27"/>
      <c r="C35" s="28"/>
      <c r="D35" s="29"/>
      <c r="E35" s="76">
        <f>SUM(E26:E34)</f>
        <v>0</v>
      </c>
      <c r="F35" s="76">
        <f t="shared" si="12"/>
        <v>0</v>
      </c>
      <c r="G35" s="76">
        <f t="shared" ref="G35:M35" si="17">SUM(G26:G34)</f>
        <v>0</v>
      </c>
      <c r="H35" s="76">
        <f t="shared" si="17"/>
        <v>0</v>
      </c>
      <c r="I35" s="76">
        <f t="shared" si="17"/>
        <v>0</v>
      </c>
      <c r="J35" s="76">
        <f t="shared" si="17"/>
        <v>405.9</v>
      </c>
      <c r="K35" s="76">
        <f t="shared" si="17"/>
        <v>405.9</v>
      </c>
      <c r="L35" s="76">
        <f>SUM(L26:L34)</f>
        <v>268.45</v>
      </c>
      <c r="M35" s="76">
        <f t="shared" si="17"/>
        <v>268.45</v>
      </c>
      <c r="N35" s="76">
        <f>L35-J35</f>
        <v>-137.44999999999999</v>
      </c>
      <c r="O35" s="77">
        <f>SUM(O26:O34)</f>
        <v>268.45</v>
      </c>
    </row>
    <row r="36" spans="1:15" ht="23.25" customHeight="1" x14ac:dyDescent="0.25">
      <c r="A36" s="74" t="s">
        <v>30</v>
      </c>
      <c r="B36" s="78" t="s">
        <v>358</v>
      </c>
      <c r="C36" s="78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ref="I36:I44" si="18">SUM(G36:H36)</f>
        <v>0</v>
      </c>
      <c r="J36" s="75">
        <v>557.70000000000005</v>
      </c>
      <c r="K36" s="75">
        <f t="shared" ref="K36:K44" si="19">SUM(J36)</f>
        <v>557.70000000000005</v>
      </c>
      <c r="L36" s="75">
        <v>0</v>
      </c>
      <c r="M36" s="75">
        <f t="shared" ref="M36:M44" si="20">L36</f>
        <v>0</v>
      </c>
      <c r="N36" s="228"/>
      <c r="O36" s="75">
        <f t="shared" ref="O36:O44" si="21">G36+H36+L36</f>
        <v>0</v>
      </c>
    </row>
    <row r="37" spans="1:15" ht="23.25" customHeight="1" x14ac:dyDescent="0.25">
      <c r="A37" s="74"/>
      <c r="B37" s="78"/>
      <c r="C37" s="78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 t="s">
        <v>36</v>
      </c>
      <c r="B39" s="78"/>
      <c r="C39" s="78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 t="s">
        <v>31</v>
      </c>
      <c r="B42" s="174"/>
      <c r="C42" s="89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78"/>
      <c r="C43" s="78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74"/>
      <c r="B44" s="65"/>
      <c r="C44" s="65"/>
      <c r="D44" s="75"/>
      <c r="E44" s="65"/>
      <c r="F44" s="75">
        <f t="shared" si="12"/>
        <v>0</v>
      </c>
      <c r="G44" s="75">
        <v>0</v>
      </c>
      <c r="H44" s="75">
        <v>0</v>
      </c>
      <c r="I44" s="75">
        <f t="shared" si="18"/>
        <v>0</v>
      </c>
      <c r="J44" s="75">
        <v>0</v>
      </c>
      <c r="K44" s="75">
        <f t="shared" si="19"/>
        <v>0</v>
      </c>
      <c r="L44" s="75">
        <v>0</v>
      </c>
      <c r="M44" s="75">
        <f t="shared" si="20"/>
        <v>0</v>
      </c>
      <c r="N44" s="228"/>
      <c r="O44" s="75">
        <f t="shared" si="21"/>
        <v>0</v>
      </c>
    </row>
    <row r="45" spans="1:15" ht="23.25" customHeight="1" x14ac:dyDescent="0.25">
      <c r="A45" s="26" t="s">
        <v>32</v>
      </c>
      <c r="B45" s="27"/>
      <c r="C45" s="28"/>
      <c r="D45" s="29"/>
      <c r="E45" s="76">
        <f>SUM(G36:G44)</f>
        <v>0</v>
      </c>
      <c r="F45" s="76">
        <f t="shared" si="12"/>
        <v>0</v>
      </c>
      <c r="G45" s="76">
        <f t="shared" ref="G45:M45" si="22">SUM(G36:G44)</f>
        <v>0</v>
      </c>
      <c r="H45" s="76">
        <f t="shared" si="22"/>
        <v>0</v>
      </c>
      <c r="I45" s="76">
        <f t="shared" si="22"/>
        <v>0</v>
      </c>
      <c r="J45" s="76">
        <f t="shared" si="22"/>
        <v>557.70000000000005</v>
      </c>
      <c r="K45" s="76">
        <f t="shared" si="22"/>
        <v>557.70000000000005</v>
      </c>
      <c r="L45" s="76">
        <f>SUM(L36:L44)</f>
        <v>0</v>
      </c>
      <c r="M45" s="76">
        <f t="shared" si="22"/>
        <v>0</v>
      </c>
      <c r="N45" s="76">
        <f>L45-J45</f>
        <v>-557.70000000000005</v>
      </c>
      <c r="O45" s="77">
        <f>SUM(O36:O44)</f>
        <v>0</v>
      </c>
    </row>
    <row r="46" spans="1:15" ht="23.25" customHeight="1" x14ac:dyDescent="0.25">
      <c r="A46" s="30" t="s">
        <v>33</v>
      </c>
      <c r="B46" s="31"/>
      <c r="C46" s="32"/>
      <c r="D46" s="33"/>
      <c r="E46" s="69">
        <f>B45+E35+E25+E15</f>
        <v>0</v>
      </c>
      <c r="F46" s="69">
        <f t="shared" si="12"/>
        <v>0</v>
      </c>
      <c r="G46" s="69">
        <f>E45+G35+G25+G15</f>
        <v>0</v>
      </c>
      <c r="H46" s="69">
        <f t="shared" ref="H46:M46" si="23">H45+H35+H25+H15</f>
        <v>0</v>
      </c>
      <c r="I46" s="69">
        <f t="shared" si="23"/>
        <v>0</v>
      </c>
      <c r="J46" s="69">
        <f t="shared" si="23"/>
        <v>963.6</v>
      </c>
      <c r="K46" s="69">
        <f t="shared" si="23"/>
        <v>963.6</v>
      </c>
      <c r="L46" s="69">
        <f t="shared" si="23"/>
        <v>961.45</v>
      </c>
      <c r="M46" s="69">
        <f t="shared" si="23"/>
        <v>961.45</v>
      </c>
      <c r="N46" s="69">
        <f>L46-J46</f>
        <v>-2.1499999999999773</v>
      </c>
      <c r="O46" s="77">
        <f>O45+O35+O25+O15</f>
        <v>961.45</v>
      </c>
    </row>
    <row r="47" spans="1:15" x14ac:dyDescent="0.25">
      <c r="A47" s="1"/>
      <c r="B47" s="1"/>
      <c r="C47" s="1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mergeCells count="8">
    <mergeCell ref="G1:I1"/>
    <mergeCell ref="J1:K1"/>
    <mergeCell ref="L1:N1"/>
    <mergeCell ref="O1:O3"/>
    <mergeCell ref="N6:N14"/>
    <mergeCell ref="N16:N24"/>
    <mergeCell ref="N26:N34"/>
    <mergeCell ref="N36:N44"/>
  </mergeCells>
  <pageMargins left="0.7" right="0.7" top="0.75" bottom="0.75" header="0.51180555555555496" footer="0.51180555555555496"/>
  <pageSetup paperSize="9" firstPageNumber="0" orientation="portrait" horizontalDpi="300" verticalDpi="300" r:id="rId1"/>
  <ignoredErrors>
    <ignoredError sqref="N45:N46" 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O46"/>
  <sheetViews>
    <sheetView workbookViewId="0">
      <pane ySplit="4" topLeftCell="A5" activePane="bottomLeft" state="frozen"/>
      <selection pane="bottomLeft" activeCell="M3" sqref="M3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7" t="s">
        <v>165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88</v>
      </c>
      <c r="N3" s="71">
        <v>293.87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25">
        <f>L45-J4+N3</f>
        <v>293.87</v>
      </c>
      <c r="O4" s="25"/>
    </row>
    <row r="5" spans="1:15" ht="23.25" customHeight="1" x14ac:dyDescent="0.3">
      <c r="A5" s="74"/>
      <c r="B5" s="156" t="s">
        <v>166</v>
      </c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O47"/>
  <sheetViews>
    <sheetView workbookViewId="0">
      <pane ySplit="4" topLeftCell="A5" activePane="bottomLeft" state="frozen"/>
      <selection pane="bottomLeft" activeCell="C19" sqref="C19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167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780.82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I46</f>
        <v>0</v>
      </c>
      <c r="J4" s="65"/>
      <c r="K4" s="73">
        <f>K46</f>
        <v>0</v>
      </c>
      <c r="L4" s="24" t="s">
        <v>16</v>
      </c>
      <c r="M4" s="16"/>
      <c r="N4" s="126">
        <f>L46-J46+N3</f>
        <v>780.82</v>
      </c>
      <c r="O4" s="25"/>
    </row>
    <row r="5" spans="1:15" ht="23.25" customHeight="1" x14ac:dyDescent="0.25">
      <c r="A5" s="74" t="s">
        <v>17</v>
      </c>
      <c r="B5" s="78"/>
      <c r="C5" s="78"/>
      <c r="D5" s="8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78"/>
      <c r="C6" s="78"/>
      <c r="D6" s="8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78"/>
      <c r="C16" s="78"/>
      <c r="D16" s="75"/>
      <c r="E16" s="65"/>
      <c r="F16" s="75"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83"/>
      <c r="C18" s="83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/>
      <c r="C22" s="78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6" si="12">I25-E25</f>
        <v>0</v>
      </c>
      <c r="G25" s="75">
        <v>0</v>
      </c>
      <c r="H25" s="75">
        <v>0</v>
      </c>
      <c r="I25" s="75">
        <f t="shared" ref="I25:I34" si="13">SUM(G25:H25)</f>
        <v>0</v>
      </c>
      <c r="J25" s="75">
        <v>0</v>
      </c>
      <c r="K25" s="75">
        <f t="shared" ref="K25:K34" si="14">SUM(J25)</f>
        <v>0</v>
      </c>
      <c r="L25" s="75">
        <v>0</v>
      </c>
      <c r="M25" s="75">
        <f t="shared" ref="M25:M34" si="15">L25</f>
        <v>0</v>
      </c>
      <c r="N25" s="228"/>
      <c r="O25" s="75">
        <f t="shared" ref="O25:O34" si="16">G25+H25+L25</f>
        <v>0</v>
      </c>
    </row>
    <row r="26" spans="1:15" ht="23.25" customHeight="1" x14ac:dyDescent="0.25">
      <c r="A26" s="74"/>
      <c r="B26" s="78"/>
      <c r="C26" s="78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78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B29" s="78"/>
      <c r="C29" s="78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78"/>
      <c r="C30" s="78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74"/>
      <c r="B34" s="65"/>
      <c r="C34" s="78"/>
      <c r="D34" s="75"/>
      <c r="E34" s="65"/>
      <c r="F34" s="75">
        <f t="shared" ref="F34" si="17">I34-E34</f>
        <v>0</v>
      </c>
      <c r="G34" s="75">
        <v>0</v>
      </c>
      <c r="H34" s="75">
        <v>0</v>
      </c>
      <c r="I34" s="75">
        <f t="shared" si="13"/>
        <v>0</v>
      </c>
      <c r="J34" s="75">
        <v>0</v>
      </c>
      <c r="K34" s="75">
        <f t="shared" si="14"/>
        <v>0</v>
      </c>
      <c r="L34" s="75">
        <v>0</v>
      </c>
      <c r="M34" s="75">
        <f t="shared" si="15"/>
        <v>0</v>
      </c>
      <c r="N34" s="183"/>
      <c r="O34" s="75">
        <f t="shared" si="16"/>
        <v>0</v>
      </c>
    </row>
    <row r="35" spans="1:15" ht="23.25" customHeight="1" x14ac:dyDescent="0.25">
      <c r="A35" s="26" t="s">
        <v>29</v>
      </c>
      <c r="B35" s="27"/>
      <c r="C35" s="28"/>
      <c r="D35" s="29"/>
      <c r="E35" s="76">
        <f>SUM(E25:E33)</f>
        <v>0</v>
      </c>
      <c r="F35" s="76">
        <f>I35-E35</f>
        <v>0</v>
      </c>
      <c r="G35" s="76">
        <f t="shared" ref="G35:M35" si="18">SUM(G25:G34)</f>
        <v>0</v>
      </c>
      <c r="H35" s="76">
        <f t="shared" si="18"/>
        <v>0</v>
      </c>
      <c r="I35" s="76">
        <f t="shared" si="18"/>
        <v>0</v>
      </c>
      <c r="J35" s="76">
        <f t="shared" si="18"/>
        <v>0</v>
      </c>
      <c r="K35" s="76">
        <f t="shared" si="18"/>
        <v>0</v>
      </c>
      <c r="L35" s="76">
        <f t="shared" si="18"/>
        <v>0</v>
      </c>
      <c r="M35" s="76">
        <f t="shared" si="18"/>
        <v>0</v>
      </c>
      <c r="N35" s="76">
        <f>L35-J35</f>
        <v>0</v>
      </c>
      <c r="O35" s="77">
        <f>SUM(O25:O34)</f>
        <v>0</v>
      </c>
    </row>
    <row r="36" spans="1:15" ht="23.25" customHeight="1" x14ac:dyDescent="0.25">
      <c r="A36" s="74" t="s">
        <v>30</v>
      </c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ref="I36:I44" si="19">SUM(G36:H36)</f>
        <v>0</v>
      </c>
      <c r="J36" s="75">
        <v>0</v>
      </c>
      <c r="K36" s="75">
        <f t="shared" ref="K36:K44" si="20">SUM(J36)</f>
        <v>0</v>
      </c>
      <c r="L36" s="75">
        <v>0</v>
      </c>
      <c r="M36" s="75">
        <f t="shared" ref="M36:M44" si="21">L36</f>
        <v>0</v>
      </c>
      <c r="N36" s="228"/>
      <c r="O36" s="75">
        <f t="shared" ref="O36:O44" si="22">G36+H36+L36</f>
        <v>0</v>
      </c>
    </row>
    <row r="37" spans="1:15" ht="23.25" customHeight="1" x14ac:dyDescent="0.25">
      <c r="A37" s="74"/>
      <c r="B37" s="78"/>
      <c r="C37" s="78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9"/>
        <v>0</v>
      </c>
      <c r="J37" s="75">
        <v>0</v>
      </c>
      <c r="K37" s="75">
        <f t="shared" si="20"/>
        <v>0</v>
      </c>
      <c r="L37" s="75">
        <v>0</v>
      </c>
      <c r="M37" s="75">
        <f t="shared" si="21"/>
        <v>0</v>
      </c>
      <c r="N37" s="228"/>
      <c r="O37" s="75">
        <f t="shared" si="22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9"/>
        <v>0</v>
      </c>
      <c r="J38" s="75">
        <v>0</v>
      </c>
      <c r="K38" s="75">
        <f t="shared" si="20"/>
        <v>0</v>
      </c>
      <c r="L38" s="75">
        <v>0</v>
      </c>
      <c r="M38" s="75">
        <f t="shared" si="21"/>
        <v>0</v>
      </c>
      <c r="N38" s="228"/>
      <c r="O38" s="75">
        <f t="shared" si="22"/>
        <v>0</v>
      </c>
    </row>
    <row r="39" spans="1:15" ht="23.25" customHeight="1" x14ac:dyDescent="0.25">
      <c r="A39" s="74" t="s">
        <v>36</v>
      </c>
      <c r="B39" s="78"/>
      <c r="C39" s="78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9"/>
        <v>0</v>
      </c>
      <c r="J39" s="75">
        <v>0</v>
      </c>
      <c r="K39" s="75">
        <f t="shared" si="20"/>
        <v>0</v>
      </c>
      <c r="L39" s="75">
        <v>0</v>
      </c>
      <c r="M39" s="75">
        <f t="shared" si="21"/>
        <v>0</v>
      </c>
      <c r="N39" s="228"/>
      <c r="O39" s="75">
        <f t="shared" si="22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9"/>
        <v>0</v>
      </c>
      <c r="J40" s="75">
        <v>0</v>
      </c>
      <c r="K40" s="75">
        <f t="shared" si="20"/>
        <v>0</v>
      </c>
      <c r="L40" s="75">
        <v>0</v>
      </c>
      <c r="M40" s="75">
        <f t="shared" si="21"/>
        <v>0</v>
      </c>
      <c r="N40" s="228"/>
      <c r="O40" s="75">
        <f t="shared" si="22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9"/>
        <v>0</v>
      </c>
      <c r="J41" s="75">
        <v>0</v>
      </c>
      <c r="K41" s="75">
        <f t="shared" si="20"/>
        <v>0</v>
      </c>
      <c r="L41" s="75">
        <v>0</v>
      </c>
      <c r="M41" s="75">
        <f t="shared" si="21"/>
        <v>0</v>
      </c>
      <c r="N41" s="228"/>
      <c r="O41" s="75">
        <f t="shared" si="22"/>
        <v>0</v>
      </c>
    </row>
    <row r="42" spans="1:15" ht="23.25" customHeight="1" x14ac:dyDescent="0.25">
      <c r="A42" s="74" t="s">
        <v>31</v>
      </c>
      <c r="B42" s="78"/>
      <c r="C42" s="78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9"/>
        <v>0</v>
      </c>
      <c r="J42" s="75">
        <v>0</v>
      </c>
      <c r="K42" s="75">
        <f t="shared" si="20"/>
        <v>0</v>
      </c>
      <c r="L42" s="75">
        <v>0</v>
      </c>
      <c r="M42" s="75">
        <f t="shared" si="21"/>
        <v>0</v>
      </c>
      <c r="N42" s="228"/>
      <c r="O42" s="75">
        <f t="shared" si="22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9"/>
        <v>0</v>
      </c>
      <c r="J43" s="75">
        <v>0</v>
      </c>
      <c r="K43" s="75">
        <f t="shared" si="20"/>
        <v>0</v>
      </c>
      <c r="L43" s="75">
        <v>0</v>
      </c>
      <c r="M43" s="75">
        <f t="shared" si="21"/>
        <v>0</v>
      </c>
      <c r="N43" s="228"/>
      <c r="O43" s="75">
        <f t="shared" si="22"/>
        <v>0</v>
      </c>
    </row>
    <row r="44" spans="1:15" ht="23.25" customHeight="1" x14ac:dyDescent="0.25">
      <c r="A44" s="74"/>
      <c r="B44" s="65"/>
      <c r="C44" s="65"/>
      <c r="D44" s="75"/>
      <c r="E44" s="65"/>
      <c r="F44" s="75">
        <f t="shared" si="12"/>
        <v>0</v>
      </c>
      <c r="G44" s="75">
        <v>0</v>
      </c>
      <c r="H44" s="75">
        <v>0</v>
      </c>
      <c r="I44" s="75">
        <f t="shared" si="19"/>
        <v>0</v>
      </c>
      <c r="J44" s="75">
        <v>0</v>
      </c>
      <c r="K44" s="75">
        <f t="shared" si="20"/>
        <v>0</v>
      </c>
      <c r="L44" s="75">
        <v>0</v>
      </c>
      <c r="M44" s="75">
        <f t="shared" si="21"/>
        <v>0</v>
      </c>
      <c r="N44" s="228"/>
      <c r="O44" s="75">
        <f t="shared" si="22"/>
        <v>0</v>
      </c>
    </row>
    <row r="45" spans="1:15" ht="23.25" customHeight="1" x14ac:dyDescent="0.25">
      <c r="A45" s="26" t="s">
        <v>32</v>
      </c>
      <c r="B45" s="27"/>
      <c r="C45" s="28"/>
      <c r="D45" s="29"/>
      <c r="E45" s="76">
        <f>SUM(G36:G44)</f>
        <v>0</v>
      </c>
      <c r="F45" s="76">
        <f t="shared" si="12"/>
        <v>0</v>
      </c>
      <c r="G45" s="76">
        <f t="shared" ref="G45:M45" si="23">SUM(G36:G44)</f>
        <v>0</v>
      </c>
      <c r="H45" s="76">
        <f t="shared" si="23"/>
        <v>0</v>
      </c>
      <c r="I45" s="76">
        <f t="shared" si="23"/>
        <v>0</v>
      </c>
      <c r="J45" s="76">
        <f t="shared" si="23"/>
        <v>0</v>
      </c>
      <c r="K45" s="76">
        <f t="shared" si="23"/>
        <v>0</v>
      </c>
      <c r="L45" s="76">
        <f t="shared" si="23"/>
        <v>0</v>
      </c>
      <c r="M45" s="76">
        <f t="shared" si="23"/>
        <v>0</v>
      </c>
      <c r="N45" s="76">
        <f>L45-J45</f>
        <v>0</v>
      </c>
      <c r="O45" s="77">
        <f>SUM(O36:O44)</f>
        <v>0</v>
      </c>
    </row>
    <row r="46" spans="1:15" ht="23.25" customHeight="1" x14ac:dyDescent="0.25">
      <c r="A46" s="30" t="s">
        <v>33</v>
      </c>
      <c r="B46" s="31"/>
      <c r="C46" s="32"/>
      <c r="D46" s="33"/>
      <c r="E46" s="69">
        <f>B45+E35+E24+E14</f>
        <v>0</v>
      </c>
      <c r="F46" s="69">
        <f t="shared" si="12"/>
        <v>0</v>
      </c>
      <c r="G46" s="69">
        <f>E45+G35+G24+G14</f>
        <v>0</v>
      </c>
      <c r="H46" s="69">
        <f t="shared" ref="H46:M46" si="24">H45+H35+H24+H14</f>
        <v>0</v>
      </c>
      <c r="I46" s="69">
        <f t="shared" si="24"/>
        <v>0</v>
      </c>
      <c r="J46" s="69">
        <f t="shared" si="24"/>
        <v>0</v>
      </c>
      <c r="K46" s="69">
        <f t="shared" si="24"/>
        <v>0</v>
      </c>
      <c r="L46" s="69">
        <f t="shared" si="24"/>
        <v>0</v>
      </c>
      <c r="M46" s="69">
        <f t="shared" si="24"/>
        <v>0</v>
      </c>
      <c r="N46" s="69">
        <f>L46-J46</f>
        <v>0</v>
      </c>
      <c r="O46" s="77">
        <f>O45+O35+O24+O14</f>
        <v>0</v>
      </c>
    </row>
    <row r="47" spans="1:15" x14ac:dyDescent="0.25">
      <c r="A47" s="1"/>
      <c r="B47" s="1"/>
      <c r="C47" s="1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mergeCells count="8">
    <mergeCell ref="N15:N23"/>
    <mergeCell ref="N25:N33"/>
    <mergeCell ref="N36:N44"/>
    <mergeCell ref="G1:I1"/>
    <mergeCell ref="J1:K1"/>
    <mergeCell ref="L1:N1"/>
    <mergeCell ref="O1:O2"/>
    <mergeCell ref="N5:N13"/>
  </mergeCells>
  <pageMargins left="0.7" right="0.7" top="0.75" bottom="0.75" header="0.3" footer="0.3"/>
  <pageSetup paperSize="9" orientation="portrait" horizontalDpi="1200" verticalDpi="1200" r:id="rId1"/>
  <ignoredErrors>
    <ignoredError sqref="M35 K35 I35" 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46"/>
  <sheetViews>
    <sheetView workbookViewId="0">
      <pane ySplit="4" topLeftCell="A5" activePane="bottomLeft" state="frozen"/>
      <selection pane="bottomLeft" activeCell="F12" sqref="F12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168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/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26">
        <f>L45-J4+N35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v>0</v>
      </c>
      <c r="G5" s="75">
        <v>0</v>
      </c>
      <c r="H5" s="75">
        <v>0</v>
      </c>
      <c r="I5" s="75">
        <f t="shared" ref="I5:I13" si="0">SUM(G5:H5)</f>
        <v>0</v>
      </c>
      <c r="J5" s="75">
        <v>0</v>
      </c>
      <c r="K5" s="75">
        <f t="shared" ref="K5:K13" si="1">SUM(J5)</f>
        <v>0</v>
      </c>
      <c r="L5" s="75">
        <v>0</v>
      </c>
      <c r="M5" s="75">
        <f t="shared" ref="M5:M13" si="2">L5</f>
        <v>0</v>
      </c>
      <c r="N5" s="228"/>
      <c r="O5" s="75">
        <f t="shared" ref="O5:O13" si="3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ref="F6:F13" si="4">I6-E6</f>
        <v>0</v>
      </c>
      <c r="G6" s="75">
        <v>0</v>
      </c>
      <c r="H6" s="75">
        <v>0</v>
      </c>
      <c r="I6" s="75">
        <f t="shared" si="0"/>
        <v>0</v>
      </c>
      <c r="J6" s="75">
        <v>0</v>
      </c>
      <c r="K6" s="75">
        <f t="shared" si="1"/>
        <v>0</v>
      </c>
      <c r="L6" s="75">
        <v>0</v>
      </c>
      <c r="M6" s="75">
        <f t="shared" si="2"/>
        <v>0</v>
      </c>
      <c r="N6" s="228"/>
      <c r="O6" s="75">
        <f t="shared" si="3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4"/>
        <v>0</v>
      </c>
      <c r="G7" s="75">
        <v>0</v>
      </c>
      <c r="H7" s="75">
        <v>0</v>
      </c>
      <c r="I7" s="75">
        <f t="shared" si="0"/>
        <v>0</v>
      </c>
      <c r="J7" s="75">
        <v>0</v>
      </c>
      <c r="K7" s="75">
        <f t="shared" si="1"/>
        <v>0</v>
      </c>
      <c r="L7" s="75">
        <v>0</v>
      </c>
      <c r="M7" s="75">
        <f t="shared" si="2"/>
        <v>0</v>
      </c>
      <c r="N7" s="228"/>
      <c r="O7" s="75">
        <f t="shared" si="3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4"/>
        <v>0</v>
      </c>
      <c r="G8" s="75">
        <v>0</v>
      </c>
      <c r="H8" s="75">
        <v>0</v>
      </c>
      <c r="I8" s="75">
        <f t="shared" si="0"/>
        <v>0</v>
      </c>
      <c r="J8" s="75">
        <v>0</v>
      </c>
      <c r="K8" s="75">
        <f t="shared" si="1"/>
        <v>0</v>
      </c>
      <c r="L8" s="75">
        <v>0</v>
      </c>
      <c r="M8" s="75">
        <f t="shared" si="2"/>
        <v>0</v>
      </c>
      <c r="N8" s="228"/>
      <c r="O8" s="75">
        <f t="shared" si="3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4"/>
        <v>0</v>
      </c>
      <c r="G9" s="75">
        <v>0</v>
      </c>
      <c r="H9" s="75">
        <v>0</v>
      </c>
      <c r="I9" s="75">
        <f t="shared" si="0"/>
        <v>0</v>
      </c>
      <c r="J9" s="75">
        <v>0</v>
      </c>
      <c r="K9" s="75">
        <f t="shared" si="1"/>
        <v>0</v>
      </c>
      <c r="L9" s="75">
        <v>0</v>
      </c>
      <c r="M9" s="75">
        <f t="shared" si="2"/>
        <v>0</v>
      </c>
      <c r="N9" s="228"/>
      <c r="O9" s="75">
        <f t="shared" si="3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4"/>
        <v>0</v>
      </c>
      <c r="G10" s="75">
        <v>0</v>
      </c>
      <c r="H10" s="75">
        <v>0</v>
      </c>
      <c r="I10" s="75">
        <f t="shared" si="0"/>
        <v>0</v>
      </c>
      <c r="J10" s="75">
        <v>0</v>
      </c>
      <c r="K10" s="75">
        <f t="shared" si="1"/>
        <v>0</v>
      </c>
      <c r="L10" s="75">
        <v>0</v>
      </c>
      <c r="M10" s="75">
        <f t="shared" si="2"/>
        <v>0</v>
      </c>
      <c r="N10" s="228"/>
      <c r="O10" s="75">
        <f t="shared" si="3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v>0</v>
      </c>
      <c r="G11" s="75">
        <v>0</v>
      </c>
      <c r="H11" s="75">
        <v>0</v>
      </c>
      <c r="I11" s="75">
        <f t="shared" si="0"/>
        <v>0</v>
      </c>
      <c r="J11" s="75">
        <v>0</v>
      </c>
      <c r="K11" s="75">
        <f t="shared" si="1"/>
        <v>0</v>
      </c>
      <c r="L11" s="75">
        <v>0</v>
      </c>
      <c r="M11" s="75">
        <f t="shared" si="2"/>
        <v>0</v>
      </c>
      <c r="N11" s="228"/>
      <c r="O11" s="75">
        <f t="shared" si="3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4"/>
        <v>0</v>
      </c>
      <c r="G12" s="75">
        <v>0</v>
      </c>
      <c r="H12" s="75">
        <v>0</v>
      </c>
      <c r="I12" s="75">
        <f t="shared" si="0"/>
        <v>0</v>
      </c>
      <c r="J12" s="75">
        <v>0</v>
      </c>
      <c r="K12" s="75">
        <f t="shared" si="1"/>
        <v>0</v>
      </c>
      <c r="L12" s="75">
        <v>0</v>
      </c>
      <c r="M12" s="75">
        <f t="shared" si="2"/>
        <v>0</v>
      </c>
      <c r="N12" s="228"/>
      <c r="O12" s="75">
        <f t="shared" si="3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4"/>
        <v>0</v>
      </c>
      <c r="G13" s="75">
        <v>0</v>
      </c>
      <c r="H13" s="75">
        <v>0</v>
      </c>
      <c r="I13" s="75">
        <f t="shared" si="0"/>
        <v>0</v>
      </c>
      <c r="J13" s="75">
        <v>0</v>
      </c>
      <c r="K13" s="75">
        <f t="shared" si="1"/>
        <v>0</v>
      </c>
      <c r="L13" s="75">
        <v>0</v>
      </c>
      <c r="M13" s="75">
        <f t="shared" si="2"/>
        <v>0</v>
      </c>
      <c r="N13" s="228"/>
      <c r="O13" s="75">
        <f t="shared" si="3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O46"/>
  <sheetViews>
    <sheetView workbookViewId="0">
      <pane ySplit="4" topLeftCell="A5" activePane="bottomLeft" state="frozen"/>
      <selection pane="bottomLeft" activeCell="N5" sqref="N5:N13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58" t="s">
        <v>169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134</v>
      </c>
      <c r="N3" s="71">
        <v>157.19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24" t="s">
        <v>16</v>
      </c>
      <c r="M4" s="16"/>
      <c r="N4" s="126">
        <f>L45-J45+N3</f>
        <v>157.19</v>
      </c>
      <c r="O4" s="25"/>
    </row>
    <row r="5" spans="1:15" ht="23.25" customHeight="1" x14ac:dyDescent="0.25">
      <c r="A5" s="74"/>
      <c r="B5" s="143" t="s">
        <v>170</v>
      </c>
      <c r="C5" s="78"/>
      <c r="D5" s="75"/>
      <c r="E5" s="65"/>
      <c r="F5" s="75">
        <v>0</v>
      </c>
      <c r="G5" s="75">
        <v>0</v>
      </c>
      <c r="H5" s="75">
        <v>0</v>
      </c>
      <c r="I5" s="75">
        <f t="shared" ref="I5:I13" si="0">SUM(G5:H5)</f>
        <v>0</v>
      </c>
      <c r="J5" s="75">
        <v>0</v>
      </c>
      <c r="K5" s="75">
        <f t="shared" ref="K5:K13" si="1">SUM(J5)</f>
        <v>0</v>
      </c>
      <c r="L5" s="75">
        <v>0</v>
      </c>
      <c r="M5" s="75">
        <f t="shared" ref="M5:M12" si="2">L5</f>
        <v>0</v>
      </c>
      <c r="N5" s="228"/>
      <c r="O5" s="75">
        <f t="shared" ref="O5:O12" si="3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ref="F6:F13" si="4">I6-E6</f>
        <v>0</v>
      </c>
      <c r="G6" s="75">
        <v>0</v>
      </c>
      <c r="H6" s="75">
        <v>0</v>
      </c>
      <c r="I6" s="75">
        <f t="shared" si="0"/>
        <v>0</v>
      </c>
      <c r="J6" s="75">
        <v>0</v>
      </c>
      <c r="K6" s="75">
        <f t="shared" si="1"/>
        <v>0</v>
      </c>
      <c r="L6" s="75">
        <v>0</v>
      </c>
      <c r="M6" s="75">
        <f t="shared" si="2"/>
        <v>0</v>
      </c>
      <c r="N6" s="228"/>
      <c r="O6" s="75">
        <f t="shared" si="3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4"/>
        <v>0</v>
      </c>
      <c r="G7" s="75">
        <v>0</v>
      </c>
      <c r="H7" s="75">
        <v>0</v>
      </c>
      <c r="I7" s="75">
        <f t="shared" si="0"/>
        <v>0</v>
      </c>
      <c r="J7" s="75">
        <v>0</v>
      </c>
      <c r="K7" s="75">
        <f t="shared" si="1"/>
        <v>0</v>
      </c>
      <c r="L7" s="75">
        <v>0</v>
      </c>
      <c r="M7" s="75">
        <f t="shared" si="2"/>
        <v>0</v>
      </c>
      <c r="N7" s="228"/>
      <c r="O7" s="75">
        <f t="shared" si="3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4"/>
        <v>0</v>
      </c>
      <c r="G8" s="75">
        <v>0</v>
      </c>
      <c r="H8" s="75">
        <v>0</v>
      </c>
      <c r="I8" s="75">
        <f t="shared" si="0"/>
        <v>0</v>
      </c>
      <c r="J8" s="75">
        <v>0</v>
      </c>
      <c r="K8" s="75">
        <f t="shared" si="1"/>
        <v>0</v>
      </c>
      <c r="L8" s="75">
        <v>0</v>
      </c>
      <c r="M8" s="75">
        <f t="shared" si="2"/>
        <v>0</v>
      </c>
      <c r="N8" s="228"/>
      <c r="O8" s="75">
        <f t="shared" si="3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4"/>
        <v>0</v>
      </c>
      <c r="G9" s="75">
        <v>0</v>
      </c>
      <c r="H9" s="75">
        <v>0</v>
      </c>
      <c r="I9" s="75">
        <f t="shared" si="0"/>
        <v>0</v>
      </c>
      <c r="J9" s="75">
        <v>0</v>
      </c>
      <c r="K9" s="75">
        <f t="shared" si="1"/>
        <v>0</v>
      </c>
      <c r="L9" s="75">
        <v>0</v>
      </c>
      <c r="M9" s="75">
        <f t="shared" si="2"/>
        <v>0</v>
      </c>
      <c r="N9" s="228"/>
      <c r="O9" s="75">
        <f t="shared" si="3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4"/>
        <v>0</v>
      </c>
      <c r="G10" s="75">
        <v>0</v>
      </c>
      <c r="H10" s="75">
        <v>0</v>
      </c>
      <c r="I10" s="75">
        <f t="shared" si="0"/>
        <v>0</v>
      </c>
      <c r="J10" s="75">
        <v>0</v>
      </c>
      <c r="K10" s="75">
        <f t="shared" si="1"/>
        <v>0</v>
      </c>
      <c r="L10" s="75">
        <v>0</v>
      </c>
      <c r="M10" s="75">
        <f t="shared" si="2"/>
        <v>0</v>
      </c>
      <c r="N10" s="228"/>
      <c r="O10" s="75">
        <f t="shared" si="3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4"/>
        <v>0</v>
      </c>
      <c r="G11" s="75">
        <v>0</v>
      </c>
      <c r="H11" s="75">
        <v>0</v>
      </c>
      <c r="I11" s="75">
        <f t="shared" si="0"/>
        <v>0</v>
      </c>
      <c r="J11" s="75">
        <v>0</v>
      </c>
      <c r="K11" s="75">
        <f t="shared" si="1"/>
        <v>0</v>
      </c>
      <c r="L11" s="75">
        <v>0</v>
      </c>
      <c r="M11" s="75">
        <f>L11</f>
        <v>0</v>
      </c>
      <c r="N11" s="228"/>
      <c r="O11" s="75">
        <f>G11+H11+L11</f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4"/>
        <v>0</v>
      </c>
      <c r="G12" s="75">
        <v>0</v>
      </c>
      <c r="H12" s="75">
        <v>0</v>
      </c>
      <c r="I12" s="75">
        <f t="shared" si="0"/>
        <v>0</v>
      </c>
      <c r="J12" s="75">
        <v>0</v>
      </c>
      <c r="K12" s="75">
        <f t="shared" si="1"/>
        <v>0</v>
      </c>
      <c r="L12" s="75">
        <v>0</v>
      </c>
      <c r="M12" s="75">
        <f t="shared" si="2"/>
        <v>0</v>
      </c>
      <c r="N12" s="228"/>
      <c r="O12" s="75">
        <f t="shared" si="3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4"/>
        <v>0</v>
      </c>
      <c r="G13" s="75">
        <v>0</v>
      </c>
      <c r="H13" s="75">
        <v>0</v>
      </c>
      <c r="I13" s="75">
        <f t="shared" si="0"/>
        <v>0</v>
      </c>
      <c r="J13" s="75">
        <v>0</v>
      </c>
      <c r="K13" s="75">
        <f t="shared" si="1"/>
        <v>0</v>
      </c>
      <c r="L13" s="75">
        <v>0</v>
      </c>
      <c r="M13" s="75">
        <f>L13</f>
        <v>0</v>
      </c>
      <c r="N13" s="228"/>
      <c r="O13" s="75">
        <f>G13+H13+L13</f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>SUM(L5:L13)</f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O1:O2"/>
    <mergeCell ref="N5:N13"/>
    <mergeCell ref="N15:N23"/>
    <mergeCell ref="N25:N33"/>
    <mergeCell ref="N35:N43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O46"/>
  <sheetViews>
    <sheetView workbookViewId="0">
      <pane ySplit="4" topLeftCell="A5" activePane="bottomLeft" state="frozen"/>
      <selection pane="bottomLeft" activeCell="N5" sqref="N5:N13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171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172</v>
      </c>
      <c r="N3" s="71">
        <v>1998.42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2434.21</v>
      </c>
      <c r="L4" s="16" t="s">
        <v>35</v>
      </c>
      <c r="M4" s="17"/>
      <c r="N4" s="125">
        <f>L45-J45+N3</f>
        <v>1258.21</v>
      </c>
      <c r="O4" s="25"/>
    </row>
    <row r="5" spans="1:15" ht="23.25" customHeight="1" x14ac:dyDescent="0.25">
      <c r="A5" s="74" t="s">
        <v>17</v>
      </c>
      <c r="B5" s="65" t="s">
        <v>60</v>
      </c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1694</v>
      </c>
      <c r="M5" s="75">
        <f t="shared" ref="M5:M13" si="3">L5</f>
        <v>1694</v>
      </c>
      <c r="N5" s="228"/>
      <c r="O5" s="75">
        <f t="shared" ref="O5:O13" si="4">G5+H5+L5</f>
        <v>1694</v>
      </c>
    </row>
    <row r="6" spans="1:15" ht="23.25" customHeight="1" x14ac:dyDescent="0.25">
      <c r="A6" s="74"/>
      <c r="B6" s="135" t="s">
        <v>173</v>
      </c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1880</v>
      </c>
      <c r="K6" s="75">
        <f t="shared" si="2"/>
        <v>1880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175" t="s">
        <v>174</v>
      </c>
      <c r="C7" s="108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500</v>
      </c>
      <c r="K7" s="75">
        <f t="shared" si="2"/>
        <v>500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19</v>
      </c>
      <c r="B8" s="57" t="s">
        <v>175</v>
      </c>
      <c r="C8" s="10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27</v>
      </c>
      <c r="K8" s="75">
        <f t="shared" si="2"/>
        <v>27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116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27.21</v>
      </c>
      <c r="K9" s="75">
        <f t="shared" si="2"/>
        <v>27.21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116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2434.21</v>
      </c>
      <c r="K14" s="76">
        <f t="shared" si="5"/>
        <v>2434.21</v>
      </c>
      <c r="L14" s="76">
        <f t="shared" si="5"/>
        <v>1694</v>
      </c>
      <c r="M14" s="76">
        <f t="shared" si="5"/>
        <v>1694</v>
      </c>
      <c r="N14" s="76">
        <f>L14-J14</f>
        <v>-740.21</v>
      </c>
      <c r="O14" s="77">
        <f>SUM(O5:O13)</f>
        <v>1694</v>
      </c>
    </row>
    <row r="15" spans="1:15" ht="23.25" customHeight="1" x14ac:dyDescent="0.25">
      <c r="A15" s="74" t="s">
        <v>21</v>
      </c>
      <c r="B15" s="176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57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57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176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57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171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56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56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56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78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78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78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78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L45" si="23">H44+H34+H24+H14</f>
        <v>0</v>
      </c>
      <c r="I45" s="69">
        <f t="shared" si="23"/>
        <v>0</v>
      </c>
      <c r="J45" s="69">
        <f>J44+J34+J24+J14</f>
        <v>2434.21</v>
      </c>
      <c r="K45" s="69">
        <f t="shared" si="23"/>
        <v>2434.21</v>
      </c>
      <c r="L45" s="69">
        <f t="shared" si="23"/>
        <v>1694</v>
      </c>
      <c r="M45" s="69">
        <f>M44+M34+M24+M14</f>
        <v>1694</v>
      </c>
      <c r="N45" s="69">
        <f>L45-J45</f>
        <v>-740.21</v>
      </c>
      <c r="O45" s="77">
        <f>O44+O34+O24+O14</f>
        <v>1694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P47"/>
  <sheetViews>
    <sheetView workbookViewId="0">
      <pane ySplit="4" topLeftCell="A8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6" ht="31.5" customHeight="1" x14ac:dyDescent="0.3">
      <c r="B1" s="12" t="s">
        <v>176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6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6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141.61000000000001</v>
      </c>
      <c r="O3" s="3"/>
    </row>
    <row r="4" spans="1:16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I46</f>
        <v>0</v>
      </c>
      <c r="J4" s="65"/>
      <c r="K4" s="73">
        <f>K46</f>
        <v>0</v>
      </c>
      <c r="L4" s="16" t="s">
        <v>35</v>
      </c>
      <c r="M4" s="17"/>
      <c r="N4" s="198">
        <f>L46-J46+N3</f>
        <v>141.61000000000001</v>
      </c>
      <c r="O4" s="25"/>
      <c r="P4">
        <v>2017</v>
      </c>
    </row>
    <row r="5" spans="1:16" ht="23.25" customHeight="1" x14ac:dyDescent="0.25">
      <c r="A5" s="74"/>
      <c r="B5" s="78"/>
      <c r="C5" s="78"/>
      <c r="D5" s="85"/>
      <c r="E5" s="65"/>
      <c r="F5" s="75">
        <f t="shared" ref="F5:F14" si="0">I5-E5</f>
        <v>0</v>
      </c>
      <c r="G5" s="75">
        <v>0</v>
      </c>
      <c r="H5" s="75">
        <v>0</v>
      </c>
      <c r="I5" s="75">
        <f t="shared" ref="I5:I14" si="1">SUM(G5:H5)</f>
        <v>0</v>
      </c>
      <c r="J5" s="75">
        <v>0</v>
      </c>
      <c r="K5" s="75">
        <f t="shared" ref="K5:K14" si="2">SUM(J5)</f>
        <v>0</v>
      </c>
      <c r="L5" s="75">
        <v>0</v>
      </c>
      <c r="M5" s="75">
        <f t="shared" ref="M5:M14" si="3">L5</f>
        <v>0</v>
      </c>
      <c r="N5" s="228"/>
      <c r="O5" s="75">
        <f t="shared" ref="O5:O14" si="4">G5+H5+L5</f>
        <v>0</v>
      </c>
    </row>
    <row r="6" spans="1:16" ht="23.25" customHeight="1" x14ac:dyDescent="0.25">
      <c r="A6" s="74"/>
      <c r="B6" s="78"/>
      <c r="C6" s="78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6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6" ht="23.25" customHeight="1" x14ac:dyDescent="0.25">
      <c r="A8" s="74"/>
      <c r="B8" s="78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6" ht="23.25" customHeight="1" x14ac:dyDescent="0.25">
      <c r="A9" s="74"/>
      <c r="B9" s="78"/>
      <c r="C9" s="78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6" ht="23.25" customHeight="1" x14ac:dyDescent="0.25">
      <c r="A10" s="74"/>
      <c r="B10" s="78"/>
      <c r="C10" s="78"/>
      <c r="D10" s="85"/>
      <c r="E10" s="65"/>
      <c r="F10" s="75"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6" ht="23.25" customHeight="1" x14ac:dyDescent="0.25">
      <c r="A11" s="74"/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6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6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6" ht="23.25" customHeight="1" x14ac:dyDescent="0.25">
      <c r="A14" s="74"/>
      <c r="B14" s="65"/>
      <c r="C14" s="65"/>
      <c r="D14" s="75"/>
      <c r="E14" s="65"/>
      <c r="F14" s="75">
        <f t="shared" si="0"/>
        <v>0</v>
      </c>
      <c r="G14" s="75">
        <v>0</v>
      </c>
      <c r="H14" s="75">
        <v>0</v>
      </c>
      <c r="I14" s="75">
        <f t="shared" si="1"/>
        <v>0</v>
      </c>
      <c r="J14" s="75">
        <v>0</v>
      </c>
      <c r="K14" s="75">
        <f t="shared" si="2"/>
        <v>0</v>
      </c>
      <c r="L14" s="75">
        <v>0</v>
      </c>
      <c r="M14" s="75">
        <f t="shared" si="3"/>
        <v>0</v>
      </c>
      <c r="N14" s="228"/>
      <c r="O14" s="75">
        <f t="shared" si="4"/>
        <v>0</v>
      </c>
    </row>
    <row r="15" spans="1:16" ht="23.25" customHeight="1" x14ac:dyDescent="0.25">
      <c r="A15" s="26" t="s">
        <v>20</v>
      </c>
      <c r="B15" s="27"/>
      <c r="C15" s="28"/>
      <c r="D15" s="29"/>
      <c r="E15" s="76">
        <f t="shared" ref="E15:M15" si="5">SUM(E5:E14)</f>
        <v>0</v>
      </c>
      <c r="F15" s="76">
        <f t="shared" si="5"/>
        <v>0</v>
      </c>
      <c r="G15" s="76">
        <f t="shared" si="5"/>
        <v>0</v>
      </c>
      <c r="H15" s="76">
        <f t="shared" si="5"/>
        <v>0</v>
      </c>
      <c r="I15" s="76">
        <f t="shared" si="5"/>
        <v>0</v>
      </c>
      <c r="J15" s="76">
        <f t="shared" si="5"/>
        <v>0</v>
      </c>
      <c r="K15" s="76">
        <f t="shared" si="5"/>
        <v>0</v>
      </c>
      <c r="L15" s="76">
        <f t="shared" si="5"/>
        <v>0</v>
      </c>
      <c r="M15" s="76">
        <f t="shared" si="5"/>
        <v>0</v>
      </c>
      <c r="N15" s="76">
        <f>L15-J15</f>
        <v>0</v>
      </c>
      <c r="O15" s="77">
        <f>SUM(O5:O14)</f>
        <v>0</v>
      </c>
    </row>
    <row r="16" spans="1:16" ht="23.25" customHeight="1" x14ac:dyDescent="0.25">
      <c r="A16" s="74"/>
      <c r="B16" s="65"/>
      <c r="C16" s="65"/>
      <c r="D16" s="75"/>
      <c r="E16" s="65"/>
      <c r="F16" s="75">
        <f t="shared" ref="F16:F24" si="6">I16-E16</f>
        <v>0</v>
      </c>
      <c r="G16" s="75">
        <v>0</v>
      </c>
      <c r="H16" s="75">
        <v>0</v>
      </c>
      <c r="I16" s="75">
        <f t="shared" ref="I16:I24" si="7">SUM(G16:H16)</f>
        <v>0</v>
      </c>
      <c r="J16" s="75">
        <v>0</v>
      </c>
      <c r="K16" s="75">
        <f t="shared" ref="K16:K24" si="8">SUM(J16)</f>
        <v>0</v>
      </c>
      <c r="L16" s="75">
        <v>0</v>
      </c>
      <c r="M16" s="75">
        <f t="shared" ref="M16:M24" si="9">L16</f>
        <v>0</v>
      </c>
      <c r="N16" s="228"/>
      <c r="O16" s="75">
        <f t="shared" ref="O16:O24" si="10">G16+H16+L16</f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/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/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74"/>
      <c r="B24" s="65"/>
      <c r="C24" s="65"/>
      <c r="D24" s="75"/>
      <c r="E24" s="65"/>
      <c r="F24" s="75">
        <f t="shared" si="6"/>
        <v>0</v>
      </c>
      <c r="G24" s="75">
        <v>0</v>
      </c>
      <c r="H24" s="75">
        <v>0</v>
      </c>
      <c r="I24" s="75">
        <f t="shared" si="7"/>
        <v>0</v>
      </c>
      <c r="J24" s="75">
        <v>0</v>
      </c>
      <c r="K24" s="75">
        <f t="shared" si="8"/>
        <v>0</v>
      </c>
      <c r="L24" s="75">
        <v>0</v>
      </c>
      <c r="M24" s="75">
        <f t="shared" si="9"/>
        <v>0</v>
      </c>
      <c r="N24" s="228"/>
      <c r="O24" s="75">
        <f t="shared" si="10"/>
        <v>0</v>
      </c>
    </row>
    <row r="25" spans="1:15" ht="23.25" customHeight="1" x14ac:dyDescent="0.25">
      <c r="A25" s="26" t="s">
        <v>24</v>
      </c>
      <c r="B25" s="27"/>
      <c r="C25" s="28"/>
      <c r="D25" s="29"/>
      <c r="E25" s="76">
        <f t="shared" ref="E25:M25" si="11">SUM(E16:E24)</f>
        <v>0</v>
      </c>
      <c r="F25" s="76">
        <f t="shared" si="11"/>
        <v>0</v>
      </c>
      <c r="G25" s="76">
        <f t="shared" si="11"/>
        <v>0</v>
      </c>
      <c r="H25" s="76">
        <f t="shared" si="11"/>
        <v>0</v>
      </c>
      <c r="I25" s="76">
        <f t="shared" si="11"/>
        <v>0</v>
      </c>
      <c r="J25" s="76">
        <f t="shared" si="11"/>
        <v>0</v>
      </c>
      <c r="K25" s="76">
        <f t="shared" si="11"/>
        <v>0</v>
      </c>
      <c r="L25" s="76">
        <f t="shared" si="11"/>
        <v>0</v>
      </c>
      <c r="M25" s="76">
        <f t="shared" si="11"/>
        <v>0</v>
      </c>
      <c r="N25" s="76">
        <f>L25-J25</f>
        <v>0</v>
      </c>
      <c r="O25" s="77">
        <f>SUM(O16:O24)</f>
        <v>0</v>
      </c>
    </row>
    <row r="26" spans="1:15" ht="23.25" customHeight="1" x14ac:dyDescent="0.25">
      <c r="A26" s="74" t="s">
        <v>25</v>
      </c>
      <c r="B26" s="78"/>
      <c r="C26" s="78"/>
      <c r="D26" s="75"/>
      <c r="E26" s="65"/>
      <c r="F26" s="75">
        <f t="shared" ref="F26:F46" si="12">I26-E26</f>
        <v>0</v>
      </c>
      <c r="G26" s="75">
        <v>0</v>
      </c>
      <c r="H26" s="75">
        <v>0</v>
      </c>
      <c r="I26" s="75">
        <f t="shared" ref="I26:I34" si="13">SUM(G26:H26)</f>
        <v>0</v>
      </c>
      <c r="J26" s="75">
        <v>0</v>
      </c>
      <c r="K26" s="75">
        <f t="shared" ref="K26:K34" si="14">SUM(J26)</f>
        <v>0</v>
      </c>
      <c r="L26" s="75">
        <v>0</v>
      </c>
      <c r="M26" s="75">
        <f t="shared" ref="M26:M34" si="15">L26</f>
        <v>0</v>
      </c>
      <c r="N26" s="228"/>
      <c r="O26" s="75">
        <f t="shared" ref="O26:O34" si="16">G26+H26+L26</f>
        <v>0</v>
      </c>
    </row>
    <row r="27" spans="1:15" ht="23.25" customHeight="1" x14ac:dyDescent="0.25">
      <c r="A27" s="74"/>
      <c r="B27" s="78"/>
      <c r="C27" s="78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78"/>
      <c r="C28" s="87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 t="s">
        <v>26</v>
      </c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 t="s">
        <v>28</v>
      </c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74"/>
      <c r="B34" s="65"/>
      <c r="C34" s="65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3"/>
        <v>0</v>
      </c>
      <c r="J34" s="75">
        <v>0</v>
      </c>
      <c r="K34" s="75">
        <f t="shared" si="14"/>
        <v>0</v>
      </c>
      <c r="L34" s="75">
        <v>0</v>
      </c>
      <c r="M34" s="75">
        <f t="shared" si="15"/>
        <v>0</v>
      </c>
      <c r="N34" s="228"/>
      <c r="O34" s="75">
        <f t="shared" si="16"/>
        <v>0</v>
      </c>
    </row>
    <row r="35" spans="1:15" ht="23.25" customHeight="1" x14ac:dyDescent="0.25">
      <c r="A35" s="26" t="s">
        <v>29</v>
      </c>
      <c r="B35" s="27"/>
      <c r="C35" s="28"/>
      <c r="D35" s="29"/>
      <c r="E35" s="76">
        <f>SUM(E26:E34)</f>
        <v>0</v>
      </c>
      <c r="F35" s="76">
        <f t="shared" si="12"/>
        <v>0</v>
      </c>
      <c r="G35" s="76">
        <f t="shared" ref="G35:M35" si="17">SUM(G26:G34)</f>
        <v>0</v>
      </c>
      <c r="H35" s="76">
        <f t="shared" si="17"/>
        <v>0</v>
      </c>
      <c r="I35" s="76">
        <f t="shared" si="17"/>
        <v>0</v>
      </c>
      <c r="J35" s="76">
        <f t="shared" si="17"/>
        <v>0</v>
      </c>
      <c r="K35" s="76">
        <f t="shared" si="17"/>
        <v>0</v>
      </c>
      <c r="L35" s="76">
        <f t="shared" si="17"/>
        <v>0</v>
      </c>
      <c r="M35" s="76">
        <f t="shared" si="17"/>
        <v>0</v>
      </c>
      <c r="N35" s="76">
        <f>L35-J35</f>
        <v>0</v>
      </c>
      <c r="O35" s="77">
        <f>SUM(O26:O34)</f>
        <v>0</v>
      </c>
    </row>
    <row r="36" spans="1:15" ht="23.25" customHeight="1" x14ac:dyDescent="0.25">
      <c r="A36" s="74" t="s">
        <v>30</v>
      </c>
      <c r="B36" s="78"/>
      <c r="C36" s="78"/>
      <c r="D36" s="85"/>
      <c r="E36" s="65"/>
      <c r="F36" s="75">
        <f t="shared" si="12"/>
        <v>0</v>
      </c>
      <c r="G36" s="75">
        <v>0</v>
      </c>
      <c r="H36" s="75">
        <v>0</v>
      </c>
      <c r="I36" s="75">
        <f t="shared" ref="I36:I44" si="18">SUM(G36:H36)</f>
        <v>0</v>
      </c>
      <c r="J36" s="75">
        <v>0</v>
      </c>
      <c r="K36" s="75">
        <f t="shared" ref="K36:K44" si="19">SUM(J36)</f>
        <v>0</v>
      </c>
      <c r="L36" s="75">
        <v>0</v>
      </c>
      <c r="M36" s="75">
        <f t="shared" ref="M36:M44" si="20">L36</f>
        <v>0</v>
      </c>
      <c r="N36" s="228"/>
      <c r="O36" s="75">
        <f t="shared" ref="O36:O44" si="21">G36+H36+L36</f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 t="s">
        <v>36</v>
      </c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 t="s">
        <v>31</v>
      </c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74"/>
      <c r="B44" s="65"/>
      <c r="C44" s="65"/>
      <c r="D44" s="75"/>
      <c r="E44" s="65"/>
      <c r="F44" s="75">
        <f t="shared" si="12"/>
        <v>0</v>
      </c>
      <c r="G44" s="75">
        <v>0</v>
      </c>
      <c r="H44" s="75">
        <v>0</v>
      </c>
      <c r="I44" s="75">
        <f t="shared" si="18"/>
        <v>0</v>
      </c>
      <c r="J44" s="75">
        <v>0</v>
      </c>
      <c r="K44" s="75">
        <f t="shared" si="19"/>
        <v>0</v>
      </c>
      <c r="L44" s="75">
        <v>0</v>
      </c>
      <c r="M44" s="75">
        <f t="shared" si="20"/>
        <v>0</v>
      </c>
      <c r="N44" s="228"/>
      <c r="O44" s="75">
        <f t="shared" si="21"/>
        <v>0</v>
      </c>
    </row>
    <row r="45" spans="1:15" ht="23.25" customHeight="1" x14ac:dyDescent="0.25">
      <c r="A45" s="26" t="s">
        <v>32</v>
      </c>
      <c r="B45" s="27"/>
      <c r="C45" s="28"/>
      <c r="D45" s="29"/>
      <c r="E45" s="76">
        <f>SUM(G36:G44)</f>
        <v>0</v>
      </c>
      <c r="F45" s="76">
        <f t="shared" si="12"/>
        <v>0</v>
      </c>
      <c r="G45" s="76">
        <f t="shared" ref="G45:M45" si="22">SUM(G36:G44)</f>
        <v>0</v>
      </c>
      <c r="H45" s="76">
        <f t="shared" si="22"/>
        <v>0</v>
      </c>
      <c r="I45" s="76">
        <f t="shared" si="22"/>
        <v>0</v>
      </c>
      <c r="J45" s="76">
        <f t="shared" si="22"/>
        <v>0</v>
      </c>
      <c r="K45" s="76">
        <f t="shared" si="22"/>
        <v>0</v>
      </c>
      <c r="L45" s="76">
        <f t="shared" si="22"/>
        <v>0</v>
      </c>
      <c r="M45" s="76">
        <f t="shared" si="22"/>
        <v>0</v>
      </c>
      <c r="N45" s="76">
        <f>L45-J45</f>
        <v>0</v>
      </c>
      <c r="O45" s="77">
        <f>SUM(O36:O44)</f>
        <v>0</v>
      </c>
    </row>
    <row r="46" spans="1:15" ht="23.25" customHeight="1" x14ac:dyDescent="0.25">
      <c r="A46" s="30" t="s">
        <v>33</v>
      </c>
      <c r="B46" s="31"/>
      <c r="C46" s="32"/>
      <c r="D46" s="33"/>
      <c r="E46" s="69">
        <f>B45+E35+E25+E15</f>
        <v>0</v>
      </c>
      <c r="F46" s="69">
        <f t="shared" si="12"/>
        <v>0</v>
      </c>
      <c r="G46" s="69">
        <f>E45+G35+G25+G15</f>
        <v>0</v>
      </c>
      <c r="H46" s="69">
        <f t="shared" ref="H46:M46" si="23">H45+H35+H25+H15</f>
        <v>0</v>
      </c>
      <c r="I46" s="69">
        <f t="shared" si="23"/>
        <v>0</v>
      </c>
      <c r="J46" s="69">
        <f t="shared" si="23"/>
        <v>0</v>
      </c>
      <c r="K46" s="69">
        <f t="shared" si="23"/>
        <v>0</v>
      </c>
      <c r="L46" s="69">
        <f t="shared" si="23"/>
        <v>0</v>
      </c>
      <c r="M46" s="69">
        <f t="shared" si="23"/>
        <v>0</v>
      </c>
      <c r="N46" s="69">
        <f>L46-J46</f>
        <v>0</v>
      </c>
      <c r="O46" s="77">
        <f>O45+O35+O25+O15</f>
        <v>0</v>
      </c>
    </row>
    <row r="47" spans="1:15" x14ac:dyDescent="0.25">
      <c r="A47" s="1"/>
      <c r="B47" s="1"/>
      <c r="C47" s="1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mergeCells count="8">
    <mergeCell ref="O1:O2"/>
    <mergeCell ref="N5:N14"/>
    <mergeCell ref="N16:N24"/>
    <mergeCell ref="N26:N34"/>
    <mergeCell ref="N36:N44"/>
    <mergeCell ref="G1:I1"/>
    <mergeCell ref="J1:K1"/>
    <mergeCell ref="L1:N1"/>
  </mergeCells>
  <pageMargins left="0.7" right="0.7" top="0.75" bottom="0.75" header="0.3" footer="0.3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O48"/>
  <sheetViews>
    <sheetView workbookViewId="0">
      <pane ySplit="4" topLeftCell="A26" activePane="bottomLeft" state="frozen"/>
      <selection pane="bottomLeft" activeCell="L11" sqref="L11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7" t="s">
        <v>177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88</v>
      </c>
      <c r="N3" s="71">
        <v>899.4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24" t="s">
        <v>16</v>
      </c>
      <c r="M4" s="16"/>
      <c r="N4" s="198">
        <f>L45-J45+N3</f>
        <v>899.4</v>
      </c>
      <c r="O4" s="102" t="s">
        <v>178</v>
      </c>
    </row>
    <row r="5" spans="1:15" ht="23.25" customHeight="1" x14ac:dyDescent="0.25">
      <c r="A5" s="74"/>
      <c r="B5" s="95" t="s">
        <v>179</v>
      </c>
      <c r="C5" s="159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5.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103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78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83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78"/>
      <c r="C41" s="78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180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>L44+L34+L24+L14</f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8" spans="1:15" x14ac:dyDescent="0.25">
      <c r="L48" s="8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CD1B-8EB7-425C-B03A-F5C15A32B101}">
  <dimension ref="A1:O44"/>
  <sheetViews>
    <sheetView zoomScaleNormal="100" workbookViewId="0">
      <pane ySplit="4" topLeftCell="A29" activePane="bottomLeft" state="frozen"/>
      <selection pane="bottomLeft" activeCell="D40" sqref="D40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181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86.95</v>
      </c>
      <c r="J4" s="65"/>
      <c r="K4" s="73">
        <f>K43</f>
        <v>0</v>
      </c>
      <c r="L4" s="24" t="s">
        <v>16</v>
      </c>
      <c r="M4" s="16"/>
      <c r="N4" s="198">
        <f>L43-J43+N3</f>
        <v>374.55999999999995</v>
      </c>
      <c r="O4" s="2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0</v>
      </c>
    </row>
    <row r="14" spans="1:15" ht="23.25" customHeight="1" x14ac:dyDescent="0.25">
      <c r="A14" s="74" t="s">
        <v>21</v>
      </c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78" t="s">
        <v>182</v>
      </c>
      <c r="C20" s="167" t="s">
        <v>183</v>
      </c>
      <c r="D20" s="75"/>
      <c r="E20" s="65"/>
      <c r="F20" s="75">
        <f>I20-E20</f>
        <v>86.95</v>
      </c>
      <c r="G20" s="75">
        <v>69.45</v>
      </c>
      <c r="H20" s="75">
        <v>17.5</v>
      </c>
      <c r="I20" s="75">
        <f t="shared" si="6"/>
        <v>86.95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86.95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86.95</v>
      </c>
      <c r="G23" s="76">
        <f t="shared" si="10"/>
        <v>69.45</v>
      </c>
      <c r="H23" s="76">
        <f t="shared" si="10"/>
        <v>17.5</v>
      </c>
      <c r="I23" s="76">
        <f t="shared" si="10"/>
        <v>86.95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86.95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 t="s">
        <v>60</v>
      </c>
      <c r="C38" s="83" t="s">
        <v>392</v>
      </c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289.95999999999998</v>
      </c>
      <c r="M38" s="75">
        <f t="shared" si="19"/>
        <v>289.95999999999998</v>
      </c>
      <c r="N38" s="228"/>
      <c r="O38" s="75">
        <f t="shared" si="20"/>
        <v>289.95999999999998</v>
      </c>
    </row>
    <row r="39" spans="1:15" ht="23.25" customHeight="1" x14ac:dyDescent="0.25">
      <c r="A39" s="65"/>
      <c r="B39" s="78" t="s">
        <v>404</v>
      </c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84.6</v>
      </c>
      <c r="M39" s="75">
        <f>L39</f>
        <v>84.6</v>
      </c>
      <c r="N39" s="228"/>
      <c r="O39" s="75">
        <f>G39+H39+L39</f>
        <v>84.6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374.55999999999995</v>
      </c>
      <c r="M42" s="67">
        <f t="shared" si="21"/>
        <v>374.55999999999995</v>
      </c>
      <c r="N42" s="67">
        <f>L42-J42</f>
        <v>374.55999999999995</v>
      </c>
      <c r="O42" s="68">
        <f>SUM(O34:O40)</f>
        <v>374.55999999999995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86.95</v>
      </c>
      <c r="G43" s="69">
        <f>E42+G33+G23+G13</f>
        <v>69.45</v>
      </c>
      <c r="H43" s="69">
        <f t="shared" ref="H43:M43" si="22">H42+H33+H23+H13</f>
        <v>17.5</v>
      </c>
      <c r="I43" s="69">
        <f t="shared" si="22"/>
        <v>86.95</v>
      </c>
      <c r="J43" s="69">
        <f t="shared" si="22"/>
        <v>0</v>
      </c>
      <c r="K43" s="69">
        <f t="shared" si="22"/>
        <v>0</v>
      </c>
      <c r="L43" s="69">
        <f t="shared" si="22"/>
        <v>374.55999999999995</v>
      </c>
      <c r="M43" s="69">
        <f t="shared" si="22"/>
        <v>374.55999999999995</v>
      </c>
      <c r="N43" s="69">
        <f>L43-J43</f>
        <v>374.55999999999995</v>
      </c>
      <c r="O43" s="77">
        <f>O42+O33+O23+O13</f>
        <v>461.50999999999993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G1:I1"/>
    <mergeCell ref="J1:K1"/>
    <mergeCell ref="L1:N1"/>
    <mergeCell ref="O1:O2"/>
    <mergeCell ref="N5:N12"/>
    <mergeCell ref="N14:N22"/>
    <mergeCell ref="N24:N32"/>
    <mergeCell ref="N34:N4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46"/>
  <sheetViews>
    <sheetView workbookViewId="0">
      <pane ySplit="4" topLeftCell="A26" activePane="bottomLeft" state="frozen"/>
      <selection pane="bottomLeft" activeCell="L37" sqref="L37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184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/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92.3</v>
      </c>
      <c r="J4" s="65"/>
      <c r="K4" s="73">
        <f>K45</f>
        <v>0</v>
      </c>
      <c r="L4" s="16" t="s">
        <v>35</v>
      </c>
      <c r="M4" s="17"/>
      <c r="N4" s="198">
        <f>L45-J4+N35</f>
        <v>135.59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 t="s">
        <v>340</v>
      </c>
      <c r="C31" s="65" t="s">
        <v>341</v>
      </c>
      <c r="D31" s="75"/>
      <c r="E31" s="65"/>
      <c r="F31" s="75">
        <f t="shared" si="12"/>
        <v>92.3</v>
      </c>
      <c r="G31" s="75">
        <v>92.3</v>
      </c>
      <c r="H31" s="75">
        <v>0</v>
      </c>
      <c r="I31" s="75">
        <f t="shared" si="13"/>
        <v>92.3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92.3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92.3</v>
      </c>
      <c r="G34" s="76">
        <f t="shared" ref="G34:M34" si="17">SUM(G25:G33)</f>
        <v>92.3</v>
      </c>
      <c r="H34" s="76">
        <f t="shared" si="17"/>
        <v>0</v>
      </c>
      <c r="I34" s="76">
        <f t="shared" si="17"/>
        <v>92.3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92.3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 t="s">
        <v>60</v>
      </c>
      <c r="C36" s="65" t="s">
        <v>372</v>
      </c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135.59</v>
      </c>
      <c r="M36" s="75">
        <f t="shared" si="20"/>
        <v>135.59</v>
      </c>
      <c r="N36" s="228"/>
      <c r="O36" s="75">
        <f t="shared" si="21"/>
        <v>135.59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135.59</v>
      </c>
      <c r="M44" s="76">
        <f t="shared" si="22"/>
        <v>135.59</v>
      </c>
      <c r="N44" s="76">
        <f>L44-J44</f>
        <v>135.59</v>
      </c>
      <c r="O44" s="77">
        <f>SUM(O35:O43)</f>
        <v>135.59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92.3</v>
      </c>
      <c r="G45" s="69">
        <f>E44+G34+G24+G14</f>
        <v>92.3</v>
      </c>
      <c r="H45" s="69">
        <f t="shared" ref="H45:M45" si="23">H44+H34+H24+H14</f>
        <v>0</v>
      </c>
      <c r="I45" s="69">
        <f t="shared" si="23"/>
        <v>92.3</v>
      </c>
      <c r="J45" s="69">
        <f t="shared" si="23"/>
        <v>0</v>
      </c>
      <c r="K45" s="69">
        <f t="shared" si="23"/>
        <v>0</v>
      </c>
      <c r="L45" s="69">
        <f t="shared" si="23"/>
        <v>135.59</v>
      </c>
      <c r="M45" s="69">
        <f t="shared" si="23"/>
        <v>135.59</v>
      </c>
      <c r="N45" s="69">
        <f>L45-J45</f>
        <v>135.59</v>
      </c>
      <c r="O45" s="77">
        <f>O44+O34+O24+O14</f>
        <v>227.89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46"/>
  <sheetViews>
    <sheetView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134</v>
      </c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74.66</v>
      </c>
      <c r="J4" s="65"/>
      <c r="K4" s="73">
        <f>K45</f>
        <v>0</v>
      </c>
      <c r="L4" s="16" t="s">
        <v>35</v>
      </c>
      <c r="M4" s="17"/>
      <c r="N4" s="198">
        <f>L45-J4+N35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 t="s">
        <v>185</v>
      </c>
      <c r="C21" s="65"/>
      <c r="D21" s="75"/>
      <c r="E21" s="65"/>
      <c r="F21" s="75">
        <f t="shared" si="6"/>
        <v>74.66</v>
      </c>
      <c r="G21" s="75">
        <v>0</v>
      </c>
      <c r="H21" s="75">
        <v>74.66</v>
      </c>
      <c r="I21" s="75">
        <f t="shared" si="7"/>
        <v>74.66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74.66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74.66</v>
      </c>
      <c r="G24" s="76">
        <f t="shared" si="11"/>
        <v>0</v>
      </c>
      <c r="H24" s="76">
        <f t="shared" si="11"/>
        <v>74.66</v>
      </c>
      <c r="I24" s="76">
        <f t="shared" si="11"/>
        <v>74.66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74.66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74.66</v>
      </c>
      <c r="G45" s="69">
        <f>E44+G34+G24+G14</f>
        <v>0</v>
      </c>
      <c r="H45" s="69">
        <f t="shared" ref="H45:M45" si="23">H44+H34+H24+H14</f>
        <v>74.66</v>
      </c>
      <c r="I45" s="69">
        <f t="shared" si="23"/>
        <v>74.66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74.66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Q48"/>
  <sheetViews>
    <sheetView zoomScale="81" zoomScaleNormal="81" workbookViewId="0">
      <pane ySplit="4" topLeftCell="A8" activePane="bottomLeft" state="frozen"/>
      <selection pane="bottomLeft" activeCell="B25" sqref="B25"/>
    </sheetView>
  </sheetViews>
  <sheetFormatPr baseColWidth="10" defaultColWidth="9" defaultRowHeight="15.75" x14ac:dyDescent="0.25"/>
  <cols>
    <col min="1" max="1" width="12.125" customWidth="1"/>
    <col min="2" max="2" width="28.2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7" ht="31.5" customHeight="1" x14ac:dyDescent="0.3">
      <c r="A1" s="160" t="s">
        <v>186</v>
      </c>
      <c r="B1" s="161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7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7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1900.99</v>
      </c>
      <c r="O3" s="62" t="s">
        <v>187</v>
      </c>
    </row>
    <row r="4" spans="1:17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I47</f>
        <v>0</v>
      </c>
      <c r="J4" s="65"/>
      <c r="K4" s="73">
        <f>K47</f>
        <v>1278.5</v>
      </c>
      <c r="L4" s="24" t="s">
        <v>16</v>
      </c>
      <c r="M4" s="16"/>
      <c r="N4" s="125">
        <v>0</v>
      </c>
      <c r="O4" s="25"/>
    </row>
    <row r="5" spans="1:17" ht="23.25" customHeight="1" x14ac:dyDescent="0.25">
      <c r="A5" s="74" t="s">
        <v>17</v>
      </c>
      <c r="B5" s="143" t="s">
        <v>188</v>
      </c>
      <c r="C5" s="83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7" ht="23.25" customHeight="1" x14ac:dyDescent="0.25">
      <c r="A6" s="74"/>
      <c r="B6" s="78"/>
      <c r="C6" s="78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  <c r="Q6" s="13"/>
    </row>
    <row r="7" spans="1:17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7" ht="23.25" customHeight="1" x14ac:dyDescent="0.25">
      <c r="A8" s="74" t="s">
        <v>18</v>
      </c>
      <c r="B8" s="104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7" ht="23.25" customHeight="1" x14ac:dyDescent="0.25">
      <c r="A9" s="74"/>
      <c r="B9" s="104"/>
      <c r="C9" s="78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7" ht="23.25" customHeight="1" x14ac:dyDescent="0.25">
      <c r="A10" s="74"/>
      <c r="B10" s="104"/>
      <c r="C10" s="78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7" ht="23.25" customHeight="1" x14ac:dyDescent="0.25">
      <c r="A11" s="74" t="s">
        <v>19</v>
      </c>
      <c r="B11" s="83"/>
      <c r="C11" s="83"/>
      <c r="D11" s="8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7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7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7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7" ht="23.25" customHeight="1" x14ac:dyDescent="0.25">
      <c r="A15" s="74" t="s">
        <v>21</v>
      </c>
      <c r="B15" s="78"/>
      <c r="C15" s="78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7" ht="23.25" customHeight="1" x14ac:dyDescent="0.25">
      <c r="A16" s="74"/>
      <c r="B16" s="78"/>
      <c r="C16" s="78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78"/>
      <c r="C17" s="78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/>
      <c r="B18" s="78"/>
      <c r="C18" s="78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 t="s">
        <v>22</v>
      </c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94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87" t="s">
        <v>324</v>
      </c>
      <c r="C25" s="78"/>
      <c r="D25" s="85"/>
      <c r="E25" s="65"/>
      <c r="F25" s="75">
        <f t="shared" ref="F25:F47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265.2</v>
      </c>
      <c r="K25" s="75">
        <f t="shared" ref="K25:K33" si="14">SUM(J25)</f>
        <v>265.2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78" t="s">
        <v>329</v>
      </c>
      <c r="C26" s="78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530</v>
      </c>
      <c r="K26" s="75">
        <f t="shared" si="14"/>
        <v>530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 t="s">
        <v>333</v>
      </c>
      <c r="C31" s="78"/>
      <c r="D31" s="8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120</v>
      </c>
      <c r="K31" s="75">
        <f t="shared" si="14"/>
        <v>120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78" t="s">
        <v>334</v>
      </c>
      <c r="C32" s="78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240</v>
      </c>
      <c r="K32" s="75">
        <f t="shared" si="14"/>
        <v>240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78" t="s">
        <v>335</v>
      </c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123.3</v>
      </c>
      <c r="K33" s="75">
        <f t="shared" si="14"/>
        <v>123.3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1278.5</v>
      </c>
      <c r="K34" s="76">
        <f t="shared" si="17"/>
        <v>1278.5</v>
      </c>
      <c r="L34" s="76">
        <f t="shared" si="17"/>
        <v>0</v>
      </c>
      <c r="M34" s="76">
        <f t="shared" si="17"/>
        <v>0</v>
      </c>
      <c r="N34" s="76">
        <f>L34-J34</f>
        <v>-1278.5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5" si="18">SUM(G35:H35)</f>
        <v>0</v>
      </c>
      <c r="J35" s="75">
        <v>0</v>
      </c>
      <c r="K35" s="75">
        <f t="shared" ref="K35:K45" si="19">SUM(J35)</f>
        <v>0</v>
      </c>
      <c r="L35" s="75">
        <v>0</v>
      </c>
      <c r="M35" s="75">
        <f t="shared" ref="M35:M45" si="20">L35</f>
        <v>0</v>
      </c>
      <c r="N35" s="228"/>
      <c r="O35" s="75">
        <f t="shared" ref="O35:O45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78"/>
      <c r="C38" s="78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78"/>
      <c r="C39" s="78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78"/>
      <c r="C41" s="78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78"/>
      <c r="C42" s="78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78"/>
      <c r="C43" s="78"/>
      <c r="D43" s="75"/>
      <c r="E43" s="65"/>
      <c r="F43" s="75">
        <f>I43-E43</f>
        <v>0</v>
      </c>
      <c r="G43" s="75">
        <v>0</v>
      </c>
      <c r="H43" s="75">
        <v>0</v>
      </c>
      <c r="I43" s="75">
        <f>SUM(G43:H43)</f>
        <v>0</v>
      </c>
      <c r="J43" s="75">
        <v>0</v>
      </c>
      <c r="K43" s="75">
        <f>SUM(J43)</f>
        <v>0</v>
      </c>
      <c r="L43" s="75">
        <v>0</v>
      </c>
      <c r="M43" s="75">
        <f>L43</f>
        <v>0</v>
      </c>
      <c r="N43" s="228"/>
      <c r="O43" s="75"/>
    </row>
    <row r="44" spans="1:15" ht="23.25" customHeight="1" x14ac:dyDescent="0.25">
      <c r="A44" s="74"/>
      <c r="B44" s="78"/>
      <c r="C44" s="78"/>
      <c r="D44" s="75"/>
      <c r="E44" s="65"/>
      <c r="F44" s="75">
        <f>I44-E44</f>
        <v>0</v>
      </c>
      <c r="G44" s="75">
        <v>0</v>
      </c>
      <c r="H44" s="75">
        <v>0</v>
      </c>
      <c r="I44" s="75">
        <f>SUM(G44:H44)</f>
        <v>0</v>
      </c>
      <c r="J44" s="75">
        <v>0</v>
      </c>
      <c r="K44" s="75">
        <f>SUM(J44)</f>
        <v>0</v>
      </c>
      <c r="L44" s="75">
        <v>0</v>
      </c>
      <c r="M44" s="75">
        <f>L44</f>
        <v>0</v>
      </c>
      <c r="N44" s="228"/>
      <c r="O44" s="75"/>
    </row>
    <row r="45" spans="1:15" ht="23.25" customHeight="1" x14ac:dyDescent="0.25">
      <c r="A45" s="74"/>
      <c r="B45" s="78"/>
      <c r="C45" s="78"/>
      <c r="D45" s="75"/>
      <c r="E45" s="65"/>
      <c r="F45" s="75">
        <f t="shared" si="12"/>
        <v>0</v>
      </c>
      <c r="G45" s="75">
        <v>0</v>
      </c>
      <c r="H45" s="75">
        <v>0</v>
      </c>
      <c r="I45" s="75">
        <f t="shared" si="18"/>
        <v>0</v>
      </c>
      <c r="J45" s="75">
        <v>0</v>
      </c>
      <c r="K45" s="75">
        <f t="shared" si="19"/>
        <v>0</v>
      </c>
      <c r="L45" s="75">
        <v>0</v>
      </c>
      <c r="M45" s="75">
        <f t="shared" si="20"/>
        <v>0</v>
      </c>
      <c r="N45" s="228"/>
      <c r="O45" s="75">
        <f t="shared" si="21"/>
        <v>0</v>
      </c>
    </row>
    <row r="46" spans="1:15" ht="23.25" customHeight="1" x14ac:dyDescent="0.25">
      <c r="A46" s="26" t="s">
        <v>32</v>
      </c>
      <c r="B46" s="27"/>
      <c r="C46" s="28"/>
      <c r="D46" s="29"/>
      <c r="E46" s="76">
        <f>SUM(G35:G45)</f>
        <v>0</v>
      </c>
      <c r="F46" s="76">
        <f t="shared" si="12"/>
        <v>0</v>
      </c>
      <c r="G46" s="76">
        <f t="shared" ref="G46:M46" si="22">SUM(G35:G45)</f>
        <v>0</v>
      </c>
      <c r="H46" s="76">
        <f t="shared" si="22"/>
        <v>0</v>
      </c>
      <c r="I46" s="76">
        <f t="shared" si="22"/>
        <v>0</v>
      </c>
      <c r="J46" s="76">
        <f t="shared" si="22"/>
        <v>0</v>
      </c>
      <c r="K46" s="76">
        <f t="shared" si="22"/>
        <v>0</v>
      </c>
      <c r="L46" s="76">
        <f t="shared" si="22"/>
        <v>0</v>
      </c>
      <c r="M46" s="76">
        <f t="shared" si="22"/>
        <v>0</v>
      </c>
      <c r="N46" s="76">
        <f>L46-J46</f>
        <v>0</v>
      </c>
      <c r="O46" s="77">
        <f>SUM(O35:O45)</f>
        <v>0</v>
      </c>
    </row>
    <row r="47" spans="1:15" ht="23.25" customHeight="1" x14ac:dyDescent="0.25">
      <c r="A47" s="30" t="s">
        <v>33</v>
      </c>
      <c r="B47" s="31"/>
      <c r="C47" s="32"/>
      <c r="D47" s="33"/>
      <c r="E47" s="69">
        <f>B46+E34+E24+E14</f>
        <v>0</v>
      </c>
      <c r="F47" s="69">
        <f t="shared" si="12"/>
        <v>0</v>
      </c>
      <c r="G47" s="69">
        <f>E46+G34+G24+G14</f>
        <v>0</v>
      </c>
      <c r="H47" s="69">
        <f t="shared" ref="H47:M47" si="23">H46+H34+H24+H14</f>
        <v>0</v>
      </c>
      <c r="I47" s="69">
        <f t="shared" si="23"/>
        <v>0</v>
      </c>
      <c r="J47" s="69">
        <f t="shared" si="23"/>
        <v>1278.5</v>
      </c>
      <c r="K47" s="69">
        <f t="shared" si="23"/>
        <v>1278.5</v>
      </c>
      <c r="L47" s="69">
        <f t="shared" si="23"/>
        <v>0</v>
      </c>
      <c r="M47" s="69">
        <f t="shared" si="23"/>
        <v>0</v>
      </c>
      <c r="N47" s="69">
        <f>L47-J47</f>
        <v>-1278.5</v>
      </c>
      <c r="O47" s="77">
        <f>O46+O34+O24+O14</f>
        <v>0</v>
      </c>
    </row>
    <row r="48" spans="1:15" x14ac:dyDescent="0.25">
      <c r="A48" s="1"/>
      <c r="B48" s="1"/>
      <c r="C48" s="1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8">
    <mergeCell ref="O1:O2"/>
    <mergeCell ref="N5:N13"/>
    <mergeCell ref="N15:N23"/>
    <mergeCell ref="N25:N33"/>
    <mergeCell ref="N35:N45"/>
    <mergeCell ref="G1:I1"/>
    <mergeCell ref="J1:K1"/>
    <mergeCell ref="L1:N1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/>
  </sheetPr>
  <dimension ref="A1:O45"/>
  <sheetViews>
    <sheetView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4.625" bestFit="1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189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36"/>
      <c r="J3" s="36" t="s">
        <v>190</v>
      </c>
      <c r="K3" s="36"/>
      <c r="M3" s="71"/>
      <c r="N3" s="71">
        <v>0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I44</f>
        <v>0</v>
      </c>
      <c r="J4" s="65"/>
      <c r="K4" s="73">
        <f>K44</f>
        <v>0</v>
      </c>
      <c r="L4" s="24" t="s">
        <v>16</v>
      </c>
      <c r="M4" s="16"/>
      <c r="N4" s="198">
        <f>L44-J44+N3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8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78"/>
      <c r="C9" s="105"/>
      <c r="D9" s="8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10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78"/>
      <c r="D15" s="8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4" si="12">I25-E25</f>
        <v>0</v>
      </c>
      <c r="G25" s="75">
        <v>0</v>
      </c>
      <c r="H25" s="75">
        <v>0</v>
      </c>
      <c r="I25" s="75">
        <f t="shared" ref="I25:I32" si="13">SUM(G25:H25)</f>
        <v>0</v>
      </c>
      <c r="J25" s="75">
        <v>0</v>
      </c>
      <c r="K25" s="75">
        <f t="shared" ref="K25:K32" si="14">SUM(J25)</f>
        <v>0</v>
      </c>
      <c r="L25" s="75">
        <v>0</v>
      </c>
      <c r="M25" s="75">
        <f t="shared" ref="M25:M32" si="15">L25</f>
        <v>0</v>
      </c>
      <c r="N25" s="228"/>
      <c r="O25" s="75">
        <f t="shared" ref="O25:O32" si="16">G25+H25+L25</f>
        <v>0</v>
      </c>
    </row>
    <row r="26" spans="1:15" ht="23.25" customHeight="1" x14ac:dyDescent="0.25">
      <c r="A26" s="74"/>
      <c r="B26" s="78"/>
      <c r="C26" s="78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 t="s">
        <v>26</v>
      </c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 t="s">
        <v>28</v>
      </c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26" t="s">
        <v>29</v>
      </c>
      <c r="B33" s="27"/>
      <c r="C33" s="28"/>
      <c r="D33" s="29"/>
      <c r="E33" s="76">
        <f>SUM(E25:E32)</f>
        <v>0</v>
      </c>
      <c r="F33" s="76">
        <f t="shared" si="12"/>
        <v>0</v>
      </c>
      <c r="G33" s="76">
        <f t="shared" ref="G33:M33" si="17">SUM(G25:G32)</f>
        <v>0</v>
      </c>
      <c r="H33" s="76">
        <f t="shared" si="17"/>
        <v>0</v>
      </c>
      <c r="I33" s="76">
        <f t="shared" si="17"/>
        <v>0</v>
      </c>
      <c r="J33" s="76">
        <f t="shared" si="17"/>
        <v>0</v>
      </c>
      <c r="K33" s="76">
        <f t="shared" si="17"/>
        <v>0</v>
      </c>
      <c r="L33" s="76">
        <f t="shared" si="17"/>
        <v>0</v>
      </c>
      <c r="M33" s="76">
        <f t="shared" si="17"/>
        <v>0</v>
      </c>
      <c r="N33" s="76">
        <f>L33-J33</f>
        <v>0</v>
      </c>
      <c r="O33" s="77">
        <f>SUM(O25:O32)</f>
        <v>0</v>
      </c>
    </row>
    <row r="34" spans="1:15" ht="23.25" customHeight="1" x14ac:dyDescent="0.25">
      <c r="A34" s="74" t="s">
        <v>30</v>
      </c>
      <c r="B34" s="78"/>
      <c r="C34" s="78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ref="I34:I42" si="18">SUM(G34:H34)</f>
        <v>0</v>
      </c>
      <c r="J34" s="75">
        <v>0</v>
      </c>
      <c r="K34" s="75">
        <f t="shared" ref="K34:K42" si="19">SUM(J34)</f>
        <v>0</v>
      </c>
      <c r="L34" s="75">
        <v>0</v>
      </c>
      <c r="M34" s="75">
        <f t="shared" ref="M34:M42" si="20">L34</f>
        <v>0</v>
      </c>
      <c r="N34" s="228"/>
      <c r="O34" s="75">
        <f t="shared" ref="O34:O42" si="21">G34+H34+L34</f>
        <v>0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8"/>
        <v>0</v>
      </c>
      <c r="J35" s="75">
        <v>0</v>
      </c>
      <c r="K35" s="75">
        <f t="shared" si="19"/>
        <v>0</v>
      </c>
      <c r="L35" s="75">
        <v>0</v>
      </c>
      <c r="M35" s="75">
        <f t="shared" si="20"/>
        <v>0</v>
      </c>
      <c r="N35" s="228"/>
      <c r="O35" s="75">
        <f t="shared" si="21"/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 t="s">
        <v>36</v>
      </c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 t="s">
        <v>31</v>
      </c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26" t="s">
        <v>32</v>
      </c>
      <c r="B43" s="27"/>
      <c r="C43" s="28"/>
      <c r="D43" s="29"/>
      <c r="E43" s="76">
        <f>SUM(G34:G42)</f>
        <v>0</v>
      </c>
      <c r="F43" s="76">
        <f t="shared" si="12"/>
        <v>0</v>
      </c>
      <c r="G43" s="76">
        <f t="shared" ref="G43:M43" si="22">SUM(G34:G42)</f>
        <v>0</v>
      </c>
      <c r="H43" s="76">
        <f t="shared" si="22"/>
        <v>0</v>
      </c>
      <c r="I43" s="76">
        <f t="shared" si="22"/>
        <v>0</v>
      </c>
      <c r="J43" s="76">
        <f t="shared" si="22"/>
        <v>0</v>
      </c>
      <c r="K43" s="76">
        <f t="shared" si="22"/>
        <v>0</v>
      </c>
      <c r="L43" s="76">
        <f t="shared" si="22"/>
        <v>0</v>
      </c>
      <c r="M43" s="76">
        <f t="shared" si="22"/>
        <v>0</v>
      </c>
      <c r="N43" s="76">
        <f>L43-J43</f>
        <v>0</v>
      </c>
      <c r="O43" s="77">
        <f>SUM(O34:O42)</f>
        <v>0</v>
      </c>
    </row>
    <row r="44" spans="1:15" ht="23.25" customHeight="1" x14ac:dyDescent="0.25">
      <c r="A44" s="30" t="s">
        <v>33</v>
      </c>
      <c r="B44" s="31"/>
      <c r="C44" s="32"/>
      <c r="D44" s="33"/>
      <c r="E44" s="69">
        <f>B43+E33+E24+E14</f>
        <v>0</v>
      </c>
      <c r="F44" s="69">
        <f t="shared" si="12"/>
        <v>0</v>
      </c>
      <c r="G44" s="69">
        <f>E43+G33+G24+G14</f>
        <v>0</v>
      </c>
      <c r="H44" s="69">
        <f t="shared" ref="H44:M44" si="23">H43+H33+H24+H14</f>
        <v>0</v>
      </c>
      <c r="I44" s="69">
        <f t="shared" si="23"/>
        <v>0</v>
      </c>
      <c r="J44" s="69">
        <f t="shared" si="23"/>
        <v>0</v>
      </c>
      <c r="K44" s="69">
        <f t="shared" si="23"/>
        <v>0</v>
      </c>
      <c r="L44" s="69">
        <f t="shared" si="23"/>
        <v>0</v>
      </c>
      <c r="M44" s="69">
        <f t="shared" si="23"/>
        <v>0</v>
      </c>
      <c r="N44" s="69">
        <f>L44-J44</f>
        <v>0</v>
      </c>
      <c r="O44" s="77">
        <f>O43+O33+O24+O14</f>
        <v>0</v>
      </c>
    </row>
    <row r="45" spans="1:15" x14ac:dyDescent="0.25">
      <c r="A45" s="1"/>
      <c r="B45" s="1"/>
      <c r="C45" s="1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mergeCells count="8">
    <mergeCell ref="N15:N23"/>
    <mergeCell ref="N25:N32"/>
    <mergeCell ref="N34:N42"/>
    <mergeCell ref="G1:I1"/>
    <mergeCell ref="J1:K1"/>
    <mergeCell ref="L1:N1"/>
    <mergeCell ref="O1:O2"/>
    <mergeCell ref="N5:N13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O46"/>
  <sheetViews>
    <sheetView workbookViewId="0">
      <pane ySplit="4" topLeftCell="A5" activePane="bottomLeft" state="frozen"/>
      <selection pane="bottomLeft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191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191.5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191.48000000000002</v>
      </c>
      <c r="L4" s="24" t="s">
        <v>16</v>
      </c>
      <c r="M4" s="16"/>
      <c r="N4" s="198">
        <f>L45-J45+N3</f>
        <v>1.999999999998181E-2</v>
      </c>
      <c r="O4" s="25"/>
    </row>
    <row r="5" spans="1:15" ht="23.25" customHeight="1" x14ac:dyDescent="0.25">
      <c r="A5" s="74" t="s">
        <v>17</v>
      </c>
      <c r="B5" s="78"/>
      <c r="C5" s="78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78"/>
      <c r="C6" s="78"/>
      <c r="D6" s="75"/>
      <c r="E6" s="65"/>
      <c r="F6" s="75"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78"/>
      <c r="C7" s="78"/>
      <c r="D7" s="75"/>
      <c r="E7" s="65"/>
      <c r="F7" s="75"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/>
      <c r="B8" s="78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 t="s">
        <v>18</v>
      </c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78"/>
      <c r="C10" s="78"/>
      <c r="D10" s="85"/>
      <c r="E10" s="65"/>
      <c r="F10" s="75">
        <f>I10-E10</f>
        <v>0</v>
      </c>
      <c r="G10" s="75">
        <v>0</v>
      </c>
      <c r="H10" s="75">
        <v>0</v>
      </c>
      <c r="I10" s="75">
        <f>SUM(G10:H10)</f>
        <v>0</v>
      </c>
      <c r="J10" s="75">
        <v>0</v>
      </c>
      <c r="K10" s="75">
        <f>SUM(J10)</f>
        <v>0</v>
      </c>
      <c r="L10" s="75">
        <v>0</v>
      </c>
      <c r="M10" s="75">
        <f>L10</f>
        <v>0</v>
      </c>
      <c r="N10" s="228"/>
      <c r="O10" s="75">
        <f>G10+H10+L10</f>
        <v>0</v>
      </c>
    </row>
    <row r="11" spans="1:15" s="14" customFormat="1" ht="23.25" customHeight="1" x14ac:dyDescent="0.25">
      <c r="A11" s="63" t="s">
        <v>19</v>
      </c>
      <c r="B11" s="83"/>
      <c r="C11" s="83"/>
      <c r="D11" s="64"/>
      <c r="E11" s="83"/>
      <c r="F11" s="64">
        <f t="shared" si="0"/>
        <v>0</v>
      </c>
      <c r="G11" s="64">
        <v>0</v>
      </c>
      <c r="H11" s="64">
        <v>0</v>
      </c>
      <c r="I11" s="64">
        <f t="shared" si="1"/>
        <v>0</v>
      </c>
      <c r="J11" s="64">
        <v>0</v>
      </c>
      <c r="K11" s="64">
        <f t="shared" si="2"/>
        <v>0</v>
      </c>
      <c r="L11" s="64">
        <v>0</v>
      </c>
      <c r="M11" s="64">
        <f t="shared" si="3"/>
        <v>0</v>
      </c>
      <c r="N11" s="228"/>
      <c r="O11" s="64">
        <f t="shared" si="4"/>
        <v>0</v>
      </c>
    </row>
    <row r="12" spans="1:15" ht="23.25" customHeight="1" x14ac:dyDescent="0.25">
      <c r="A12" s="74"/>
      <c r="B12" s="83"/>
      <c r="C12" s="83"/>
      <c r="D12" s="8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78"/>
      <c r="C13" s="78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75"/>
      <c r="E15" s="65"/>
      <c r="F15" s="75">
        <f t="shared" ref="F15:F24" si="6">I15-E15</f>
        <v>0</v>
      </c>
      <c r="G15" s="75">
        <v>0</v>
      </c>
      <c r="H15" s="75">
        <v>0</v>
      </c>
      <c r="I15" s="75">
        <f t="shared" ref="I15:I24" si="7">SUM(G15:H15)</f>
        <v>0</v>
      </c>
      <c r="J15" s="94">
        <v>0</v>
      </c>
      <c r="K15" s="75">
        <f t="shared" ref="K15:K24" si="8">SUM(J15)</f>
        <v>0</v>
      </c>
      <c r="L15" s="75">
        <v>0</v>
      </c>
      <c r="M15" s="75">
        <f t="shared" ref="M15:M24" si="9">L15</f>
        <v>0</v>
      </c>
      <c r="N15" s="228"/>
      <c r="O15" s="75">
        <f t="shared" ref="O15:O24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83"/>
      <c r="C18" s="83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>I23-E23</f>
        <v>0</v>
      </c>
      <c r="G23" s="75">
        <v>0</v>
      </c>
      <c r="H23" s="75">
        <v>0</v>
      </c>
      <c r="I23" s="75">
        <f>SUM(G23:H23)</f>
        <v>0</v>
      </c>
      <c r="J23" s="75">
        <v>0</v>
      </c>
      <c r="K23" s="75">
        <f>SUM(J23)</f>
        <v>0</v>
      </c>
      <c r="L23" s="75">
        <v>0</v>
      </c>
      <c r="M23" s="75">
        <f>L23</f>
        <v>0</v>
      </c>
      <c r="N23" s="228"/>
      <c r="O23" s="75">
        <f>G23+H23+L23</f>
        <v>0</v>
      </c>
    </row>
    <row r="24" spans="1:15" ht="23.25" customHeight="1" x14ac:dyDescent="0.25">
      <c r="A24" s="74"/>
      <c r="B24" s="65"/>
      <c r="C24" s="65"/>
      <c r="D24" s="75"/>
      <c r="E24" s="65"/>
      <c r="F24" s="75">
        <f t="shared" si="6"/>
        <v>0</v>
      </c>
      <c r="G24" s="75">
        <v>0</v>
      </c>
      <c r="H24" s="75">
        <v>0</v>
      </c>
      <c r="I24" s="75">
        <f t="shared" si="7"/>
        <v>0</v>
      </c>
      <c r="J24" s="75">
        <v>0</v>
      </c>
      <c r="K24" s="75">
        <f t="shared" si="8"/>
        <v>0</v>
      </c>
      <c r="L24" s="75">
        <v>0</v>
      </c>
      <c r="M24" s="75">
        <f t="shared" si="9"/>
        <v>0</v>
      </c>
      <c r="N24" s="228"/>
      <c r="O24" s="75">
        <f t="shared" si="10"/>
        <v>0</v>
      </c>
    </row>
    <row r="25" spans="1:15" ht="23.25" customHeight="1" x14ac:dyDescent="0.25">
      <c r="A25" s="26" t="s">
        <v>24</v>
      </c>
      <c r="B25" s="27"/>
      <c r="C25" s="28"/>
      <c r="D25" s="29"/>
      <c r="E25" s="76">
        <f t="shared" ref="E25:M25" si="11">SUM(E15:E24)</f>
        <v>0</v>
      </c>
      <c r="F25" s="76">
        <f t="shared" si="11"/>
        <v>0</v>
      </c>
      <c r="G25" s="76">
        <f t="shared" si="11"/>
        <v>0</v>
      </c>
      <c r="H25" s="76">
        <f t="shared" si="11"/>
        <v>0</v>
      </c>
      <c r="I25" s="76">
        <f t="shared" si="11"/>
        <v>0</v>
      </c>
      <c r="J25" s="76">
        <f t="shared" si="11"/>
        <v>0</v>
      </c>
      <c r="K25" s="76">
        <f t="shared" si="11"/>
        <v>0</v>
      </c>
      <c r="L25" s="76">
        <f t="shared" si="11"/>
        <v>0</v>
      </c>
      <c r="M25" s="76">
        <f t="shared" si="11"/>
        <v>0</v>
      </c>
      <c r="N25" s="76">
        <f>L25-J25</f>
        <v>0</v>
      </c>
      <c r="O25" s="77">
        <f>SUM(O15:O24)</f>
        <v>0</v>
      </c>
    </row>
    <row r="26" spans="1:15" ht="23.25" customHeight="1" x14ac:dyDescent="0.25">
      <c r="A26" s="74" t="s">
        <v>25</v>
      </c>
      <c r="B26" s="83"/>
      <c r="C26" s="78"/>
      <c r="D26" s="85"/>
      <c r="E26" s="65"/>
      <c r="F26" s="75">
        <f t="shared" ref="F26:F45" si="12">I26-E26</f>
        <v>0</v>
      </c>
      <c r="G26" s="75">
        <v>0</v>
      </c>
      <c r="H26" s="75">
        <v>0</v>
      </c>
      <c r="I26" s="75">
        <f t="shared" ref="I26:I33" si="13">SUM(G26:H26)</f>
        <v>0</v>
      </c>
      <c r="J26" s="75">
        <v>0</v>
      </c>
      <c r="K26" s="75">
        <f t="shared" ref="K26:K33" si="14">SUM(J26)</f>
        <v>0</v>
      </c>
      <c r="L26" s="75">
        <v>0</v>
      </c>
      <c r="M26" s="75">
        <f t="shared" ref="M26:M33" si="15">L26</f>
        <v>0</v>
      </c>
      <c r="N26" s="228"/>
      <c r="O26" s="75">
        <f t="shared" ref="O26:O33" si="16">G26+H26+L26</f>
        <v>0</v>
      </c>
    </row>
    <row r="27" spans="1:15" ht="23.25" customHeight="1" x14ac:dyDescent="0.25">
      <c r="A27" s="74"/>
      <c r="B27" s="78"/>
      <c r="C27" s="78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B28" s="78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 t="s">
        <v>26</v>
      </c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SUM(E26:E33)</f>
        <v>0</v>
      </c>
      <c r="F34" s="76">
        <f t="shared" si="12"/>
        <v>0</v>
      </c>
      <c r="G34" s="76">
        <f t="shared" ref="G34:M34" si="17">SUM(G26:G33)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SUM(O26:O33)</f>
        <v>0</v>
      </c>
    </row>
    <row r="35" spans="1:15" ht="23.25" customHeight="1" x14ac:dyDescent="0.25">
      <c r="A35" s="74" t="s">
        <v>30</v>
      </c>
      <c r="B35" s="78"/>
      <c r="C35" s="78"/>
      <c r="D35" s="8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78" t="s">
        <v>192</v>
      </c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100</v>
      </c>
      <c r="K39" s="75">
        <f t="shared" si="19"/>
        <v>100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78" t="s">
        <v>193</v>
      </c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91.48</v>
      </c>
      <c r="K40" s="75">
        <f t="shared" si="19"/>
        <v>91.48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191.48000000000002</v>
      </c>
      <c r="K44" s="76">
        <f t="shared" si="22"/>
        <v>191.48000000000002</v>
      </c>
      <c r="L44" s="76">
        <f t="shared" si="22"/>
        <v>0</v>
      </c>
      <c r="M44" s="76">
        <f t="shared" si="22"/>
        <v>0</v>
      </c>
      <c r="N44" s="76">
        <f>L44-J44</f>
        <v>-191.48000000000002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B44+E34+E25+E14</f>
        <v>0</v>
      </c>
      <c r="F45" s="69">
        <f t="shared" si="12"/>
        <v>0</v>
      </c>
      <c r="G45" s="69">
        <f>E44+G34+G25+G14</f>
        <v>0</v>
      </c>
      <c r="H45" s="69">
        <f t="shared" ref="H45:M45" si="23">H44+H34+H25+H14</f>
        <v>0</v>
      </c>
      <c r="I45" s="69">
        <f t="shared" si="23"/>
        <v>0</v>
      </c>
      <c r="J45" s="69">
        <f t="shared" si="23"/>
        <v>191.48000000000002</v>
      </c>
      <c r="K45" s="69">
        <f t="shared" si="23"/>
        <v>191.48000000000002</v>
      </c>
      <c r="L45" s="69">
        <f t="shared" si="23"/>
        <v>0</v>
      </c>
      <c r="M45" s="69">
        <f t="shared" si="23"/>
        <v>0</v>
      </c>
      <c r="N45" s="69">
        <f>L45-J45</f>
        <v>-191.48000000000002</v>
      </c>
      <c r="O45" s="77">
        <f>O44+O34+O25+O14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4"/>
    <mergeCell ref="N26:N33"/>
    <mergeCell ref="N35:N43"/>
  </mergeCells>
  <pageMargins left="0.7" right="0.7" top="0.75" bottom="0.75" header="0.3" footer="0.3"/>
  <pageSetup paperSize="9" orientation="portrait" r:id="rId1"/>
  <ignoredErrors>
    <ignoredError sqref="I10" formula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O46"/>
  <sheetViews>
    <sheetView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194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L3" s="15" t="s">
        <v>137</v>
      </c>
      <c r="M3" s="71"/>
      <c r="N3" s="71">
        <v>188.19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188.19</v>
      </c>
      <c r="L4" s="16" t="s">
        <v>35</v>
      </c>
      <c r="M4" s="17"/>
      <c r="N4" s="198">
        <f>L45-K45+N3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 t="s">
        <v>195</v>
      </c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135</v>
      </c>
      <c r="K25" s="75">
        <f t="shared" ref="K25:K33" si="14">SUM(J25)</f>
        <v>135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78" t="s">
        <v>326</v>
      </c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53.19</v>
      </c>
      <c r="K28" s="75">
        <f t="shared" si="14"/>
        <v>53.19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188.19</v>
      </c>
      <c r="K34" s="76">
        <f t="shared" si="17"/>
        <v>188.19</v>
      </c>
      <c r="L34" s="76">
        <f t="shared" si="17"/>
        <v>0</v>
      </c>
      <c r="M34" s="76">
        <f t="shared" si="17"/>
        <v>0</v>
      </c>
      <c r="N34" s="76">
        <f>L34-J34</f>
        <v>-188.19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188.19</v>
      </c>
      <c r="K45" s="69">
        <f t="shared" si="23"/>
        <v>188.19</v>
      </c>
      <c r="L45" s="69">
        <f t="shared" si="23"/>
        <v>0</v>
      </c>
      <c r="M45" s="69">
        <f t="shared" si="23"/>
        <v>0</v>
      </c>
      <c r="N45" s="69">
        <f>L45-J45</f>
        <v>-188.19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O1:O2"/>
    <mergeCell ref="N5:N13"/>
    <mergeCell ref="N15:N23"/>
    <mergeCell ref="N25:N33"/>
    <mergeCell ref="N35:N43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O46"/>
  <sheetViews>
    <sheetView workbookViewId="0">
      <pane ySplit="4" topLeftCell="A29" activePane="bottomLeft" state="frozen"/>
      <selection pane="bottomLeft" activeCell="B39" sqref="B39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158" t="s">
        <v>196</v>
      </c>
      <c r="B1" s="161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612.17999999999995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564.5</v>
      </c>
      <c r="L4" s="24" t="s">
        <v>16</v>
      </c>
      <c r="M4" s="16"/>
      <c r="N4" s="198">
        <f>L45-J45+N3</f>
        <v>47.67999999999995</v>
      </c>
      <c r="O4" s="25"/>
    </row>
    <row r="5" spans="1:15" s="14" customFormat="1" ht="23.25" customHeight="1" x14ac:dyDescent="0.25">
      <c r="A5" s="63"/>
      <c r="B5" s="120" t="s">
        <v>197</v>
      </c>
      <c r="C5" s="152"/>
      <c r="D5" s="162"/>
      <c r="E5" s="152"/>
      <c r="F5" s="64">
        <f t="shared" ref="F5:F13" si="0">I5-E5</f>
        <v>0</v>
      </c>
      <c r="G5" s="64">
        <v>0</v>
      </c>
      <c r="H5" s="64">
        <v>0</v>
      </c>
      <c r="I5" s="64">
        <f t="shared" ref="I5:I13" si="1">SUM(G5:H5)</f>
        <v>0</v>
      </c>
      <c r="J5" s="64">
        <v>445.96</v>
      </c>
      <c r="K5" s="64">
        <f t="shared" ref="K5:K13" si="2">SUM(J5)</f>
        <v>445.96</v>
      </c>
      <c r="L5" s="64">
        <v>0</v>
      </c>
      <c r="M5" s="64">
        <f t="shared" ref="M5:M13" si="3">L5</f>
        <v>0</v>
      </c>
      <c r="N5" s="228"/>
      <c r="O5" s="64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8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/>
      <c r="F14" s="76">
        <f t="shared" ref="F14:M14" si="5">SUM(F5:F13)</f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445.96</v>
      </c>
      <c r="K14" s="76">
        <f t="shared" si="5"/>
        <v>445.96</v>
      </c>
      <c r="L14" s="76">
        <f t="shared" si="5"/>
        <v>0</v>
      </c>
      <c r="M14" s="76">
        <f t="shared" si="5"/>
        <v>0</v>
      </c>
      <c r="N14" s="76">
        <f>L14-J14</f>
        <v>-445.96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8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78"/>
      <c r="C16" s="78"/>
      <c r="D16" s="8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/>
      <c r="C18" s="78"/>
      <c r="D18" s="8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/>
      <c r="C19" s="78"/>
      <c r="D19" s="8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78"/>
      <c r="C20" s="78"/>
      <c r="D20" s="8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83"/>
      <c r="C21" s="83"/>
      <c r="D21" s="8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78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78"/>
      <c r="C36" s="78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78"/>
      <c r="C37" s="78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78" t="s">
        <v>391</v>
      </c>
      <c r="C38" s="78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118.54</v>
      </c>
      <c r="K38" s="75">
        <f t="shared" si="19"/>
        <v>118.54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78"/>
      <c r="C39" s="78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78"/>
      <c r="C42" s="78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118.54</v>
      </c>
      <c r="K44" s="76">
        <f t="shared" si="22"/>
        <v>118.54</v>
      </c>
      <c r="L44" s="76">
        <f t="shared" si="22"/>
        <v>0</v>
      </c>
      <c r="M44" s="76">
        <f t="shared" si="22"/>
        <v>0</v>
      </c>
      <c r="N44" s="76">
        <f>L44-J44</f>
        <v>-118.54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564.5</v>
      </c>
      <c r="K45" s="69">
        <f t="shared" si="23"/>
        <v>564.5</v>
      </c>
      <c r="L45" s="69">
        <f t="shared" si="23"/>
        <v>0</v>
      </c>
      <c r="M45" s="69">
        <f t="shared" si="23"/>
        <v>0</v>
      </c>
      <c r="N45" s="69">
        <f>L45-J45</f>
        <v>-564.5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O1:O2"/>
    <mergeCell ref="N5:N13"/>
    <mergeCell ref="N15:N23"/>
    <mergeCell ref="N25:N33"/>
    <mergeCell ref="N35:N43"/>
    <mergeCell ref="G1:I1"/>
    <mergeCell ref="J1:K1"/>
    <mergeCell ref="L1:N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</sheetPr>
  <dimension ref="A1:O48"/>
  <sheetViews>
    <sheetView workbookViewId="0">
      <pane ySplit="4" topLeftCell="A5" activePane="bottomLeft" state="frozen"/>
      <selection pane="bottomLeft" activeCell="M3" sqref="M3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58" t="s">
        <v>198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106" t="s">
        <v>134</v>
      </c>
      <c r="N3" s="106">
        <v>1279.6400000000001</v>
      </c>
      <c r="O3" s="60" t="s">
        <v>199</v>
      </c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I47</f>
        <v>0</v>
      </c>
      <c r="J4" s="65"/>
      <c r="K4" s="73">
        <f>K47</f>
        <v>0</v>
      </c>
      <c r="L4" s="24" t="s">
        <v>16</v>
      </c>
      <c r="M4" s="16"/>
      <c r="N4" s="131">
        <f>L47-J47+N3</f>
        <v>1279.6400000000001</v>
      </c>
      <c r="O4" s="25"/>
    </row>
    <row r="5" spans="1:15" ht="23.25" customHeight="1" x14ac:dyDescent="0.25">
      <c r="A5" s="74" t="s">
        <v>17</v>
      </c>
      <c r="B5" s="143" t="s">
        <v>200</v>
      </c>
      <c r="C5" s="163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5" si="6">I15-E15</f>
        <v>0</v>
      </c>
      <c r="G15" s="75">
        <v>0</v>
      </c>
      <c r="H15" s="75">
        <v>0</v>
      </c>
      <c r="I15" s="75">
        <f t="shared" ref="I15:I25" si="7">SUM(G15:H15)</f>
        <v>0</v>
      </c>
      <c r="J15" s="75">
        <v>0</v>
      </c>
      <c r="K15" s="75">
        <f t="shared" ref="K15:K25" si="8">SUM(J15)</f>
        <v>0</v>
      </c>
      <c r="L15" s="75">
        <v>0</v>
      </c>
      <c r="M15" s="75">
        <f t="shared" ref="M15:M25" si="9">L15</f>
        <v>0</v>
      </c>
      <c r="N15" s="228"/>
      <c r="O15" s="75">
        <f t="shared" ref="O15:O25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/>
      <c r="C18" s="78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107"/>
      <c r="C22" s="108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109"/>
      <c r="C23" s="108"/>
      <c r="D23" s="75"/>
      <c r="E23" s="65"/>
      <c r="F23" s="75">
        <f>I23-E23</f>
        <v>0</v>
      </c>
      <c r="G23" s="75">
        <v>0</v>
      </c>
      <c r="H23" s="75">
        <v>0</v>
      </c>
      <c r="I23" s="75">
        <f>SUM(G23:H23)</f>
        <v>0</v>
      </c>
      <c r="J23" s="75">
        <v>0</v>
      </c>
      <c r="K23" s="75">
        <f>SUM(J23)</f>
        <v>0</v>
      </c>
      <c r="L23" s="75">
        <v>0</v>
      </c>
      <c r="M23" s="75">
        <f>L23</f>
        <v>0</v>
      </c>
      <c r="N23" s="228"/>
      <c r="O23" s="75">
        <f>G23+H23+L23</f>
        <v>0</v>
      </c>
    </row>
    <row r="24" spans="1:15" ht="23.25" customHeight="1" x14ac:dyDescent="0.25">
      <c r="A24" s="74"/>
      <c r="B24" s="65"/>
      <c r="C24" s="65"/>
      <c r="D24" s="75"/>
      <c r="E24" s="65"/>
      <c r="F24" s="75">
        <f>I24-E24</f>
        <v>0</v>
      </c>
      <c r="G24" s="75">
        <v>0</v>
      </c>
      <c r="H24" s="75">
        <v>0</v>
      </c>
      <c r="I24" s="75">
        <f>SUM(G24:H24)</f>
        <v>0</v>
      </c>
      <c r="J24" s="75">
        <v>0</v>
      </c>
      <c r="K24" s="75">
        <f>SUM(J24)</f>
        <v>0</v>
      </c>
      <c r="L24" s="75">
        <v>0</v>
      </c>
      <c r="M24" s="75">
        <f>L24</f>
        <v>0</v>
      </c>
      <c r="N24" s="228"/>
      <c r="O24" s="75">
        <f>G24+H24+L24</f>
        <v>0</v>
      </c>
    </row>
    <row r="25" spans="1:15" ht="23.25" customHeight="1" x14ac:dyDescent="0.25">
      <c r="A25" s="74"/>
      <c r="B25" s="65"/>
      <c r="C25" s="65"/>
      <c r="D25" s="75"/>
      <c r="E25" s="65"/>
      <c r="F25" s="75">
        <f t="shared" si="6"/>
        <v>0</v>
      </c>
      <c r="G25" s="75">
        <v>0</v>
      </c>
      <c r="H25" s="75">
        <v>0</v>
      </c>
      <c r="I25" s="75">
        <f t="shared" si="7"/>
        <v>0</v>
      </c>
      <c r="J25" s="75">
        <v>0</v>
      </c>
      <c r="K25" s="75">
        <f t="shared" si="8"/>
        <v>0</v>
      </c>
      <c r="L25" s="75">
        <v>0</v>
      </c>
      <c r="M25" s="75">
        <f t="shared" si="9"/>
        <v>0</v>
      </c>
      <c r="N25" s="228"/>
      <c r="O25" s="75">
        <f t="shared" si="10"/>
        <v>0</v>
      </c>
    </row>
    <row r="26" spans="1:15" ht="23.25" customHeight="1" x14ac:dyDescent="0.25">
      <c r="A26" s="26" t="s">
        <v>24</v>
      </c>
      <c r="B26" s="27"/>
      <c r="C26" s="28"/>
      <c r="D26" s="29"/>
      <c r="E26" s="76">
        <f t="shared" ref="E26:M26" si="11">SUM(E15:E25)</f>
        <v>0</v>
      </c>
      <c r="F26" s="76">
        <f t="shared" si="11"/>
        <v>0</v>
      </c>
      <c r="G26" s="76">
        <f t="shared" si="11"/>
        <v>0</v>
      </c>
      <c r="H26" s="76">
        <f t="shared" si="11"/>
        <v>0</v>
      </c>
      <c r="I26" s="76">
        <f t="shared" si="11"/>
        <v>0</v>
      </c>
      <c r="J26" s="76">
        <f t="shared" si="11"/>
        <v>0</v>
      </c>
      <c r="K26" s="76">
        <f t="shared" si="11"/>
        <v>0</v>
      </c>
      <c r="L26" s="76">
        <v>0</v>
      </c>
      <c r="M26" s="76">
        <f t="shared" si="11"/>
        <v>0</v>
      </c>
      <c r="N26" s="76">
        <f>L26-J26</f>
        <v>0</v>
      </c>
      <c r="O26" s="77">
        <f>SUM(O15:O25)</f>
        <v>0</v>
      </c>
    </row>
    <row r="27" spans="1:15" ht="23.25" customHeight="1" x14ac:dyDescent="0.25">
      <c r="A27" s="74" t="s">
        <v>25</v>
      </c>
      <c r="B27" s="65"/>
      <c r="C27" s="65"/>
      <c r="D27" s="75"/>
      <c r="E27" s="65"/>
      <c r="F27" s="75">
        <f t="shared" ref="F27:F47" si="12">I27-E27</f>
        <v>0</v>
      </c>
      <c r="G27" s="75">
        <v>0</v>
      </c>
      <c r="H27" s="75">
        <v>0</v>
      </c>
      <c r="I27" s="75">
        <f t="shared" ref="I27:I35" si="13">SUM(G27:H27)</f>
        <v>0</v>
      </c>
      <c r="J27" s="75">
        <v>0</v>
      </c>
      <c r="K27" s="75">
        <f t="shared" ref="K27:K35" si="14">SUM(J27)</f>
        <v>0</v>
      </c>
      <c r="L27" s="75">
        <v>0</v>
      </c>
      <c r="M27" s="75">
        <f t="shared" ref="M27:M35" si="15">L27</f>
        <v>0</v>
      </c>
      <c r="N27" s="228"/>
      <c r="O27" s="75">
        <f t="shared" ref="O27:O35" si="16">G27+H27+L27</f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 t="s">
        <v>26</v>
      </c>
      <c r="B30" s="78"/>
      <c r="C30" s="78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 t="s">
        <v>28</v>
      </c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74"/>
      <c r="B34" s="65"/>
      <c r="C34" s="65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3"/>
        <v>0</v>
      </c>
      <c r="J34" s="75">
        <v>0</v>
      </c>
      <c r="K34" s="75">
        <f t="shared" si="14"/>
        <v>0</v>
      </c>
      <c r="L34" s="75">
        <v>0</v>
      </c>
      <c r="M34" s="75">
        <f t="shared" si="15"/>
        <v>0</v>
      </c>
      <c r="N34" s="228"/>
      <c r="O34" s="75">
        <f t="shared" si="16"/>
        <v>0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3"/>
        <v>0</v>
      </c>
      <c r="J35" s="75">
        <v>0</v>
      </c>
      <c r="K35" s="75">
        <f t="shared" si="14"/>
        <v>0</v>
      </c>
      <c r="L35" s="75">
        <v>0</v>
      </c>
      <c r="M35" s="75">
        <f t="shared" si="15"/>
        <v>0</v>
      </c>
      <c r="N35" s="228"/>
      <c r="O35" s="75">
        <f t="shared" si="16"/>
        <v>0</v>
      </c>
    </row>
    <row r="36" spans="1:15" ht="23.25" customHeight="1" x14ac:dyDescent="0.25">
      <c r="A36" s="26" t="s">
        <v>29</v>
      </c>
      <c r="B36" s="27"/>
      <c r="C36" s="28"/>
      <c r="D36" s="29"/>
      <c r="E36" s="76">
        <f>SUM(E27:E35)</f>
        <v>0</v>
      </c>
      <c r="F36" s="76">
        <f t="shared" si="12"/>
        <v>0</v>
      </c>
      <c r="G36" s="76">
        <f t="shared" ref="G36:M36" si="17">SUM(G27:G35)</f>
        <v>0</v>
      </c>
      <c r="H36" s="76">
        <f t="shared" si="17"/>
        <v>0</v>
      </c>
      <c r="I36" s="76">
        <f t="shared" si="17"/>
        <v>0</v>
      </c>
      <c r="J36" s="76">
        <f t="shared" si="17"/>
        <v>0</v>
      </c>
      <c r="K36" s="76">
        <f t="shared" si="17"/>
        <v>0</v>
      </c>
      <c r="L36" s="76">
        <f t="shared" si="17"/>
        <v>0</v>
      </c>
      <c r="M36" s="76">
        <f t="shared" si="17"/>
        <v>0</v>
      </c>
      <c r="N36" s="76">
        <f>L36-J36</f>
        <v>0</v>
      </c>
      <c r="O36" s="77">
        <f>SUM(O27:O35)</f>
        <v>0</v>
      </c>
    </row>
    <row r="37" spans="1:15" ht="23.25" customHeight="1" x14ac:dyDescent="0.25">
      <c r="A37" s="74" t="s">
        <v>30</v>
      </c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ref="I37:I45" si="18">SUM(G37:H37)</f>
        <v>0</v>
      </c>
      <c r="J37" s="75">
        <v>0</v>
      </c>
      <c r="K37" s="75">
        <f t="shared" ref="K37:K45" si="19">SUM(J37)</f>
        <v>0</v>
      </c>
      <c r="L37" s="75">
        <v>0</v>
      </c>
      <c r="M37" s="75">
        <f t="shared" ref="M37:M45" si="20">L37</f>
        <v>0</v>
      </c>
      <c r="N37" s="228"/>
      <c r="O37" s="75">
        <f t="shared" ref="O37:O45" si="21">G37+H37+L37</f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 t="s">
        <v>36</v>
      </c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 t="s">
        <v>31</v>
      </c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74"/>
      <c r="B44" s="65"/>
      <c r="C44" s="65"/>
      <c r="D44" s="75"/>
      <c r="E44" s="65"/>
      <c r="F44" s="75">
        <f t="shared" si="12"/>
        <v>0</v>
      </c>
      <c r="G44" s="75">
        <v>0</v>
      </c>
      <c r="H44" s="75">
        <v>0</v>
      </c>
      <c r="I44" s="75">
        <f t="shared" si="18"/>
        <v>0</v>
      </c>
      <c r="J44" s="75">
        <v>0</v>
      </c>
      <c r="K44" s="75">
        <f t="shared" si="19"/>
        <v>0</v>
      </c>
      <c r="L44" s="75">
        <v>0</v>
      </c>
      <c r="M44" s="75">
        <f t="shared" si="20"/>
        <v>0</v>
      </c>
      <c r="N44" s="228"/>
      <c r="O44" s="75">
        <f t="shared" si="21"/>
        <v>0</v>
      </c>
    </row>
    <row r="45" spans="1:15" ht="23.25" customHeight="1" x14ac:dyDescent="0.25">
      <c r="A45" s="74"/>
      <c r="B45" s="65"/>
      <c r="C45" s="65"/>
      <c r="D45" s="75"/>
      <c r="E45" s="65"/>
      <c r="F45" s="75">
        <f t="shared" si="12"/>
        <v>0</v>
      </c>
      <c r="G45" s="75">
        <v>0</v>
      </c>
      <c r="H45" s="75">
        <v>0</v>
      </c>
      <c r="I45" s="75">
        <f t="shared" si="18"/>
        <v>0</v>
      </c>
      <c r="J45" s="75">
        <v>0</v>
      </c>
      <c r="K45" s="75">
        <f t="shared" si="19"/>
        <v>0</v>
      </c>
      <c r="L45" s="75">
        <v>0</v>
      </c>
      <c r="M45" s="75">
        <f t="shared" si="20"/>
        <v>0</v>
      </c>
      <c r="N45" s="228"/>
      <c r="O45" s="75">
        <f t="shared" si="21"/>
        <v>0</v>
      </c>
    </row>
    <row r="46" spans="1:15" ht="23.25" customHeight="1" x14ac:dyDescent="0.25">
      <c r="A46" s="26" t="s">
        <v>32</v>
      </c>
      <c r="B46" s="27"/>
      <c r="C46" s="28"/>
      <c r="D46" s="29"/>
      <c r="E46" s="76">
        <f>SUM(G37:G45)</f>
        <v>0</v>
      </c>
      <c r="F46" s="76">
        <f t="shared" si="12"/>
        <v>0</v>
      </c>
      <c r="G46" s="76">
        <f t="shared" ref="G46:M46" si="22">SUM(G37:G45)</f>
        <v>0</v>
      </c>
      <c r="H46" s="76">
        <f t="shared" si="22"/>
        <v>0</v>
      </c>
      <c r="I46" s="76">
        <f t="shared" si="22"/>
        <v>0</v>
      </c>
      <c r="J46" s="76">
        <f t="shared" si="22"/>
        <v>0</v>
      </c>
      <c r="K46" s="76">
        <f t="shared" si="22"/>
        <v>0</v>
      </c>
      <c r="L46" s="76">
        <f t="shared" si="22"/>
        <v>0</v>
      </c>
      <c r="M46" s="76">
        <f t="shared" si="22"/>
        <v>0</v>
      </c>
      <c r="N46" s="76">
        <f>L46-J46</f>
        <v>0</v>
      </c>
      <c r="O46" s="77">
        <f>SUM(O37:O45)</f>
        <v>0</v>
      </c>
    </row>
    <row r="47" spans="1:15" ht="23.25" customHeight="1" x14ac:dyDescent="0.25">
      <c r="A47" s="30" t="s">
        <v>33</v>
      </c>
      <c r="B47" s="31"/>
      <c r="C47" s="32"/>
      <c r="D47" s="33"/>
      <c r="E47" s="69">
        <f>B46+E36+E26+E14</f>
        <v>0</v>
      </c>
      <c r="F47" s="69">
        <f t="shared" si="12"/>
        <v>0</v>
      </c>
      <c r="G47" s="69">
        <f>E46+G36+G26+G14</f>
        <v>0</v>
      </c>
      <c r="H47" s="69">
        <f t="shared" ref="H47:M47" si="23">H46+H36+H26+H14</f>
        <v>0</v>
      </c>
      <c r="I47" s="69">
        <f t="shared" si="23"/>
        <v>0</v>
      </c>
      <c r="J47" s="69">
        <f t="shared" si="23"/>
        <v>0</v>
      </c>
      <c r="K47" s="69">
        <f t="shared" si="23"/>
        <v>0</v>
      </c>
      <c r="L47" s="69">
        <f t="shared" si="23"/>
        <v>0</v>
      </c>
      <c r="M47" s="69">
        <f t="shared" si="23"/>
        <v>0</v>
      </c>
      <c r="N47" s="69">
        <f>L47-J47</f>
        <v>0</v>
      </c>
      <c r="O47" s="77">
        <f>O46+O36+O26+O14</f>
        <v>0</v>
      </c>
    </row>
    <row r="48" spans="1:15" x14ac:dyDescent="0.25">
      <c r="A48" s="1"/>
      <c r="B48" s="1"/>
      <c r="C48" s="1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8">
    <mergeCell ref="N15:N25"/>
    <mergeCell ref="N27:N35"/>
    <mergeCell ref="N37:N45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2D050"/>
  </sheetPr>
  <dimension ref="A1:O51"/>
  <sheetViews>
    <sheetView zoomScaleNormal="100" workbookViewId="0">
      <pane ySplit="4" topLeftCell="A26" activePane="bottomLeft" state="frozen"/>
      <selection pane="bottomLeft" activeCell="C37" sqref="C37"/>
    </sheetView>
  </sheetViews>
  <sheetFormatPr baseColWidth="10" defaultColWidth="9" defaultRowHeight="15.75" x14ac:dyDescent="0.25"/>
  <cols>
    <col min="1" max="1" width="12.125" customWidth="1"/>
    <col min="2" max="2" width="24.625" bestFit="1" customWidth="1"/>
    <col min="3" max="3" width="28.7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201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202</v>
      </c>
      <c r="N3" s="71">
        <v>1763.39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I48</f>
        <v>3328.97</v>
      </c>
      <c r="J4" s="65"/>
      <c r="K4" s="73">
        <f>K48</f>
        <v>3003.2200000000003</v>
      </c>
      <c r="L4" s="16" t="s">
        <v>35</v>
      </c>
      <c r="M4" s="17"/>
      <c r="N4" s="166">
        <f>L48-J4+N3-J48</f>
        <v>3023.17</v>
      </c>
      <c r="O4" s="25"/>
    </row>
    <row r="5" spans="1:15" ht="23.25" customHeight="1" x14ac:dyDescent="0.25">
      <c r="A5" s="74" t="s">
        <v>17</v>
      </c>
      <c r="B5" s="78" t="s">
        <v>203</v>
      </c>
      <c r="C5" s="134"/>
      <c r="D5" s="75"/>
      <c r="E5" s="65"/>
      <c r="F5" s="75">
        <f t="shared" ref="F5:F13" si="0">I5-E5</f>
        <v>378.35</v>
      </c>
      <c r="G5" s="75">
        <v>378.35</v>
      </c>
      <c r="H5" s="75">
        <v>0</v>
      </c>
      <c r="I5" s="75">
        <f t="shared" ref="I5:I13" si="1">SUM(G5:H5)</f>
        <v>378.35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378.35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 t="s">
        <v>204</v>
      </c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1903.21</v>
      </c>
      <c r="K11" s="75">
        <f t="shared" si="2"/>
        <v>1903.21</v>
      </c>
      <c r="L11" s="75">
        <v>1903.21</v>
      </c>
      <c r="M11" s="75">
        <f t="shared" si="3"/>
        <v>1903.21</v>
      </c>
      <c r="N11" s="228"/>
      <c r="O11" s="75">
        <f t="shared" si="4"/>
        <v>1903.21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378.35</v>
      </c>
      <c r="G14" s="76">
        <f t="shared" si="5"/>
        <v>378.35</v>
      </c>
      <c r="H14" s="76">
        <f t="shared" si="5"/>
        <v>0</v>
      </c>
      <c r="I14" s="76">
        <f t="shared" si="5"/>
        <v>378.35</v>
      </c>
      <c r="J14" s="76">
        <f t="shared" si="5"/>
        <v>1903.21</v>
      </c>
      <c r="K14" s="76">
        <f t="shared" si="5"/>
        <v>1903.21</v>
      </c>
      <c r="L14" s="76">
        <f t="shared" si="5"/>
        <v>1903.21</v>
      </c>
      <c r="M14" s="76">
        <f t="shared" si="5"/>
        <v>1903.21</v>
      </c>
      <c r="N14" s="76">
        <f>L14-J14</f>
        <v>0</v>
      </c>
      <c r="O14" s="77">
        <f>SUM(O5:O13)</f>
        <v>2281.56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 t="s">
        <v>60</v>
      </c>
      <c r="C18" s="65" t="s">
        <v>205</v>
      </c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1750.28</v>
      </c>
      <c r="M18" s="75">
        <f t="shared" si="9"/>
        <v>1750.28</v>
      </c>
      <c r="N18" s="228"/>
      <c r="O18" s="75">
        <f t="shared" si="10"/>
        <v>1750.28</v>
      </c>
    </row>
    <row r="19" spans="1:15" ht="23.25" customHeight="1" x14ac:dyDescent="0.25">
      <c r="A19" s="74"/>
      <c r="B19" s="167" t="s">
        <v>206</v>
      </c>
      <c r="C19" s="78"/>
      <c r="D19" s="8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1100.01</v>
      </c>
      <c r="K19" s="75">
        <f t="shared" si="8"/>
        <v>1100.01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1100.01</v>
      </c>
      <c r="K24" s="76">
        <f t="shared" si="11"/>
        <v>1100.01</v>
      </c>
      <c r="L24" s="76">
        <f t="shared" si="11"/>
        <v>1750.28</v>
      </c>
      <c r="M24" s="76">
        <f t="shared" si="11"/>
        <v>1750.28</v>
      </c>
      <c r="N24" s="76">
        <f>L24-J24</f>
        <v>650.27</v>
      </c>
      <c r="O24" s="77">
        <f>SUM(O15:O23)</f>
        <v>1750.28</v>
      </c>
    </row>
    <row r="25" spans="1:15" ht="23.25" customHeight="1" x14ac:dyDescent="0.25">
      <c r="A25" s="74"/>
      <c r="B25" s="65"/>
      <c r="C25" s="65"/>
      <c r="D25" s="75"/>
      <c r="E25" s="65"/>
      <c r="F25" s="75">
        <f t="shared" ref="F25:F48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 t="s">
        <v>25</v>
      </c>
      <c r="B27" s="83" t="s">
        <v>207</v>
      </c>
      <c r="C27" s="83" t="s">
        <v>120</v>
      </c>
      <c r="D27" s="85"/>
      <c r="E27" s="78"/>
      <c r="F27" s="64">
        <f t="shared" si="12"/>
        <v>1488.85</v>
      </c>
      <c r="G27" s="75">
        <v>1488.85</v>
      </c>
      <c r="H27" s="75">
        <v>0</v>
      </c>
      <c r="I27" s="75">
        <f t="shared" si="13"/>
        <v>1488.85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1488.85</v>
      </c>
    </row>
    <row r="28" spans="1:15" ht="23.25" customHeight="1" x14ac:dyDescent="0.25">
      <c r="A28" s="74"/>
      <c r="B28" s="65" t="s">
        <v>208</v>
      </c>
      <c r="C28" s="65" t="s">
        <v>120</v>
      </c>
      <c r="D28" s="75"/>
      <c r="E28" s="65"/>
      <c r="F28" s="75">
        <f t="shared" si="12"/>
        <v>121.2</v>
      </c>
      <c r="G28" s="75">
        <v>121.2</v>
      </c>
      <c r="H28" s="75">
        <v>0</v>
      </c>
      <c r="I28" s="75">
        <f t="shared" si="13"/>
        <v>121.2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121.2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 t="s">
        <v>26</v>
      </c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 t="s">
        <v>28</v>
      </c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1610.05</v>
      </c>
      <c r="G34" s="76">
        <f t="shared" ref="G34:M34" si="17">SUM(G25:G33)</f>
        <v>1610.05</v>
      </c>
      <c r="H34" s="76">
        <f t="shared" si="17"/>
        <v>0</v>
      </c>
      <c r="I34" s="76">
        <f t="shared" si="17"/>
        <v>1610.05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1610.05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6" si="18">SUM(G35:H35)</f>
        <v>0</v>
      </c>
      <c r="J35" s="75">
        <v>0</v>
      </c>
      <c r="K35" s="75">
        <f t="shared" ref="K35:K46" si="19">SUM(J35)</f>
        <v>0</v>
      </c>
      <c r="L35" s="75">
        <v>0</v>
      </c>
      <c r="M35" s="75">
        <f t="shared" ref="M35:M46" si="20">L35</f>
        <v>0</v>
      </c>
      <c r="N35" s="228"/>
      <c r="O35" s="75">
        <f t="shared" ref="O35:O46" si="21">G35+H35+L35</f>
        <v>0</v>
      </c>
    </row>
    <row r="36" spans="1:15" ht="23.25" customHeight="1" x14ac:dyDescent="0.25"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 t="s">
        <v>30</v>
      </c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 t="s">
        <v>36</v>
      </c>
      <c r="B40" s="83" t="s">
        <v>60</v>
      </c>
      <c r="C40" s="83" t="s">
        <v>120</v>
      </c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609.51</v>
      </c>
      <c r="M40" s="75">
        <f t="shared" si="20"/>
        <v>609.51</v>
      </c>
      <c r="N40" s="228"/>
      <c r="O40" s="75">
        <f t="shared" si="21"/>
        <v>609.51</v>
      </c>
    </row>
    <row r="41" spans="1:15" ht="23.25" customHeight="1" x14ac:dyDescent="0.25">
      <c r="A41" s="74"/>
      <c r="B41" s="83" t="s">
        <v>400</v>
      </c>
      <c r="C41" s="83" t="s">
        <v>120</v>
      </c>
      <c r="D41" s="75"/>
      <c r="E41" s="65"/>
      <c r="F41" s="75">
        <f>I41-E41</f>
        <v>68.739999999999995</v>
      </c>
      <c r="G41" s="75">
        <v>68.739999999999995</v>
      </c>
      <c r="H41" s="75">
        <v>0</v>
      </c>
      <c r="I41" s="75">
        <f>SUM(G41:H41)</f>
        <v>68.739999999999995</v>
      </c>
      <c r="J41" s="75">
        <v>0</v>
      </c>
      <c r="K41" s="75">
        <f>SUM(J41)</f>
        <v>0</v>
      </c>
      <c r="L41" s="75">
        <v>0</v>
      </c>
      <c r="M41" s="75">
        <f>L41</f>
        <v>0</v>
      </c>
      <c r="N41" s="228"/>
      <c r="O41" s="75">
        <f>G41+H41+L41</f>
        <v>68.739999999999995</v>
      </c>
    </row>
    <row r="42" spans="1:15" ht="23.25" customHeight="1" x14ac:dyDescent="0.25">
      <c r="A42" s="74"/>
      <c r="B42" s="83" t="s">
        <v>402</v>
      </c>
      <c r="C42" s="83" t="s">
        <v>401</v>
      </c>
      <c r="D42" s="75"/>
      <c r="E42" s="65"/>
      <c r="F42" s="75">
        <f t="shared" ref="F42:F44" si="22">I42-E42</f>
        <v>819</v>
      </c>
      <c r="G42" s="75">
        <v>819</v>
      </c>
      <c r="H42" s="75">
        <v>0</v>
      </c>
      <c r="I42" s="75">
        <f t="shared" ref="I42:I44" si="23">SUM(G42:H42)</f>
        <v>819</v>
      </c>
      <c r="J42" s="75">
        <v>0</v>
      </c>
      <c r="K42" s="75">
        <v>0</v>
      </c>
      <c r="L42" s="75">
        <v>0</v>
      </c>
      <c r="M42" s="75">
        <f t="shared" ref="M42:M44" si="24">L42</f>
        <v>0</v>
      </c>
      <c r="N42" s="228"/>
      <c r="O42" s="75"/>
    </row>
    <row r="43" spans="1:15" ht="23.25" customHeight="1" x14ac:dyDescent="0.25">
      <c r="A43" s="74"/>
      <c r="B43" s="83" t="s">
        <v>403</v>
      </c>
      <c r="C43" s="83" t="s">
        <v>120</v>
      </c>
      <c r="D43" s="75"/>
      <c r="E43" s="65"/>
      <c r="F43" s="75">
        <f t="shared" si="22"/>
        <v>452.83</v>
      </c>
      <c r="G43" s="75">
        <v>452.83</v>
      </c>
      <c r="H43" s="75">
        <v>0</v>
      </c>
      <c r="I43" s="75">
        <f t="shared" si="23"/>
        <v>452.83</v>
      </c>
      <c r="J43" s="75">
        <v>0</v>
      </c>
      <c r="K43" s="75">
        <f t="shared" ref="K43:K44" si="25">SUM(J43)</f>
        <v>0</v>
      </c>
      <c r="L43" s="75">
        <v>0</v>
      </c>
      <c r="M43" s="75">
        <f t="shared" si="24"/>
        <v>0</v>
      </c>
      <c r="N43" s="228"/>
      <c r="O43" s="75"/>
    </row>
    <row r="44" spans="1:15" ht="23.25" customHeight="1" x14ac:dyDescent="0.25">
      <c r="A44" s="74"/>
      <c r="B44" s="83"/>
      <c r="C44" s="83"/>
      <c r="D44" s="75"/>
      <c r="E44" s="65"/>
      <c r="F44" s="75">
        <f t="shared" si="22"/>
        <v>0</v>
      </c>
      <c r="G44" s="75">
        <v>0</v>
      </c>
      <c r="H44" s="75">
        <v>0</v>
      </c>
      <c r="I44" s="75">
        <f t="shared" si="23"/>
        <v>0</v>
      </c>
      <c r="J44" s="75">
        <v>0</v>
      </c>
      <c r="K44" s="75">
        <f t="shared" si="25"/>
        <v>0</v>
      </c>
      <c r="L44" s="75">
        <v>0</v>
      </c>
      <c r="M44" s="75">
        <f t="shared" si="24"/>
        <v>0</v>
      </c>
      <c r="N44" s="228"/>
      <c r="O44" s="75"/>
    </row>
    <row r="45" spans="1:15" ht="23.25" customHeight="1" x14ac:dyDescent="0.25">
      <c r="A45" s="74"/>
      <c r="B45" s="65"/>
      <c r="C45" s="65"/>
      <c r="D45" s="75"/>
      <c r="E45" s="65"/>
      <c r="F45" s="75">
        <f t="shared" si="12"/>
        <v>0</v>
      </c>
      <c r="G45" s="75">
        <v>0</v>
      </c>
      <c r="H45" s="75">
        <v>0</v>
      </c>
      <c r="I45" s="75">
        <f t="shared" si="18"/>
        <v>0</v>
      </c>
      <c r="J45" s="75">
        <v>0</v>
      </c>
      <c r="K45" s="75">
        <f t="shared" si="19"/>
        <v>0</v>
      </c>
      <c r="L45" s="75">
        <v>0</v>
      </c>
      <c r="M45" s="75">
        <f t="shared" si="20"/>
        <v>0</v>
      </c>
      <c r="N45" s="228"/>
      <c r="O45" s="75">
        <f t="shared" si="21"/>
        <v>0</v>
      </c>
    </row>
    <row r="46" spans="1:15" ht="23.25" customHeight="1" x14ac:dyDescent="0.25">
      <c r="A46" s="74" t="s">
        <v>31</v>
      </c>
      <c r="B46" s="65"/>
      <c r="C46" s="65"/>
      <c r="D46" s="75"/>
      <c r="E46" s="65"/>
      <c r="F46" s="75">
        <f t="shared" si="12"/>
        <v>0</v>
      </c>
      <c r="G46" s="75">
        <v>0</v>
      </c>
      <c r="H46" s="75">
        <v>0</v>
      </c>
      <c r="I46" s="75">
        <f t="shared" si="18"/>
        <v>0</v>
      </c>
      <c r="J46" s="75">
        <v>0</v>
      </c>
      <c r="K46" s="75">
        <f t="shared" si="19"/>
        <v>0</v>
      </c>
      <c r="L46" s="75">
        <v>0</v>
      </c>
      <c r="M46" s="75">
        <f t="shared" si="20"/>
        <v>0</v>
      </c>
      <c r="N46" s="228"/>
      <c r="O46" s="75">
        <f t="shared" si="21"/>
        <v>0</v>
      </c>
    </row>
    <row r="47" spans="1:15" ht="23.25" customHeight="1" x14ac:dyDescent="0.25">
      <c r="A47" s="26" t="s">
        <v>32</v>
      </c>
      <c r="B47" s="27"/>
      <c r="C47" s="28"/>
      <c r="D47" s="29"/>
      <c r="E47" s="76">
        <f>SUM(G35:G46)</f>
        <v>1340.57</v>
      </c>
      <c r="F47" s="76">
        <f t="shared" si="12"/>
        <v>0</v>
      </c>
      <c r="G47" s="76">
        <f t="shared" ref="G47:M47" si="26">SUM(G35:G46)</f>
        <v>1340.57</v>
      </c>
      <c r="H47" s="76">
        <f t="shared" si="26"/>
        <v>0</v>
      </c>
      <c r="I47" s="76">
        <f t="shared" si="26"/>
        <v>1340.57</v>
      </c>
      <c r="J47" s="76">
        <f t="shared" si="26"/>
        <v>0</v>
      </c>
      <c r="K47" s="76">
        <f t="shared" si="26"/>
        <v>0</v>
      </c>
      <c r="L47" s="76">
        <f t="shared" si="26"/>
        <v>609.51</v>
      </c>
      <c r="M47" s="76">
        <f t="shared" si="26"/>
        <v>609.51</v>
      </c>
      <c r="N47" s="76">
        <f>L47-J47</f>
        <v>609.51</v>
      </c>
      <c r="O47" s="77">
        <f>SUM(O35:O46)</f>
        <v>678.25</v>
      </c>
    </row>
    <row r="48" spans="1:15" ht="23.25" customHeight="1" x14ac:dyDescent="0.25">
      <c r="A48" s="30" t="s">
        <v>33</v>
      </c>
      <c r="B48" s="31"/>
      <c r="C48" s="32"/>
      <c r="D48" s="33"/>
      <c r="E48" s="69">
        <f>B47+E34+E24+E14</f>
        <v>0</v>
      </c>
      <c r="F48" s="69">
        <f t="shared" si="12"/>
        <v>3328.97</v>
      </c>
      <c r="G48" s="69">
        <f>E47+G34+G24+G14</f>
        <v>3328.97</v>
      </c>
      <c r="H48" s="69">
        <f t="shared" ref="H48:M48" si="27">H47+H34+H24+H14</f>
        <v>0</v>
      </c>
      <c r="I48" s="69">
        <f t="shared" si="27"/>
        <v>3328.97</v>
      </c>
      <c r="J48" s="69">
        <f t="shared" si="27"/>
        <v>3003.2200000000003</v>
      </c>
      <c r="K48" s="69">
        <f t="shared" si="27"/>
        <v>3003.2200000000003</v>
      </c>
      <c r="L48" s="69">
        <f t="shared" si="27"/>
        <v>4263</v>
      </c>
      <c r="M48" s="69">
        <f t="shared" si="27"/>
        <v>4263</v>
      </c>
      <c r="N48" s="69">
        <f>L48-J48</f>
        <v>1259.7799999999997</v>
      </c>
      <c r="O48" s="77">
        <f>O47+O34+O24+O14</f>
        <v>6320.1399999999994</v>
      </c>
    </row>
    <row r="49" spans="1:15" x14ac:dyDescent="0.25">
      <c r="B49" s="1"/>
      <c r="C49" s="1"/>
      <c r="D49" s="1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1" spans="1:15" x14ac:dyDescent="0.25">
      <c r="A51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2D050"/>
  </sheetPr>
  <dimension ref="A1:O58"/>
  <sheetViews>
    <sheetView workbookViewId="0">
      <pane ySplit="4" topLeftCell="A41" activePane="bottomLeft" state="frozen"/>
      <selection pane="bottomLeft" activeCell="B52" sqref="B52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209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172</v>
      </c>
      <c r="N3" s="71">
        <v>540.72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I57</f>
        <v>2435.3000000000002</v>
      </c>
      <c r="J4" s="65"/>
      <c r="K4" s="73">
        <f>K57</f>
        <v>12958.619999999999</v>
      </c>
      <c r="L4" s="16" t="s">
        <v>35</v>
      </c>
      <c r="M4" s="17"/>
      <c r="N4" s="125">
        <f>L57-K4+N42</f>
        <v>-1983.75</v>
      </c>
      <c r="O4" s="25"/>
    </row>
    <row r="5" spans="1:15" ht="23.25" customHeight="1" x14ac:dyDescent="0.25">
      <c r="A5" s="74" t="s">
        <v>17</v>
      </c>
      <c r="B5" s="65" t="s">
        <v>60</v>
      </c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137">
        <v>2677.99</v>
      </c>
      <c r="M5" s="75">
        <f t="shared" ref="M5:M13" si="3">L5</f>
        <v>2677.99</v>
      </c>
      <c r="N5" s="228"/>
      <c r="O5" s="75">
        <f t="shared" ref="O5:O13" si="4">G5+H5+L5</f>
        <v>2677.99</v>
      </c>
    </row>
    <row r="6" spans="1:15" ht="23.25" customHeight="1" x14ac:dyDescent="0.25">
      <c r="A6" s="74"/>
      <c r="B6" s="78" t="s">
        <v>210</v>
      </c>
      <c r="C6" s="78"/>
      <c r="D6" s="8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700</v>
      </c>
      <c r="K6" s="75">
        <f t="shared" si="2"/>
        <v>700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s="138" customFormat="1" ht="23.25" customHeight="1" x14ac:dyDescent="0.25">
      <c r="A7" s="136"/>
      <c r="B7" s="164" t="s">
        <v>211</v>
      </c>
      <c r="C7" s="136"/>
      <c r="D7" s="137"/>
      <c r="E7" s="136"/>
      <c r="F7" s="137">
        <f t="shared" si="0"/>
        <v>0</v>
      </c>
      <c r="G7" s="137">
        <v>0</v>
      </c>
      <c r="H7" s="137">
        <v>0</v>
      </c>
      <c r="I7" s="137">
        <f t="shared" si="1"/>
        <v>0</v>
      </c>
      <c r="J7" s="137">
        <v>0</v>
      </c>
      <c r="K7" s="137">
        <f t="shared" si="2"/>
        <v>0</v>
      </c>
      <c r="L7" s="137">
        <v>3385.59</v>
      </c>
      <c r="M7" s="137">
        <f t="shared" si="3"/>
        <v>3385.59</v>
      </c>
      <c r="N7" s="228"/>
      <c r="O7" s="137">
        <f t="shared" si="4"/>
        <v>3385.59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700</v>
      </c>
      <c r="K14" s="76">
        <f t="shared" si="5"/>
        <v>700</v>
      </c>
      <c r="L14" s="76">
        <f t="shared" si="5"/>
        <v>6063.58</v>
      </c>
      <c r="M14" s="76">
        <f t="shared" si="5"/>
        <v>6063.58</v>
      </c>
      <c r="N14" s="76">
        <f>L14-J14</f>
        <v>5363.58</v>
      </c>
      <c r="O14" s="77">
        <f>SUM(O5:O13)</f>
        <v>6063.58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0" si="6">I15-E15</f>
        <v>0</v>
      </c>
      <c r="G15" s="75">
        <v>0</v>
      </c>
      <c r="H15" s="75">
        <v>0</v>
      </c>
      <c r="I15" s="75">
        <f t="shared" ref="I15:I26" si="7">SUM(G15:H15)</f>
        <v>0</v>
      </c>
      <c r="J15" s="75">
        <v>0</v>
      </c>
      <c r="K15" s="75">
        <f t="shared" ref="K15:K26" si="8">SUM(J15)</f>
        <v>0</v>
      </c>
      <c r="L15" s="75">
        <v>0</v>
      </c>
      <c r="M15" s="75">
        <f t="shared" ref="M15:M26" si="9">L15</f>
        <v>0</v>
      </c>
      <c r="N15" s="228"/>
      <c r="O15" s="75">
        <f t="shared" ref="O15:O26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 t="s">
        <v>212</v>
      </c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700</v>
      </c>
      <c r="K18" s="75">
        <f t="shared" si="8"/>
        <v>700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 t="s">
        <v>213</v>
      </c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700</v>
      </c>
      <c r="K19" s="75">
        <f t="shared" si="8"/>
        <v>700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78" t="s">
        <v>214</v>
      </c>
      <c r="C20" s="78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800</v>
      </c>
      <c r="K20" s="75">
        <f t="shared" si="8"/>
        <v>800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/>
      <c r="B21" s="78" t="s">
        <v>215</v>
      </c>
      <c r="C21" s="78"/>
      <c r="D21" s="75"/>
      <c r="E21" s="65"/>
      <c r="F21" s="75">
        <v>0</v>
      </c>
      <c r="G21" s="75">
        <v>0</v>
      </c>
      <c r="H21" s="75">
        <v>0</v>
      </c>
      <c r="I21" s="75">
        <f t="shared" ref="I21:I23" si="11">SUM(G21:H21)</f>
        <v>0</v>
      </c>
      <c r="J21" s="75">
        <v>900</v>
      </c>
      <c r="K21" s="75">
        <f t="shared" ref="K21:K23" si="12">SUM(J21)</f>
        <v>900</v>
      </c>
      <c r="L21" s="75">
        <v>0</v>
      </c>
      <c r="M21" s="75">
        <f t="shared" ref="M21:M23" si="13">L21</f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 t="s">
        <v>216</v>
      </c>
      <c r="C22" s="78"/>
      <c r="D22" s="75"/>
      <c r="E22" s="65"/>
      <c r="F22" s="75">
        <v>0</v>
      </c>
      <c r="G22" s="75">
        <v>0</v>
      </c>
      <c r="H22" s="75">
        <v>0</v>
      </c>
      <c r="I22" s="75">
        <f t="shared" si="11"/>
        <v>0</v>
      </c>
      <c r="J22" s="75">
        <v>200</v>
      </c>
      <c r="K22" s="75">
        <f t="shared" si="12"/>
        <v>200</v>
      </c>
      <c r="L22" s="75">
        <v>0</v>
      </c>
      <c r="M22" s="75">
        <f t="shared" si="13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78" t="s">
        <v>217</v>
      </c>
      <c r="C23" s="78"/>
      <c r="D23" s="75"/>
      <c r="E23" s="65"/>
      <c r="F23" s="75">
        <v>0</v>
      </c>
      <c r="G23" s="75">
        <v>0</v>
      </c>
      <c r="H23" s="75">
        <v>0</v>
      </c>
      <c r="I23" s="75">
        <f t="shared" si="11"/>
        <v>0</v>
      </c>
      <c r="J23" s="75">
        <v>200</v>
      </c>
      <c r="K23" s="75">
        <f t="shared" si="12"/>
        <v>200</v>
      </c>
      <c r="L23" s="75">
        <v>0</v>
      </c>
      <c r="M23" s="75">
        <f t="shared" si="13"/>
        <v>0</v>
      </c>
      <c r="N23" s="228"/>
      <c r="O23" s="75">
        <f t="shared" si="10"/>
        <v>0</v>
      </c>
    </row>
    <row r="24" spans="1:15" ht="23.25" customHeight="1" x14ac:dyDescent="0.25">
      <c r="A24" s="74" t="s">
        <v>23</v>
      </c>
      <c r="B24" s="78" t="s">
        <v>218</v>
      </c>
      <c r="C24" s="78"/>
      <c r="D24" s="75"/>
      <c r="E24" s="65"/>
      <c r="F24" s="75">
        <v>0</v>
      </c>
      <c r="G24" s="75">
        <v>0</v>
      </c>
      <c r="H24" s="75">
        <v>0</v>
      </c>
      <c r="I24" s="75">
        <f t="shared" si="7"/>
        <v>0</v>
      </c>
      <c r="J24" s="75">
        <v>700</v>
      </c>
      <c r="K24" s="75">
        <f t="shared" si="8"/>
        <v>700</v>
      </c>
      <c r="L24" s="75">
        <v>0</v>
      </c>
      <c r="M24" s="75">
        <f t="shared" si="9"/>
        <v>0</v>
      </c>
      <c r="N24" s="228"/>
      <c r="O24" s="75">
        <f t="shared" si="10"/>
        <v>0</v>
      </c>
    </row>
    <row r="25" spans="1:15" ht="23.25" customHeight="1" x14ac:dyDescent="0.25">
      <c r="A25" s="74"/>
      <c r="B25" s="78" t="s">
        <v>219</v>
      </c>
      <c r="C25" s="78"/>
      <c r="D25" s="75"/>
      <c r="E25" s="65"/>
      <c r="F25" s="75">
        <v>0</v>
      </c>
      <c r="G25" s="75">
        <v>0</v>
      </c>
      <c r="H25" s="75">
        <v>0</v>
      </c>
      <c r="I25" s="75">
        <f t="shared" si="7"/>
        <v>0</v>
      </c>
      <c r="J25" s="75">
        <v>692.74</v>
      </c>
      <c r="K25" s="75">
        <f t="shared" si="8"/>
        <v>692.74</v>
      </c>
      <c r="L25" s="75">
        <v>0</v>
      </c>
      <c r="M25" s="75">
        <f t="shared" si="9"/>
        <v>0</v>
      </c>
      <c r="N25" s="228"/>
      <c r="O25" s="75">
        <f t="shared" si="10"/>
        <v>0</v>
      </c>
    </row>
    <row r="26" spans="1:15" ht="23.25" customHeight="1" x14ac:dyDescent="0.25">
      <c r="A26" s="74"/>
      <c r="B26" s="78" t="s">
        <v>220</v>
      </c>
      <c r="C26" s="78"/>
      <c r="D26" s="75"/>
      <c r="E26" s="65"/>
      <c r="F26" s="75">
        <v>0</v>
      </c>
      <c r="G26" s="75">
        <v>0</v>
      </c>
      <c r="H26" s="75">
        <v>0</v>
      </c>
      <c r="I26" s="75">
        <f t="shared" si="7"/>
        <v>0</v>
      </c>
      <c r="J26" s="75">
        <v>722.5</v>
      </c>
      <c r="K26" s="75">
        <f t="shared" si="8"/>
        <v>722.5</v>
      </c>
      <c r="L26" s="75">
        <v>0</v>
      </c>
      <c r="M26" s="75">
        <f t="shared" si="9"/>
        <v>0</v>
      </c>
      <c r="N26" s="228"/>
      <c r="O26" s="75">
        <f t="shared" si="10"/>
        <v>0</v>
      </c>
    </row>
    <row r="27" spans="1:15" ht="23.25" customHeight="1" x14ac:dyDescent="0.25">
      <c r="A27" s="26" t="s">
        <v>24</v>
      </c>
      <c r="B27" s="27"/>
      <c r="C27" s="28"/>
      <c r="D27" s="29"/>
      <c r="E27" s="76">
        <f t="shared" ref="E27:M27" si="14">SUM(E15:E26)</f>
        <v>0</v>
      </c>
      <c r="F27" s="76">
        <f t="shared" si="14"/>
        <v>0</v>
      </c>
      <c r="G27" s="76">
        <f t="shared" si="14"/>
        <v>0</v>
      </c>
      <c r="H27" s="76">
        <f t="shared" si="14"/>
        <v>0</v>
      </c>
      <c r="I27" s="76">
        <f t="shared" si="14"/>
        <v>0</v>
      </c>
      <c r="J27" s="76">
        <f>SUM(J15:J26)</f>
        <v>5615.24</v>
      </c>
      <c r="K27" s="76">
        <f t="shared" si="14"/>
        <v>5615.24</v>
      </c>
      <c r="L27" s="76">
        <f t="shared" si="14"/>
        <v>0</v>
      </c>
      <c r="M27" s="76">
        <f t="shared" si="14"/>
        <v>0</v>
      </c>
      <c r="N27" s="76">
        <f>L27-J27</f>
        <v>-5615.24</v>
      </c>
      <c r="O27" s="77">
        <f>SUM(O15:O26)</f>
        <v>0</v>
      </c>
    </row>
    <row r="28" spans="1:15" ht="23.25" customHeight="1" x14ac:dyDescent="0.25">
      <c r="A28" s="74" t="s">
        <v>25</v>
      </c>
      <c r="B28" s="78" t="s">
        <v>221</v>
      </c>
      <c r="C28" s="78" t="s">
        <v>222</v>
      </c>
      <c r="D28" s="75"/>
      <c r="E28" s="65"/>
      <c r="F28" s="75">
        <v>0</v>
      </c>
      <c r="G28" s="75">
        <v>100</v>
      </c>
      <c r="H28" s="75">
        <v>0</v>
      </c>
      <c r="I28" s="75">
        <f t="shared" ref="I28:I40" si="15">SUM(G28:H28)</f>
        <v>100</v>
      </c>
      <c r="J28" s="75">
        <v>0</v>
      </c>
      <c r="K28" s="75">
        <f t="shared" ref="K28:K40" si="16">SUM(J28)</f>
        <v>0</v>
      </c>
      <c r="L28" s="75">
        <v>0</v>
      </c>
      <c r="M28" s="75">
        <f t="shared" ref="M28:M40" si="17">L28</f>
        <v>0</v>
      </c>
      <c r="N28" s="228"/>
      <c r="O28" s="75">
        <f t="shared" ref="O28:O40" si="18">G28+H28+L28</f>
        <v>100</v>
      </c>
    </row>
    <row r="29" spans="1:15" ht="23.25" customHeight="1" x14ac:dyDescent="0.25">
      <c r="A29" s="74"/>
      <c r="B29" s="78" t="s">
        <v>312</v>
      </c>
      <c r="C29" s="78"/>
      <c r="D29" s="75"/>
      <c r="E29" s="65"/>
      <c r="F29" s="75">
        <v>0</v>
      </c>
      <c r="G29" s="75">
        <v>0</v>
      </c>
      <c r="H29" s="75">
        <v>0</v>
      </c>
      <c r="I29" s="75">
        <f t="shared" si="15"/>
        <v>0</v>
      </c>
      <c r="J29" s="75">
        <v>150</v>
      </c>
      <c r="K29" s="75">
        <f t="shared" si="16"/>
        <v>150</v>
      </c>
      <c r="L29" s="75">
        <v>0</v>
      </c>
      <c r="M29" s="75">
        <f t="shared" si="17"/>
        <v>0</v>
      </c>
      <c r="N29" s="228"/>
      <c r="O29" s="75">
        <f t="shared" si="18"/>
        <v>0</v>
      </c>
    </row>
    <row r="30" spans="1:15" ht="23.25" customHeight="1" x14ac:dyDescent="0.25">
      <c r="A30" s="74"/>
      <c r="B30" s="78" t="s">
        <v>313</v>
      </c>
      <c r="C30" s="65"/>
      <c r="D30" s="75"/>
      <c r="E30" s="65"/>
      <c r="F30" s="75">
        <f t="shared" ref="F30:F57" si="19">I30-E30</f>
        <v>0</v>
      </c>
      <c r="G30" s="75">
        <v>0</v>
      </c>
      <c r="H30" s="75">
        <v>0</v>
      </c>
      <c r="I30" s="75">
        <f t="shared" si="15"/>
        <v>0</v>
      </c>
      <c r="J30" s="75">
        <v>500</v>
      </c>
      <c r="K30" s="75">
        <f t="shared" si="16"/>
        <v>500</v>
      </c>
      <c r="L30" s="75">
        <v>0</v>
      </c>
      <c r="M30" s="75">
        <f t="shared" si="17"/>
        <v>0</v>
      </c>
      <c r="N30" s="228"/>
      <c r="O30" s="75">
        <f t="shared" si="18"/>
        <v>0</v>
      </c>
    </row>
    <row r="31" spans="1:15" ht="23.25" customHeight="1" x14ac:dyDescent="0.25">
      <c r="B31" s="78" t="s">
        <v>320</v>
      </c>
      <c r="C31" s="65"/>
      <c r="D31" s="75"/>
      <c r="E31" s="65"/>
      <c r="F31" s="75">
        <f t="shared" si="19"/>
        <v>0</v>
      </c>
      <c r="G31" s="75">
        <v>0</v>
      </c>
      <c r="H31" s="75">
        <v>0</v>
      </c>
      <c r="I31" s="75">
        <f t="shared" si="15"/>
        <v>0</v>
      </c>
      <c r="J31" s="75">
        <v>300</v>
      </c>
      <c r="K31" s="75">
        <f t="shared" si="16"/>
        <v>300</v>
      </c>
      <c r="L31" s="75">
        <v>0</v>
      </c>
      <c r="M31" s="75">
        <f t="shared" si="17"/>
        <v>0</v>
      </c>
      <c r="N31" s="228"/>
      <c r="O31" s="75">
        <f t="shared" si="18"/>
        <v>0</v>
      </c>
    </row>
    <row r="32" spans="1:15" ht="23.25" customHeight="1" x14ac:dyDescent="0.25">
      <c r="A32" s="74"/>
      <c r="B32" s="78" t="s">
        <v>321</v>
      </c>
      <c r="C32" s="65"/>
      <c r="D32" s="75"/>
      <c r="E32" s="65"/>
      <c r="F32" s="75">
        <f t="shared" si="19"/>
        <v>0</v>
      </c>
      <c r="G32" s="75">
        <v>0</v>
      </c>
      <c r="H32" s="75">
        <v>0</v>
      </c>
      <c r="I32" s="75">
        <f t="shared" si="15"/>
        <v>0</v>
      </c>
      <c r="J32" s="75">
        <v>200</v>
      </c>
      <c r="K32" s="75">
        <f t="shared" si="16"/>
        <v>200</v>
      </c>
      <c r="L32" s="75">
        <v>0</v>
      </c>
      <c r="M32" s="75">
        <f t="shared" si="17"/>
        <v>0</v>
      </c>
      <c r="N32" s="228"/>
      <c r="O32" s="75">
        <f t="shared" si="18"/>
        <v>0</v>
      </c>
    </row>
    <row r="33" spans="1:15" ht="23.25" customHeight="1" x14ac:dyDescent="0.25">
      <c r="A33" s="191"/>
      <c r="B33" s="197" t="s">
        <v>322</v>
      </c>
      <c r="C33" s="186"/>
      <c r="D33" s="193"/>
      <c r="E33" s="186"/>
      <c r="F33" s="193">
        <f t="shared" ref="F33" si="20">I33-E33</f>
        <v>0</v>
      </c>
      <c r="G33" s="193">
        <v>0</v>
      </c>
      <c r="H33" s="193">
        <v>0</v>
      </c>
      <c r="I33" s="193">
        <f t="shared" ref="I33" si="21">SUM(G33:H33)</f>
        <v>0</v>
      </c>
      <c r="J33" s="193">
        <v>350</v>
      </c>
      <c r="K33" s="193">
        <f t="shared" ref="K33" si="22">SUM(J33)</f>
        <v>350</v>
      </c>
      <c r="L33" s="193">
        <v>0</v>
      </c>
      <c r="M33" s="193">
        <f t="shared" ref="M33" si="23">L33</f>
        <v>0</v>
      </c>
      <c r="N33" s="227"/>
      <c r="O33" s="193">
        <f t="shared" si="18"/>
        <v>0</v>
      </c>
    </row>
    <row r="34" spans="1:15" ht="23.25" customHeight="1" x14ac:dyDescent="0.25">
      <c r="A34" s="74"/>
      <c r="B34" s="83" t="s">
        <v>60</v>
      </c>
      <c r="C34" s="65" t="s">
        <v>309</v>
      </c>
      <c r="D34" s="75"/>
      <c r="E34" s="65"/>
      <c r="F34" s="75">
        <f t="shared" si="19"/>
        <v>0</v>
      </c>
      <c r="G34" s="75">
        <v>0</v>
      </c>
      <c r="H34" s="75">
        <v>0</v>
      </c>
      <c r="I34" s="75">
        <f t="shared" si="15"/>
        <v>0</v>
      </c>
      <c r="J34" s="75">
        <v>0</v>
      </c>
      <c r="K34" s="75">
        <f t="shared" si="16"/>
        <v>0</v>
      </c>
      <c r="L34" s="75">
        <v>3501.34</v>
      </c>
      <c r="M34" s="75">
        <f t="shared" si="17"/>
        <v>3501.34</v>
      </c>
      <c r="N34" s="228"/>
      <c r="O34" s="75">
        <f t="shared" si="18"/>
        <v>3501.34</v>
      </c>
    </row>
    <row r="35" spans="1:15" ht="23.25" customHeight="1" x14ac:dyDescent="0.25">
      <c r="A35" s="74"/>
      <c r="B35" s="78" t="s">
        <v>323</v>
      </c>
      <c r="C35" s="78"/>
      <c r="D35" s="75"/>
      <c r="E35" s="65"/>
      <c r="F35" s="75">
        <f t="shared" si="19"/>
        <v>0</v>
      </c>
      <c r="G35" s="75">
        <v>0</v>
      </c>
      <c r="H35" s="75">
        <v>0</v>
      </c>
      <c r="I35" s="75">
        <f t="shared" si="15"/>
        <v>0</v>
      </c>
      <c r="J35" s="75">
        <v>1000</v>
      </c>
      <c r="K35" s="75">
        <f t="shared" si="16"/>
        <v>1000</v>
      </c>
      <c r="L35" s="75">
        <v>0</v>
      </c>
      <c r="M35" s="75">
        <f t="shared" si="17"/>
        <v>0</v>
      </c>
      <c r="N35" s="228"/>
      <c r="O35" s="75">
        <f t="shared" si="18"/>
        <v>0</v>
      </c>
    </row>
    <row r="36" spans="1:15" ht="23.25" customHeight="1" x14ac:dyDescent="0.25">
      <c r="A36" s="74" t="s">
        <v>26</v>
      </c>
      <c r="B36" s="65"/>
      <c r="C36" s="65"/>
      <c r="D36" s="75"/>
      <c r="E36" s="65"/>
      <c r="F36" s="75">
        <v>0</v>
      </c>
      <c r="G36" s="75">
        <v>0</v>
      </c>
      <c r="H36" s="75">
        <v>0</v>
      </c>
      <c r="I36" s="75">
        <f t="shared" si="15"/>
        <v>0</v>
      </c>
      <c r="J36" s="75">
        <v>0</v>
      </c>
      <c r="K36" s="75">
        <f t="shared" si="16"/>
        <v>0</v>
      </c>
      <c r="L36" s="75">
        <v>0</v>
      </c>
      <c r="M36" s="75">
        <f t="shared" si="17"/>
        <v>0</v>
      </c>
      <c r="N36" s="228"/>
      <c r="O36" s="75">
        <f t="shared" si="18"/>
        <v>0</v>
      </c>
    </row>
    <row r="37" spans="1:15" ht="23.25" customHeight="1" x14ac:dyDescent="0.25">
      <c r="A37" s="74"/>
      <c r="B37" s="78" t="s">
        <v>331</v>
      </c>
      <c r="C37" s="78"/>
      <c r="D37" s="75"/>
      <c r="E37" s="65"/>
      <c r="F37" s="75">
        <f t="shared" si="19"/>
        <v>0</v>
      </c>
      <c r="G37" s="75">
        <v>0</v>
      </c>
      <c r="H37" s="75">
        <v>0</v>
      </c>
      <c r="I37" s="75">
        <f t="shared" si="15"/>
        <v>0</v>
      </c>
      <c r="J37" s="75">
        <v>550</v>
      </c>
      <c r="K37" s="75">
        <f t="shared" si="16"/>
        <v>550</v>
      </c>
      <c r="L37" s="75">
        <v>0</v>
      </c>
      <c r="M37" s="75">
        <f t="shared" si="17"/>
        <v>0</v>
      </c>
      <c r="N37" s="228"/>
      <c r="O37" s="75">
        <f t="shared" si="18"/>
        <v>0</v>
      </c>
    </row>
    <row r="38" spans="1:15" ht="23.25" customHeight="1" x14ac:dyDescent="0.25">
      <c r="A38" s="74" t="s">
        <v>28</v>
      </c>
      <c r="B38" s="65"/>
      <c r="C38" s="65"/>
      <c r="D38" s="75"/>
      <c r="E38" s="65"/>
      <c r="F38" s="75">
        <f t="shared" si="19"/>
        <v>0</v>
      </c>
      <c r="G38" s="75">
        <v>0</v>
      </c>
      <c r="H38" s="75">
        <v>0</v>
      </c>
      <c r="I38" s="75">
        <f t="shared" si="15"/>
        <v>0</v>
      </c>
      <c r="J38" s="75">
        <v>0</v>
      </c>
      <c r="K38" s="75">
        <f t="shared" si="16"/>
        <v>0</v>
      </c>
      <c r="L38" s="75">
        <v>0</v>
      </c>
      <c r="M38" s="75">
        <f t="shared" si="17"/>
        <v>0</v>
      </c>
      <c r="N38" s="228"/>
      <c r="O38" s="75">
        <f t="shared" si="18"/>
        <v>0</v>
      </c>
    </row>
    <row r="39" spans="1:15" ht="23.25" customHeight="1" x14ac:dyDescent="0.25">
      <c r="A39" s="74"/>
      <c r="B39" s="65" t="s">
        <v>60</v>
      </c>
      <c r="C39" s="65" t="s">
        <v>357</v>
      </c>
      <c r="D39" s="75"/>
      <c r="E39" s="65"/>
      <c r="F39" s="75">
        <f t="shared" si="19"/>
        <v>0</v>
      </c>
      <c r="G39" s="75">
        <v>0</v>
      </c>
      <c r="H39" s="75">
        <v>0</v>
      </c>
      <c r="I39" s="75">
        <f t="shared" si="15"/>
        <v>0</v>
      </c>
      <c r="J39" s="75">
        <v>0</v>
      </c>
      <c r="K39" s="75">
        <f t="shared" si="16"/>
        <v>0</v>
      </c>
      <c r="L39" s="75">
        <v>1409.95</v>
      </c>
      <c r="M39" s="75">
        <f t="shared" si="17"/>
        <v>1409.95</v>
      </c>
      <c r="N39" s="228"/>
      <c r="O39" s="75">
        <f t="shared" si="18"/>
        <v>1409.95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9"/>
        <v>0</v>
      </c>
      <c r="G40" s="75">
        <v>0</v>
      </c>
      <c r="H40" s="75">
        <v>0</v>
      </c>
      <c r="I40" s="75">
        <f t="shared" si="15"/>
        <v>0</v>
      </c>
      <c r="J40" s="75">
        <v>0</v>
      </c>
      <c r="K40" s="75">
        <f t="shared" si="16"/>
        <v>0</v>
      </c>
      <c r="L40" s="75">
        <v>0</v>
      </c>
      <c r="M40" s="75">
        <f t="shared" si="17"/>
        <v>0</v>
      </c>
      <c r="N40" s="228"/>
      <c r="O40" s="75">
        <f t="shared" si="18"/>
        <v>0</v>
      </c>
    </row>
    <row r="41" spans="1:15" ht="23.25" customHeight="1" x14ac:dyDescent="0.25">
      <c r="A41" s="26" t="s">
        <v>29</v>
      </c>
      <c r="B41" s="27"/>
      <c r="C41" s="28"/>
      <c r="D41" s="29"/>
      <c r="E41" s="76">
        <f>SUM(E28:E40)</f>
        <v>0</v>
      </c>
      <c r="F41" s="76">
        <v>0</v>
      </c>
      <c r="G41" s="76">
        <f t="shared" ref="G41:M41" si="24">SUM(G28:G40)</f>
        <v>100</v>
      </c>
      <c r="H41" s="76">
        <f t="shared" si="24"/>
        <v>0</v>
      </c>
      <c r="I41" s="76">
        <f t="shared" si="24"/>
        <v>100</v>
      </c>
      <c r="J41" s="76">
        <f t="shared" si="24"/>
        <v>3050</v>
      </c>
      <c r="K41" s="76">
        <f t="shared" si="24"/>
        <v>3050</v>
      </c>
      <c r="L41" s="76">
        <f t="shared" si="24"/>
        <v>4911.29</v>
      </c>
      <c r="M41" s="76">
        <f t="shared" si="24"/>
        <v>4911.29</v>
      </c>
      <c r="N41" s="76">
        <f>L41-J41</f>
        <v>1861.29</v>
      </c>
      <c r="O41" s="77">
        <f>SUM(O28:O40)</f>
        <v>5011.29</v>
      </c>
    </row>
    <row r="42" spans="1:15" ht="23.25" customHeight="1" x14ac:dyDescent="0.25">
      <c r="A42" s="74" t="s">
        <v>30</v>
      </c>
      <c r="B42" s="78" t="s">
        <v>361</v>
      </c>
      <c r="C42" s="78"/>
      <c r="D42" s="75"/>
      <c r="E42" s="65"/>
      <c r="F42" s="75">
        <f t="shared" si="19"/>
        <v>0</v>
      </c>
      <c r="G42" s="75">
        <v>0</v>
      </c>
      <c r="H42" s="75">
        <v>0</v>
      </c>
      <c r="I42" s="75">
        <f t="shared" ref="I42:I55" si="25">SUM(G42:H42)</f>
        <v>0</v>
      </c>
      <c r="J42" s="75">
        <v>350</v>
      </c>
      <c r="K42" s="75">
        <f t="shared" ref="K42:K55" si="26">SUM(J42)</f>
        <v>350</v>
      </c>
      <c r="L42" s="75">
        <v>0</v>
      </c>
      <c r="M42" s="75">
        <f t="shared" ref="M42:M55" si="27">L42</f>
        <v>0</v>
      </c>
      <c r="N42" s="228"/>
      <c r="O42" s="75">
        <f t="shared" ref="O42:O55" si="28">G42+H42+L42</f>
        <v>0</v>
      </c>
    </row>
    <row r="43" spans="1:15" ht="23.25" customHeight="1" x14ac:dyDescent="0.25">
      <c r="A43" s="74"/>
      <c r="B43" s="78" t="s">
        <v>362</v>
      </c>
      <c r="C43" s="78"/>
      <c r="D43" s="75"/>
      <c r="E43" s="65"/>
      <c r="F43" s="75">
        <f t="shared" si="19"/>
        <v>0</v>
      </c>
      <c r="G43" s="75">
        <v>0</v>
      </c>
      <c r="H43" s="75">
        <v>0</v>
      </c>
      <c r="I43" s="75">
        <f t="shared" si="25"/>
        <v>0</v>
      </c>
      <c r="J43" s="75">
        <v>84</v>
      </c>
      <c r="K43" s="75">
        <f t="shared" si="26"/>
        <v>84</v>
      </c>
      <c r="L43" s="75">
        <v>0</v>
      </c>
      <c r="M43" s="75">
        <f t="shared" si="27"/>
        <v>0</v>
      </c>
      <c r="N43" s="228"/>
      <c r="O43" s="75">
        <f t="shared" si="28"/>
        <v>0</v>
      </c>
    </row>
    <row r="44" spans="1:15" ht="23.25" customHeight="1" x14ac:dyDescent="0.25">
      <c r="A44" s="74"/>
      <c r="B44" s="78" t="s">
        <v>363</v>
      </c>
      <c r="C44" s="78"/>
      <c r="D44" s="75"/>
      <c r="E44" s="65"/>
      <c r="F44" s="75">
        <f t="shared" si="19"/>
        <v>0</v>
      </c>
      <c r="G44" s="75">
        <v>0</v>
      </c>
      <c r="H44" s="75">
        <v>0</v>
      </c>
      <c r="I44" s="75">
        <f t="shared" si="25"/>
        <v>0</v>
      </c>
      <c r="J44" s="75">
        <v>254.09</v>
      </c>
      <c r="K44" s="75">
        <f t="shared" si="26"/>
        <v>254.09</v>
      </c>
      <c r="L44" s="75">
        <v>0</v>
      </c>
      <c r="M44" s="75">
        <f t="shared" si="27"/>
        <v>0</v>
      </c>
      <c r="N44" s="228"/>
      <c r="O44" s="75">
        <f t="shared" si="28"/>
        <v>0</v>
      </c>
    </row>
    <row r="45" spans="1:15" ht="23.25" customHeight="1" x14ac:dyDescent="0.25">
      <c r="A45" s="74"/>
      <c r="B45" s="78" t="s">
        <v>364</v>
      </c>
      <c r="C45" s="78"/>
      <c r="D45" s="75"/>
      <c r="E45" s="65"/>
      <c r="F45" s="75">
        <f t="shared" si="19"/>
        <v>0</v>
      </c>
      <c r="G45" s="75">
        <v>0</v>
      </c>
      <c r="H45" s="75">
        <v>0</v>
      </c>
      <c r="I45" s="75">
        <f t="shared" si="25"/>
        <v>0</v>
      </c>
      <c r="J45" s="75">
        <v>569.99</v>
      </c>
      <c r="K45" s="75">
        <f t="shared" si="26"/>
        <v>569.99</v>
      </c>
      <c r="L45" s="75">
        <v>0</v>
      </c>
      <c r="M45" s="75">
        <f t="shared" si="27"/>
        <v>0</v>
      </c>
      <c r="N45" s="228"/>
      <c r="O45" s="75">
        <f t="shared" si="28"/>
        <v>0</v>
      </c>
    </row>
    <row r="46" spans="1:15" ht="23.25" customHeight="1" x14ac:dyDescent="0.25">
      <c r="A46" s="74"/>
      <c r="B46" s="222" t="s">
        <v>365</v>
      </c>
      <c r="C46" s="222" t="s">
        <v>222</v>
      </c>
      <c r="D46" s="75"/>
      <c r="E46" s="65"/>
      <c r="F46" s="75">
        <f t="shared" ref="F46:F50" si="29">I46-E46</f>
        <v>326.7</v>
      </c>
      <c r="G46" s="75">
        <v>326.7</v>
      </c>
      <c r="H46" s="75">
        <v>0</v>
      </c>
      <c r="I46" s="75">
        <f t="shared" ref="I46:J50" si="30">SUM(G46:H46)</f>
        <v>326.7</v>
      </c>
      <c r="J46" s="75">
        <f t="shared" si="30"/>
        <v>326.7</v>
      </c>
      <c r="K46" s="75">
        <f t="shared" si="26"/>
        <v>326.7</v>
      </c>
      <c r="L46" s="75">
        <v>0</v>
      </c>
      <c r="M46" s="75">
        <f t="shared" si="27"/>
        <v>0</v>
      </c>
      <c r="N46" s="228"/>
      <c r="O46" s="75">
        <f t="shared" si="28"/>
        <v>326.7</v>
      </c>
    </row>
    <row r="47" spans="1:15" ht="23.25" customHeight="1" x14ac:dyDescent="0.25">
      <c r="A47" s="74"/>
      <c r="B47" s="83" t="s">
        <v>366</v>
      </c>
      <c r="C47" s="83" t="s">
        <v>222</v>
      </c>
      <c r="D47" s="75"/>
      <c r="E47" s="65"/>
      <c r="F47" s="75">
        <f t="shared" si="29"/>
        <v>435.6</v>
      </c>
      <c r="G47" s="75">
        <v>435.6</v>
      </c>
      <c r="H47" s="75">
        <v>0</v>
      </c>
      <c r="I47" s="75">
        <f t="shared" si="30"/>
        <v>435.6</v>
      </c>
      <c r="J47" s="75">
        <f t="shared" si="30"/>
        <v>435.6</v>
      </c>
      <c r="K47" s="75">
        <f t="shared" si="26"/>
        <v>435.6</v>
      </c>
      <c r="L47" s="75">
        <v>0</v>
      </c>
      <c r="M47" s="75">
        <f t="shared" si="27"/>
        <v>0</v>
      </c>
      <c r="N47" s="228"/>
      <c r="O47" s="75">
        <f t="shared" si="28"/>
        <v>435.6</v>
      </c>
    </row>
    <row r="48" spans="1:15" ht="23.25" customHeight="1" x14ac:dyDescent="0.25">
      <c r="A48" s="74"/>
      <c r="B48" s="83" t="s">
        <v>367</v>
      </c>
      <c r="C48" s="83" t="s">
        <v>222</v>
      </c>
      <c r="D48" s="75"/>
      <c r="E48" s="65"/>
      <c r="F48" s="75">
        <f t="shared" si="29"/>
        <v>363</v>
      </c>
      <c r="G48" s="75">
        <v>363</v>
      </c>
      <c r="H48" s="75">
        <v>0</v>
      </c>
      <c r="I48" s="75">
        <f t="shared" si="30"/>
        <v>363</v>
      </c>
      <c r="J48" s="75">
        <f t="shared" si="30"/>
        <v>363</v>
      </c>
      <c r="K48" s="75">
        <f t="shared" si="26"/>
        <v>363</v>
      </c>
      <c r="L48" s="75">
        <v>0</v>
      </c>
      <c r="M48" s="75">
        <f t="shared" si="27"/>
        <v>0</v>
      </c>
      <c r="N48" s="228"/>
      <c r="O48" s="75">
        <f t="shared" si="28"/>
        <v>363</v>
      </c>
    </row>
    <row r="49" spans="1:15" ht="23.25" customHeight="1" x14ac:dyDescent="0.25">
      <c r="A49" s="74"/>
      <c r="B49" s="83" t="s">
        <v>368</v>
      </c>
      <c r="C49" s="83" t="s">
        <v>369</v>
      </c>
      <c r="D49" s="75"/>
      <c r="E49" s="65"/>
      <c r="F49" s="75">
        <f t="shared" si="29"/>
        <v>1210</v>
      </c>
      <c r="G49" s="75">
        <v>1210</v>
      </c>
      <c r="H49" s="75">
        <v>0</v>
      </c>
      <c r="I49" s="75">
        <f t="shared" si="30"/>
        <v>1210</v>
      </c>
      <c r="J49" s="75">
        <f t="shared" si="30"/>
        <v>1210</v>
      </c>
      <c r="K49" s="75">
        <f t="shared" si="26"/>
        <v>1210</v>
      </c>
      <c r="L49" s="75">
        <v>0</v>
      </c>
      <c r="M49" s="75">
        <f t="shared" si="27"/>
        <v>0</v>
      </c>
      <c r="N49" s="228"/>
      <c r="O49" s="75">
        <f t="shared" si="28"/>
        <v>1210</v>
      </c>
    </row>
    <row r="50" spans="1:15" ht="23.25" customHeight="1" x14ac:dyDescent="0.25">
      <c r="A50" s="74" t="s">
        <v>36</v>
      </c>
      <c r="B50" s="78"/>
      <c r="C50" s="78"/>
      <c r="D50" s="75"/>
      <c r="E50" s="65"/>
      <c r="F50" s="75">
        <f t="shared" si="29"/>
        <v>0</v>
      </c>
      <c r="G50" s="75">
        <v>0</v>
      </c>
      <c r="H50" s="75">
        <v>0</v>
      </c>
      <c r="I50" s="75">
        <f t="shared" si="30"/>
        <v>0</v>
      </c>
      <c r="J50" s="75">
        <f t="shared" si="30"/>
        <v>0</v>
      </c>
      <c r="K50" s="75">
        <f t="shared" si="26"/>
        <v>0</v>
      </c>
      <c r="L50" s="75">
        <v>0</v>
      </c>
      <c r="M50" s="75">
        <f t="shared" si="27"/>
        <v>0</v>
      </c>
      <c r="N50" s="228"/>
      <c r="O50" s="75">
        <f t="shared" si="28"/>
        <v>0</v>
      </c>
    </row>
    <row r="51" spans="1:15" ht="23.25" customHeight="1" x14ac:dyDescent="0.25">
      <c r="A51" s="74"/>
      <c r="B51" s="83" t="s">
        <v>60</v>
      </c>
      <c r="C51" s="65" t="s">
        <v>405</v>
      </c>
      <c r="D51" s="75"/>
      <c r="E51" s="65"/>
      <c r="F51" s="75">
        <f t="shared" si="19"/>
        <v>0</v>
      </c>
      <c r="G51" s="75">
        <v>0</v>
      </c>
      <c r="H51" s="75">
        <v>0</v>
      </c>
      <c r="I51" s="75">
        <f t="shared" si="25"/>
        <v>0</v>
      </c>
      <c r="J51" s="75">
        <v>0</v>
      </c>
      <c r="K51" s="75">
        <f t="shared" si="26"/>
        <v>0</v>
      </c>
      <c r="L51" s="75">
        <v>0</v>
      </c>
      <c r="M51" s="75">
        <v>2500.0100000000002</v>
      </c>
      <c r="N51" s="228"/>
      <c r="O51" s="75">
        <f t="shared" si="28"/>
        <v>0</v>
      </c>
    </row>
    <row r="52" spans="1:15" ht="23.25" customHeight="1" x14ac:dyDescent="0.25">
      <c r="A52" s="74"/>
      <c r="B52" s="65"/>
      <c r="C52" s="65"/>
      <c r="D52" s="75"/>
      <c r="E52" s="65"/>
      <c r="F52" s="75">
        <f t="shared" si="19"/>
        <v>0</v>
      </c>
      <c r="G52" s="75">
        <v>0</v>
      </c>
      <c r="H52" s="75">
        <v>0</v>
      </c>
      <c r="I52" s="75">
        <f t="shared" si="25"/>
        <v>0</v>
      </c>
      <c r="J52" s="75">
        <v>0</v>
      </c>
      <c r="K52" s="75">
        <f t="shared" si="26"/>
        <v>0</v>
      </c>
      <c r="L52" s="75">
        <v>0</v>
      </c>
      <c r="M52" s="75">
        <f t="shared" si="27"/>
        <v>0</v>
      </c>
      <c r="N52" s="228"/>
      <c r="O52" s="75">
        <f t="shared" si="28"/>
        <v>0</v>
      </c>
    </row>
    <row r="53" spans="1:15" ht="23.25" customHeight="1" x14ac:dyDescent="0.25">
      <c r="A53" s="74" t="s">
        <v>31</v>
      </c>
      <c r="B53" s="65"/>
      <c r="C53" s="65"/>
      <c r="D53" s="75"/>
      <c r="E53" s="65"/>
      <c r="F53" s="75">
        <f t="shared" si="19"/>
        <v>0</v>
      </c>
      <c r="G53" s="75">
        <v>0</v>
      </c>
      <c r="H53" s="75">
        <v>0</v>
      </c>
      <c r="I53" s="75">
        <f t="shared" si="25"/>
        <v>0</v>
      </c>
      <c r="J53" s="75">
        <v>0</v>
      </c>
      <c r="K53" s="75">
        <f t="shared" si="26"/>
        <v>0</v>
      </c>
      <c r="L53" s="75">
        <v>0</v>
      </c>
      <c r="M53" s="75">
        <f t="shared" si="27"/>
        <v>0</v>
      </c>
      <c r="N53" s="228"/>
      <c r="O53" s="75">
        <f t="shared" si="28"/>
        <v>0</v>
      </c>
    </row>
    <row r="54" spans="1:15" ht="23.25" customHeight="1" x14ac:dyDescent="0.25">
      <c r="A54" s="74"/>
      <c r="B54" s="65"/>
      <c r="C54" s="65"/>
      <c r="D54" s="75"/>
      <c r="E54" s="65"/>
      <c r="F54" s="75">
        <f t="shared" si="19"/>
        <v>0</v>
      </c>
      <c r="G54" s="75">
        <v>0</v>
      </c>
      <c r="H54" s="75">
        <v>0</v>
      </c>
      <c r="I54" s="75">
        <f t="shared" si="25"/>
        <v>0</v>
      </c>
      <c r="J54" s="75">
        <v>0</v>
      </c>
      <c r="K54" s="75">
        <f t="shared" si="26"/>
        <v>0</v>
      </c>
      <c r="L54" s="75">
        <v>0</v>
      </c>
      <c r="M54" s="75">
        <f t="shared" si="27"/>
        <v>0</v>
      </c>
      <c r="N54" s="228"/>
      <c r="O54" s="75">
        <f t="shared" si="28"/>
        <v>0</v>
      </c>
    </row>
    <row r="55" spans="1:15" ht="23.25" customHeight="1" x14ac:dyDescent="0.25">
      <c r="A55" s="74"/>
      <c r="B55" s="65"/>
      <c r="C55" s="65"/>
      <c r="D55" s="75"/>
      <c r="E55" s="65"/>
      <c r="F55" s="75">
        <f t="shared" si="19"/>
        <v>0</v>
      </c>
      <c r="G55" s="75">
        <v>0</v>
      </c>
      <c r="H55" s="75">
        <v>0</v>
      </c>
      <c r="I55" s="75">
        <f t="shared" si="25"/>
        <v>0</v>
      </c>
      <c r="J55" s="75">
        <v>0</v>
      </c>
      <c r="K55" s="75">
        <f t="shared" si="26"/>
        <v>0</v>
      </c>
      <c r="L55" s="75">
        <v>0</v>
      </c>
      <c r="M55" s="75">
        <f t="shared" si="27"/>
        <v>0</v>
      </c>
      <c r="N55" s="228"/>
      <c r="O55" s="75">
        <f t="shared" si="28"/>
        <v>0</v>
      </c>
    </row>
    <row r="56" spans="1:15" ht="23.25" customHeight="1" x14ac:dyDescent="0.25">
      <c r="A56" s="26" t="s">
        <v>32</v>
      </c>
      <c r="B56" s="27"/>
      <c r="C56" s="28"/>
      <c r="D56" s="29"/>
      <c r="E56" s="76">
        <f>SUM(G42:G55)</f>
        <v>2335.3000000000002</v>
      </c>
      <c r="F56" s="76">
        <f t="shared" si="19"/>
        <v>0</v>
      </c>
      <c r="G56" s="76">
        <f t="shared" ref="G56:M56" si="31">SUM(G42:G55)</f>
        <v>2335.3000000000002</v>
      </c>
      <c r="H56" s="76">
        <f t="shared" si="31"/>
        <v>0</v>
      </c>
      <c r="I56" s="76">
        <f t="shared" si="31"/>
        <v>2335.3000000000002</v>
      </c>
      <c r="J56" s="76">
        <f t="shared" si="31"/>
        <v>3593.38</v>
      </c>
      <c r="K56" s="76">
        <f t="shared" si="31"/>
        <v>3593.38</v>
      </c>
      <c r="L56" s="76">
        <f t="shared" si="31"/>
        <v>0</v>
      </c>
      <c r="M56" s="76">
        <f t="shared" si="31"/>
        <v>2500.0100000000002</v>
      </c>
      <c r="N56" s="76">
        <f>L56-J56</f>
        <v>-3593.38</v>
      </c>
      <c r="O56" s="77">
        <f>SUM(O42:O55)</f>
        <v>2335.3000000000002</v>
      </c>
    </row>
    <row r="57" spans="1:15" ht="23.25" customHeight="1" x14ac:dyDescent="0.25">
      <c r="A57" s="30" t="s">
        <v>33</v>
      </c>
      <c r="B57" s="31"/>
      <c r="C57" s="32"/>
      <c r="D57" s="33"/>
      <c r="E57" s="69">
        <f>B56+E41+E27+E14</f>
        <v>0</v>
      </c>
      <c r="F57" s="69">
        <f t="shared" si="19"/>
        <v>2435.3000000000002</v>
      </c>
      <c r="G57" s="69">
        <f>E56+G41+G27+G14</f>
        <v>2435.3000000000002</v>
      </c>
      <c r="H57" s="69">
        <f t="shared" ref="H57:M57" si="32">H56+H41+H27+H14</f>
        <v>0</v>
      </c>
      <c r="I57" s="69">
        <f t="shared" si="32"/>
        <v>2435.3000000000002</v>
      </c>
      <c r="J57" s="69">
        <f t="shared" si="32"/>
        <v>12958.619999999999</v>
      </c>
      <c r="K57" s="69">
        <f t="shared" si="32"/>
        <v>12958.619999999999</v>
      </c>
      <c r="L57" s="69">
        <f t="shared" si="32"/>
        <v>10974.869999999999</v>
      </c>
      <c r="M57" s="69">
        <f t="shared" si="32"/>
        <v>13474.880000000001</v>
      </c>
      <c r="N57" s="69">
        <f>L57-J57</f>
        <v>-1983.75</v>
      </c>
      <c r="O57" s="77">
        <f>O56+O41+O27+O14</f>
        <v>13410.17</v>
      </c>
    </row>
    <row r="58" spans="1:15" x14ac:dyDescent="0.25">
      <c r="A58" s="1"/>
      <c r="B58" s="1"/>
      <c r="C58" s="1"/>
      <c r="D58" s="1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</sheetData>
  <mergeCells count="8">
    <mergeCell ref="N15:N26"/>
    <mergeCell ref="N28:N40"/>
    <mergeCell ref="N42:N55"/>
    <mergeCell ref="G1:I1"/>
    <mergeCell ref="J1:K1"/>
    <mergeCell ref="L1:N1"/>
    <mergeCell ref="O1:O2"/>
    <mergeCell ref="N5:N13"/>
  </mergeCells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2D050"/>
  </sheetPr>
  <dimension ref="A1:O45"/>
  <sheetViews>
    <sheetView workbookViewId="0">
      <pane ySplit="4" topLeftCell="A5" activePane="bottomLeft" state="frozen"/>
      <selection pane="bottomLeft"/>
    </sheetView>
  </sheetViews>
  <sheetFormatPr baseColWidth="10" defaultColWidth="9" defaultRowHeight="15.75" x14ac:dyDescent="0.25"/>
  <cols>
    <col min="1" max="1" width="12.125" customWidth="1"/>
    <col min="2" max="2" width="24.375" bestFit="1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223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2023</v>
      </c>
      <c r="N3" s="71">
        <v>174.94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I44</f>
        <v>0</v>
      </c>
      <c r="J4" s="65"/>
      <c r="K4" s="73">
        <f>K44</f>
        <v>1199.98</v>
      </c>
      <c r="L4" s="24" t="s">
        <v>16</v>
      </c>
      <c r="M4" s="16"/>
      <c r="N4" s="185">
        <f>L44-J44+N3</f>
        <v>6.9999999999879492E-2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 t="s">
        <v>18</v>
      </c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/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78"/>
      <c r="C10" s="78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175"/>
      <c r="C11" s="78"/>
      <c r="D11" s="8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27"/>
      <c r="C13" s="28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0</v>
      </c>
    </row>
    <row r="14" spans="1:15" ht="23.25" customHeight="1" x14ac:dyDescent="0.25">
      <c r="A14" s="74" t="s">
        <v>21</v>
      </c>
      <c r="B14" s="78" t="s">
        <v>224</v>
      </c>
      <c r="C14" s="78"/>
      <c r="D14" s="75"/>
      <c r="E14" s="65"/>
      <c r="F14" s="75">
        <f t="shared" ref="F14:F22" si="6">I14-E14</f>
        <v>0</v>
      </c>
      <c r="G14" s="75">
        <v>0</v>
      </c>
      <c r="H14" s="75">
        <v>0</v>
      </c>
      <c r="I14" s="75">
        <f t="shared" ref="I14:I22" si="7">SUM(G14:H14)</f>
        <v>0</v>
      </c>
      <c r="J14" s="75">
        <v>50</v>
      </c>
      <c r="K14" s="75">
        <f t="shared" ref="K14:K22" si="8">SUM(J14)</f>
        <v>50</v>
      </c>
      <c r="L14" s="75">
        <v>0</v>
      </c>
      <c r="M14" s="75">
        <f t="shared" ref="M14:M22" si="9">L14</f>
        <v>0</v>
      </c>
      <c r="N14" s="228"/>
      <c r="O14" s="75">
        <f t="shared" ref="O14:O22" si="10">G14+H14+L14</f>
        <v>0</v>
      </c>
    </row>
    <row r="15" spans="1:15" ht="23.25" customHeight="1" x14ac:dyDescent="0.25">
      <c r="A15" s="74"/>
      <c r="B15" s="78" t="s">
        <v>225</v>
      </c>
      <c r="C15" s="78"/>
      <c r="D15" s="75"/>
      <c r="E15" s="65"/>
      <c r="F15" s="75">
        <f t="shared" si="6"/>
        <v>0</v>
      </c>
      <c r="G15" s="75">
        <v>0</v>
      </c>
      <c r="H15" s="75">
        <v>0</v>
      </c>
      <c r="I15" s="75">
        <f t="shared" si="7"/>
        <v>0</v>
      </c>
      <c r="J15" s="75">
        <v>49.98</v>
      </c>
      <c r="K15" s="75">
        <f t="shared" si="8"/>
        <v>49.98</v>
      </c>
      <c r="L15" s="75">
        <v>0</v>
      </c>
      <c r="M15" s="75">
        <f t="shared" si="9"/>
        <v>0</v>
      </c>
      <c r="N15" s="228"/>
      <c r="O15" s="75">
        <f t="shared" si="10"/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 t="s">
        <v>22</v>
      </c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/>
      <c r="B18" s="175"/>
      <c r="C18" s="108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 t="s">
        <v>23</v>
      </c>
      <c r="B20" s="83" t="s">
        <v>60</v>
      </c>
      <c r="C20" s="78"/>
      <c r="D20" s="8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1025.1099999999999</v>
      </c>
      <c r="M20" s="75">
        <f t="shared" si="9"/>
        <v>1025.1099999999999</v>
      </c>
      <c r="N20" s="228"/>
      <c r="O20" s="75">
        <f t="shared" si="10"/>
        <v>1025.1099999999999</v>
      </c>
    </row>
    <row r="21" spans="1:15" ht="23.25" customHeight="1" x14ac:dyDescent="0.25">
      <c r="A21" s="74"/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26" t="s">
        <v>24</v>
      </c>
      <c r="B23" s="27"/>
      <c r="C23" s="28"/>
      <c r="D23" s="29"/>
      <c r="E23" s="76"/>
      <c r="F23" s="76">
        <f t="shared" ref="F23:M23" si="11">SUM(F14:F22)</f>
        <v>0</v>
      </c>
      <c r="G23" s="76">
        <f t="shared" si="11"/>
        <v>0</v>
      </c>
      <c r="H23" s="76">
        <f t="shared" si="11"/>
        <v>0</v>
      </c>
      <c r="I23" s="76">
        <f t="shared" si="11"/>
        <v>0</v>
      </c>
      <c r="J23" s="76">
        <f t="shared" si="11"/>
        <v>99.97999999999999</v>
      </c>
      <c r="K23" s="76">
        <f t="shared" si="11"/>
        <v>99.97999999999999</v>
      </c>
      <c r="L23" s="76">
        <f t="shared" si="11"/>
        <v>1025.1099999999999</v>
      </c>
      <c r="M23" s="76">
        <f t="shared" si="11"/>
        <v>1025.1099999999999</v>
      </c>
      <c r="N23" s="76">
        <f>L23-J23</f>
        <v>925.12999999999988</v>
      </c>
      <c r="O23" s="77">
        <f>SUM(O14:O22)</f>
        <v>1025.1099999999999</v>
      </c>
    </row>
    <row r="24" spans="1:15" ht="23.25" customHeight="1" x14ac:dyDescent="0.25">
      <c r="A24" s="74" t="s">
        <v>25</v>
      </c>
      <c r="B24" s="78" t="s">
        <v>226</v>
      </c>
      <c r="C24" s="78"/>
      <c r="D24" s="85"/>
      <c r="E24" s="65"/>
      <c r="F24" s="75">
        <f t="shared" ref="F24:F44" si="12">I24-E24</f>
        <v>0</v>
      </c>
      <c r="G24" s="75">
        <v>0</v>
      </c>
      <c r="H24" s="75">
        <v>0</v>
      </c>
      <c r="I24" s="75">
        <f t="shared" ref="I24:I32" si="13">SUM(G24:H24)</f>
        <v>0</v>
      </c>
      <c r="J24" s="75">
        <v>750</v>
      </c>
      <c r="K24" s="75">
        <f t="shared" ref="K24:K32" si="14">SUM(J24)</f>
        <v>750</v>
      </c>
      <c r="L24" s="75">
        <v>0</v>
      </c>
      <c r="M24" s="75">
        <f t="shared" ref="M24:M32" si="15">L24</f>
        <v>0</v>
      </c>
      <c r="N24" s="228"/>
      <c r="O24" s="75">
        <f t="shared" ref="O24:O32" si="16">G24+H24+L24</f>
        <v>0</v>
      </c>
    </row>
    <row r="25" spans="1:15" ht="23.25" customHeight="1" x14ac:dyDescent="0.25">
      <c r="A25" s="74"/>
      <c r="B25" s="65"/>
      <c r="C25" s="65"/>
      <c r="D25" s="75"/>
      <c r="E25" s="65"/>
      <c r="F25" s="75">
        <f t="shared" si="12"/>
        <v>0</v>
      </c>
      <c r="G25" s="75">
        <v>0</v>
      </c>
      <c r="H25" s="75">
        <v>0</v>
      </c>
      <c r="I25" s="75">
        <f t="shared" si="13"/>
        <v>0</v>
      </c>
      <c r="J25" s="75">
        <v>0</v>
      </c>
      <c r="K25" s="75">
        <f t="shared" si="14"/>
        <v>0</v>
      </c>
      <c r="L25" s="75">
        <v>0</v>
      </c>
      <c r="M25" s="75">
        <f t="shared" si="15"/>
        <v>0</v>
      </c>
      <c r="N25" s="228"/>
      <c r="O25" s="75">
        <f t="shared" si="16"/>
        <v>0</v>
      </c>
    </row>
    <row r="26" spans="1:15" ht="23.25" customHeight="1" x14ac:dyDescent="0.25">
      <c r="A26" s="74"/>
      <c r="B26" s="78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 t="s">
        <v>26</v>
      </c>
      <c r="B27" s="65" t="s">
        <v>327</v>
      </c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350</v>
      </c>
      <c r="K27" s="75">
        <f t="shared" si="14"/>
        <v>350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 t="s">
        <v>28</v>
      </c>
      <c r="B30" s="78"/>
      <c r="C30" s="78"/>
      <c r="D30" s="8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78"/>
      <c r="C31" s="83"/>
      <c r="D31" s="8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78"/>
      <c r="C32" s="78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26" t="s">
        <v>29</v>
      </c>
      <c r="B33" s="27"/>
      <c r="C33" s="28"/>
      <c r="D33" s="29"/>
      <c r="E33" s="76">
        <f>SUM(E24:E32)</f>
        <v>0</v>
      </c>
      <c r="F33" s="76">
        <f t="shared" si="12"/>
        <v>0</v>
      </c>
      <c r="G33" s="76">
        <f t="shared" ref="G33:M33" si="17">SUM(G24:G32)</f>
        <v>0</v>
      </c>
      <c r="H33" s="76">
        <f t="shared" si="17"/>
        <v>0</v>
      </c>
      <c r="I33" s="76">
        <f t="shared" si="17"/>
        <v>0</v>
      </c>
      <c r="J33" s="76">
        <f t="shared" si="17"/>
        <v>1100</v>
      </c>
      <c r="K33" s="76">
        <f t="shared" si="17"/>
        <v>1100</v>
      </c>
      <c r="L33" s="76">
        <f t="shared" si="17"/>
        <v>0</v>
      </c>
      <c r="M33" s="76">
        <f t="shared" si="17"/>
        <v>0</v>
      </c>
      <c r="N33" s="76">
        <f>L33-J33</f>
        <v>-1100</v>
      </c>
      <c r="O33" s="77">
        <f>SUM(O24:O32)</f>
        <v>0</v>
      </c>
    </row>
    <row r="34" spans="1:15" ht="23.25" customHeight="1" x14ac:dyDescent="0.25">
      <c r="A34" s="74" t="s">
        <v>30</v>
      </c>
      <c r="B34" s="78"/>
      <c r="C34" s="78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ref="I34:I42" si="18">SUM(G34:H34)</f>
        <v>0</v>
      </c>
      <c r="J34" s="75">
        <v>0</v>
      </c>
      <c r="K34" s="75">
        <f t="shared" ref="K34:K42" si="19">SUM(J34)</f>
        <v>0</v>
      </c>
      <c r="L34" s="75">
        <v>0</v>
      </c>
      <c r="M34" s="75">
        <f t="shared" ref="M34:M42" si="20">L34</f>
        <v>0</v>
      </c>
      <c r="N34" s="228"/>
      <c r="O34" s="75">
        <f t="shared" ref="O34:O42" si="21">G34+H34+L34</f>
        <v>0</v>
      </c>
    </row>
    <row r="35" spans="1:15" ht="23.25" customHeight="1" x14ac:dyDescent="0.25">
      <c r="A35" s="74"/>
      <c r="B35" s="78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8"/>
        <v>0</v>
      </c>
      <c r="J35" s="75">
        <v>0</v>
      </c>
      <c r="K35" s="75">
        <f t="shared" si="19"/>
        <v>0</v>
      </c>
      <c r="L35" s="75">
        <v>0</v>
      </c>
      <c r="M35" s="75">
        <f t="shared" si="20"/>
        <v>0</v>
      </c>
      <c r="N35" s="228"/>
      <c r="O35" s="75">
        <f t="shared" si="21"/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 t="s">
        <v>36</v>
      </c>
      <c r="B37" s="78"/>
      <c r="C37" s="78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78"/>
      <c r="C38" s="78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 t="s">
        <v>31</v>
      </c>
      <c r="B40" s="83"/>
      <c r="C40" s="78"/>
      <c r="D40" s="8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78"/>
      <c r="C41" s="78"/>
      <c r="D41" s="8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78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26" t="s">
        <v>32</v>
      </c>
      <c r="B43" s="27"/>
      <c r="C43" s="28"/>
      <c r="D43" s="29"/>
      <c r="E43" s="76">
        <f>SUM(G34:G42)</f>
        <v>0</v>
      </c>
      <c r="F43" s="76">
        <f t="shared" si="12"/>
        <v>0</v>
      </c>
      <c r="G43" s="76">
        <f t="shared" ref="G43:M43" si="22">SUM(G34:G42)</f>
        <v>0</v>
      </c>
      <c r="H43" s="76">
        <f t="shared" si="22"/>
        <v>0</v>
      </c>
      <c r="I43" s="76">
        <f t="shared" si="22"/>
        <v>0</v>
      </c>
      <c r="J43" s="76">
        <f t="shared" si="22"/>
        <v>0</v>
      </c>
      <c r="K43" s="76">
        <f t="shared" si="22"/>
        <v>0</v>
      </c>
      <c r="L43" s="76">
        <f t="shared" si="22"/>
        <v>0</v>
      </c>
      <c r="M43" s="76">
        <f t="shared" si="22"/>
        <v>0</v>
      </c>
      <c r="N43" s="76">
        <f>L43-J43</f>
        <v>0</v>
      </c>
      <c r="O43" s="77">
        <f>SUM(O34:O42)</f>
        <v>0</v>
      </c>
    </row>
    <row r="44" spans="1:15" ht="23.25" customHeight="1" x14ac:dyDescent="0.25">
      <c r="A44" s="30" t="s">
        <v>33</v>
      </c>
      <c r="B44" s="31"/>
      <c r="C44" s="32"/>
      <c r="D44" s="33"/>
      <c r="E44" s="69">
        <f>B43+E33+E23+E13</f>
        <v>0</v>
      </c>
      <c r="F44" s="69">
        <f t="shared" si="12"/>
        <v>0</v>
      </c>
      <c r="G44" s="69">
        <f>E43+G33+G23+G13</f>
        <v>0</v>
      </c>
      <c r="H44" s="69">
        <f t="shared" ref="H44:M44" si="23">H43+H33+H23+H13</f>
        <v>0</v>
      </c>
      <c r="I44" s="69">
        <f t="shared" si="23"/>
        <v>0</v>
      </c>
      <c r="J44" s="69">
        <f t="shared" si="23"/>
        <v>1199.98</v>
      </c>
      <c r="K44" s="69">
        <f t="shared" si="23"/>
        <v>1199.98</v>
      </c>
      <c r="L44" s="69">
        <f t="shared" si="23"/>
        <v>1025.1099999999999</v>
      </c>
      <c r="M44" s="69">
        <f t="shared" si="23"/>
        <v>1025.1099999999999</v>
      </c>
      <c r="N44" s="69">
        <f>L44-J44</f>
        <v>-174.87000000000012</v>
      </c>
      <c r="O44" s="77">
        <f>O43+O33+O23+O13</f>
        <v>1025.1099999999999</v>
      </c>
    </row>
    <row r="45" spans="1:15" x14ac:dyDescent="0.25">
      <c r="A45" s="1"/>
      <c r="B45" s="1"/>
      <c r="C45" s="1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mergeCells count="8">
    <mergeCell ref="G1:I1"/>
    <mergeCell ref="J1:K1"/>
    <mergeCell ref="L1:N1"/>
    <mergeCell ref="O1:O2"/>
    <mergeCell ref="N5:N12"/>
    <mergeCell ref="N14:N22"/>
    <mergeCell ref="N24:N32"/>
    <mergeCell ref="N34:N42"/>
  </mergeCells>
  <pageMargins left="0.7" right="0.7" top="0.75" bottom="0.75" header="0.3" footer="0.3"/>
  <pageSetup paperSize="9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46"/>
  <sheetViews>
    <sheetView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7" t="s">
        <v>227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82.58</v>
      </c>
      <c r="O3" s="3"/>
    </row>
    <row r="4" spans="1:15" ht="23.25" customHeight="1" x14ac:dyDescent="0.25">
      <c r="A4" s="65"/>
      <c r="B4" s="65"/>
      <c r="C4" s="65"/>
      <c r="D4" s="75"/>
      <c r="E4" s="65"/>
      <c r="F4" s="65"/>
      <c r="G4" s="65"/>
      <c r="H4" s="65"/>
      <c r="I4" s="72">
        <f>I45</f>
        <v>0</v>
      </c>
      <c r="J4" s="65"/>
      <c r="K4" s="73">
        <f>K45</f>
        <v>0</v>
      </c>
      <c r="L4" s="16" t="s">
        <v>35</v>
      </c>
      <c r="M4" s="17"/>
      <c r="N4" s="198">
        <f>L45-J45+N45+N3</f>
        <v>82.58</v>
      </c>
      <c r="O4" s="25"/>
    </row>
    <row r="5" spans="1:15" ht="23.25" customHeight="1" x14ac:dyDescent="0.25">
      <c r="A5" s="74"/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39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40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40"/>
      <c r="O7" s="75">
        <f t="shared" si="4"/>
        <v>0</v>
      </c>
    </row>
    <row r="8" spans="1:15" ht="23.25" customHeight="1" x14ac:dyDescent="0.25">
      <c r="A8" s="74"/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40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40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40"/>
      <c r="O10" s="75">
        <f t="shared" si="4"/>
        <v>0</v>
      </c>
    </row>
    <row r="11" spans="1:15" ht="23.25" customHeight="1" x14ac:dyDescent="0.25">
      <c r="A11" s="74"/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40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40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41"/>
      <c r="O13" s="75">
        <f t="shared" si="4"/>
        <v>0</v>
      </c>
    </row>
    <row r="14" spans="1:15" ht="23.25" customHeight="1" x14ac:dyDescent="0.25">
      <c r="A14" s="26"/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/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/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 t="s">
        <v>22</v>
      </c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/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/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/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/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 t="s">
        <v>31</v>
      </c>
      <c r="B36" s="78"/>
      <c r="C36" s="78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O61"/>
  <sheetViews>
    <sheetView zoomScale="95" zoomScaleNormal="95" workbookViewId="0">
      <pane ySplit="1" topLeftCell="A38" activePane="bottomLeft" state="frozen"/>
      <selection pane="bottomLeft" activeCell="C41" sqref="C41"/>
    </sheetView>
  </sheetViews>
  <sheetFormatPr baseColWidth="10" defaultColWidth="9" defaultRowHeight="15.75" x14ac:dyDescent="0.25"/>
  <cols>
    <col min="1" max="1" width="12.125" customWidth="1"/>
    <col min="2" max="2" width="28.12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228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K3" s="4"/>
      <c r="L3" s="36" t="s">
        <v>229</v>
      </c>
      <c r="M3" s="71" t="s">
        <v>230</v>
      </c>
      <c r="N3" s="71">
        <v>6227.72</v>
      </c>
      <c r="O3" s="3"/>
    </row>
    <row r="4" spans="1:15" ht="51.75" customHeight="1" x14ac:dyDescent="0.35">
      <c r="A4" s="21"/>
      <c r="B4" s="110" t="s">
        <v>231</v>
      </c>
      <c r="C4" s="111"/>
      <c r="D4" s="22"/>
      <c r="E4" s="21"/>
      <c r="F4" s="21"/>
      <c r="G4" s="21"/>
      <c r="H4" s="23"/>
      <c r="I4" s="72">
        <f>I60</f>
        <v>0</v>
      </c>
      <c r="J4" s="65"/>
      <c r="K4" s="73">
        <f>K60</f>
        <v>3770.3900000000003</v>
      </c>
      <c r="L4" s="24" t="s">
        <v>16</v>
      </c>
      <c r="M4" s="16"/>
      <c r="N4" s="198">
        <f>L60-J60+N3</f>
        <v>2457.33</v>
      </c>
      <c r="O4" s="25"/>
    </row>
    <row r="5" spans="1:15" ht="23.25" customHeight="1" x14ac:dyDescent="0.25">
      <c r="A5" s="74" t="s">
        <v>17</v>
      </c>
      <c r="B5" s="175" t="s">
        <v>232</v>
      </c>
      <c r="C5" s="108" t="s">
        <v>233</v>
      </c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3.42</v>
      </c>
      <c r="K5" s="75">
        <f t="shared" ref="K5:K12" si="2">SUM(J5)</f>
        <v>3.42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173" t="s">
        <v>234</v>
      </c>
      <c r="C6" s="108" t="s">
        <v>235</v>
      </c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101.53</v>
      </c>
      <c r="K6" s="75">
        <f t="shared" si="2"/>
        <v>101.53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175" t="s">
        <v>236</v>
      </c>
      <c r="C8" s="175" t="s">
        <v>237</v>
      </c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178</v>
      </c>
      <c r="K8" s="75">
        <f t="shared" si="2"/>
        <v>178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78" t="s">
        <v>238</v>
      </c>
      <c r="C9" s="78" t="s">
        <v>239</v>
      </c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11.01</v>
      </c>
      <c r="K9" s="75">
        <f t="shared" si="2"/>
        <v>11.01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78" t="s">
        <v>240</v>
      </c>
      <c r="C10" s="78" t="s">
        <v>241</v>
      </c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15</v>
      </c>
      <c r="K10" s="75">
        <f t="shared" si="2"/>
        <v>15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112" t="s">
        <v>242</v>
      </c>
      <c r="C11" s="78" t="s">
        <v>243</v>
      </c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16.420000000000002</v>
      </c>
      <c r="K11" s="75">
        <f t="shared" si="2"/>
        <v>16.420000000000002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177"/>
      <c r="C12" s="78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27"/>
      <c r="C13" s="28"/>
      <c r="D13" s="29"/>
      <c r="E13" s="76"/>
      <c r="F13" s="76">
        <f t="shared" ref="F13:M13" si="5">SUM(F5:F12)</f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325.38</v>
      </c>
      <c r="K13" s="76">
        <f t="shared" si="5"/>
        <v>325.38</v>
      </c>
      <c r="L13" s="76">
        <f t="shared" si="5"/>
        <v>0</v>
      </c>
      <c r="M13" s="76">
        <f t="shared" si="5"/>
        <v>0</v>
      </c>
      <c r="N13" s="76">
        <f>L13-J13</f>
        <v>-325.38</v>
      </c>
      <c r="O13" s="77">
        <f>SUM(O5:O12)</f>
        <v>0</v>
      </c>
    </row>
    <row r="14" spans="1:15" ht="23.25" customHeight="1" x14ac:dyDescent="0.25">
      <c r="A14" s="74" t="s">
        <v>21</v>
      </c>
      <c r="B14" s="78"/>
      <c r="C14" s="78"/>
      <c r="D14" s="75"/>
      <c r="E14" s="65"/>
      <c r="F14" s="75">
        <f t="shared" ref="F14:F24" si="6">I14-E14</f>
        <v>0</v>
      </c>
      <c r="G14" s="75">
        <v>0</v>
      </c>
      <c r="H14" s="75">
        <v>0</v>
      </c>
      <c r="I14" s="75">
        <f t="shared" ref="I14:I24" si="7">SUM(G14:H14)</f>
        <v>0</v>
      </c>
      <c r="J14" s="75">
        <v>0</v>
      </c>
      <c r="K14" s="75">
        <f t="shared" ref="K14:K24" si="8">SUM(J14)</f>
        <v>0</v>
      </c>
      <c r="L14" s="75">
        <v>0</v>
      </c>
      <c r="M14" s="75">
        <f t="shared" ref="M14:M24" si="9">L14</f>
        <v>0</v>
      </c>
      <c r="N14" s="228"/>
      <c r="O14" s="75">
        <f t="shared" ref="O14:O24" si="10">G14+H14+L14</f>
        <v>0</v>
      </c>
    </row>
    <row r="15" spans="1:15" ht="23.25" customHeight="1" x14ac:dyDescent="0.25">
      <c r="A15" s="74"/>
      <c r="B15" s="78"/>
      <c r="C15" s="78"/>
      <c r="D15" s="75"/>
      <c r="E15" s="65"/>
      <c r="F15" s="75">
        <f t="shared" si="6"/>
        <v>0</v>
      </c>
      <c r="G15" s="75">
        <v>0</v>
      </c>
      <c r="H15" s="75">
        <v>0</v>
      </c>
      <c r="I15" s="75">
        <f t="shared" si="7"/>
        <v>0</v>
      </c>
      <c r="J15" s="75">
        <v>0</v>
      </c>
      <c r="K15" s="75">
        <f t="shared" si="8"/>
        <v>0</v>
      </c>
      <c r="L15" s="75">
        <v>0</v>
      </c>
      <c r="M15" s="75">
        <f t="shared" si="9"/>
        <v>0</v>
      </c>
      <c r="N15" s="228"/>
      <c r="O15" s="75">
        <f t="shared" si="10"/>
        <v>0</v>
      </c>
    </row>
    <row r="16" spans="1:15" ht="23.25" customHeight="1" x14ac:dyDescent="0.25">
      <c r="A16" s="74"/>
      <c r="B16" s="78"/>
      <c r="C16" s="78"/>
      <c r="D16" s="75"/>
      <c r="E16" s="65"/>
      <c r="F16" s="75">
        <f>I16-E16</f>
        <v>0</v>
      </c>
      <c r="G16" s="75">
        <v>0</v>
      </c>
      <c r="H16" s="75">
        <v>0</v>
      </c>
      <c r="I16" s="75">
        <f>SUM(G16:H16)</f>
        <v>0</v>
      </c>
      <c r="J16" s="75">
        <v>0</v>
      </c>
      <c r="K16" s="75">
        <f>SUM(J16)</f>
        <v>0</v>
      </c>
      <c r="L16" s="75">
        <v>0</v>
      </c>
      <c r="M16" s="75">
        <f>L16</f>
        <v>0</v>
      </c>
      <c r="N16" s="228"/>
      <c r="O16" s="75">
        <f>G16+H16+L16</f>
        <v>0</v>
      </c>
    </row>
    <row r="17" spans="1:15" ht="23.25" customHeight="1" x14ac:dyDescent="0.25">
      <c r="A17" s="74"/>
      <c r="B17" s="78"/>
      <c r="C17" s="78"/>
      <c r="D17" s="8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 t="s">
        <v>244</v>
      </c>
      <c r="C18" s="78" t="s">
        <v>245</v>
      </c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10</v>
      </c>
      <c r="K18" s="75">
        <f t="shared" si="8"/>
        <v>10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177" t="s">
        <v>246</v>
      </c>
      <c r="C19" s="78" t="s">
        <v>237</v>
      </c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94">
        <v>510</v>
      </c>
      <c r="K19" s="75">
        <f t="shared" si="8"/>
        <v>510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177" t="s">
        <v>247</v>
      </c>
      <c r="C20" s="78" t="s">
        <v>237</v>
      </c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375</v>
      </c>
      <c r="K20" s="75">
        <f t="shared" si="8"/>
        <v>375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/>
      <c r="B21" s="177" t="s">
        <v>248</v>
      </c>
      <c r="C21" s="78" t="s">
        <v>237</v>
      </c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110</v>
      </c>
      <c r="K21" s="75">
        <f t="shared" si="8"/>
        <v>110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 t="s">
        <v>23</v>
      </c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74"/>
      <c r="B24" s="65"/>
      <c r="C24" s="65"/>
      <c r="D24" s="75"/>
      <c r="E24" s="65"/>
      <c r="F24" s="75">
        <f t="shared" si="6"/>
        <v>0</v>
      </c>
      <c r="G24" s="75">
        <v>0</v>
      </c>
      <c r="H24" s="75">
        <v>0</v>
      </c>
      <c r="I24" s="75">
        <f t="shared" si="7"/>
        <v>0</v>
      </c>
      <c r="J24" s="75">
        <v>0</v>
      </c>
      <c r="K24" s="75">
        <f t="shared" si="8"/>
        <v>0</v>
      </c>
      <c r="L24" s="75">
        <v>0</v>
      </c>
      <c r="M24" s="75">
        <f t="shared" si="9"/>
        <v>0</v>
      </c>
      <c r="N24" s="228"/>
      <c r="O24" s="75">
        <f t="shared" si="10"/>
        <v>0</v>
      </c>
    </row>
    <row r="25" spans="1:15" ht="23.25" customHeight="1" x14ac:dyDescent="0.25">
      <c r="A25" s="26" t="s">
        <v>24</v>
      </c>
      <c r="B25" s="27"/>
      <c r="C25" s="28"/>
      <c r="D25" s="29"/>
      <c r="E25" s="76"/>
      <c r="F25" s="76">
        <f t="shared" ref="F25:M25" si="11">SUM(F14:F24)</f>
        <v>0</v>
      </c>
      <c r="G25" s="76">
        <f t="shared" si="11"/>
        <v>0</v>
      </c>
      <c r="H25" s="76">
        <f t="shared" si="11"/>
        <v>0</v>
      </c>
      <c r="I25" s="76">
        <f t="shared" si="11"/>
        <v>0</v>
      </c>
      <c r="J25" s="76">
        <f t="shared" si="11"/>
        <v>1005</v>
      </c>
      <c r="K25" s="76">
        <f t="shared" si="11"/>
        <v>1005</v>
      </c>
      <c r="L25" s="76">
        <f t="shared" si="11"/>
        <v>0</v>
      </c>
      <c r="M25" s="76">
        <f t="shared" si="11"/>
        <v>0</v>
      </c>
      <c r="N25" s="76">
        <f>L25-J25</f>
        <v>-1005</v>
      </c>
      <c r="O25" s="77">
        <f>SUM(O14:O24)</f>
        <v>0</v>
      </c>
    </row>
    <row r="26" spans="1:15" ht="23.25" customHeight="1" x14ac:dyDescent="0.25">
      <c r="A26" s="74" t="s">
        <v>25</v>
      </c>
      <c r="B26" s="78"/>
      <c r="C26" s="78"/>
      <c r="D26" s="85"/>
      <c r="E26" s="65"/>
      <c r="F26" s="75">
        <f t="shared" ref="F26:F60" si="12">I26-E26</f>
        <v>0</v>
      </c>
      <c r="G26" s="75">
        <v>0</v>
      </c>
      <c r="H26" s="75">
        <v>0</v>
      </c>
      <c r="I26" s="75">
        <f t="shared" ref="I26:I34" si="13">SUM(G26:H26)</f>
        <v>0</v>
      </c>
      <c r="J26" s="75">
        <v>0</v>
      </c>
      <c r="K26" s="75">
        <f t="shared" ref="K26:K34" si="14">SUM(J26)</f>
        <v>0</v>
      </c>
      <c r="L26" s="75">
        <v>0</v>
      </c>
      <c r="M26" s="75">
        <f t="shared" ref="M26:M34" si="15">L26</f>
        <v>0</v>
      </c>
      <c r="N26" s="228"/>
      <c r="O26" s="75">
        <f t="shared" ref="O26:O34" si="16">G26+H26+L26</f>
        <v>0</v>
      </c>
    </row>
    <row r="27" spans="1:15" ht="23.25" customHeight="1" x14ac:dyDescent="0.25">
      <c r="A27" s="74"/>
      <c r="B27" s="78"/>
      <c r="C27" s="78"/>
      <c r="D27" s="8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/>
      <c r="B28" s="51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51"/>
      <c r="C29" s="78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78"/>
      <c r="C30" s="78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/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 t="s">
        <v>26</v>
      </c>
      <c r="B32" s="78"/>
      <c r="C32" s="78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 t="s">
        <v>28</v>
      </c>
      <c r="B33" s="78"/>
      <c r="C33" s="78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74"/>
      <c r="B34" s="65"/>
      <c r="C34" s="65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3"/>
        <v>0</v>
      </c>
      <c r="J34" s="75">
        <v>0</v>
      </c>
      <c r="K34" s="75">
        <f t="shared" si="14"/>
        <v>0</v>
      </c>
      <c r="L34" s="75">
        <v>0</v>
      </c>
      <c r="M34" s="75">
        <f t="shared" si="15"/>
        <v>0</v>
      </c>
      <c r="N34" s="228"/>
      <c r="O34" s="75">
        <f t="shared" si="16"/>
        <v>0</v>
      </c>
    </row>
    <row r="35" spans="1:15" ht="23.25" customHeight="1" x14ac:dyDescent="0.25">
      <c r="A35" s="26" t="s">
        <v>29</v>
      </c>
      <c r="B35" s="27"/>
      <c r="C35" s="28"/>
      <c r="D35" s="29"/>
      <c r="E35" s="76"/>
      <c r="F35" s="76">
        <f t="shared" si="12"/>
        <v>0</v>
      </c>
      <c r="G35" s="76">
        <f t="shared" ref="G35:M35" si="17">SUM(G26:G34)</f>
        <v>0</v>
      </c>
      <c r="H35" s="76">
        <f t="shared" si="17"/>
        <v>0</v>
      </c>
      <c r="I35" s="76">
        <f t="shared" si="17"/>
        <v>0</v>
      </c>
      <c r="J35" s="76">
        <f t="shared" si="17"/>
        <v>0</v>
      </c>
      <c r="K35" s="76">
        <f t="shared" si="17"/>
        <v>0</v>
      </c>
      <c r="L35" s="76">
        <f t="shared" si="17"/>
        <v>0</v>
      </c>
      <c r="M35" s="76">
        <f t="shared" si="17"/>
        <v>0</v>
      </c>
      <c r="N35" s="76">
        <f>L35-J35</f>
        <v>0</v>
      </c>
      <c r="O35" s="77">
        <f>SUM(O26:O34)</f>
        <v>0</v>
      </c>
    </row>
    <row r="36" spans="1:15" ht="23.25" customHeight="1" x14ac:dyDescent="0.25">
      <c r="A36" s="74" t="s">
        <v>30</v>
      </c>
      <c r="B36" s="87"/>
      <c r="C36" s="78"/>
      <c r="D36" s="85"/>
      <c r="E36" s="65"/>
      <c r="F36" s="75">
        <f t="shared" si="12"/>
        <v>0</v>
      </c>
      <c r="G36" s="75">
        <v>0</v>
      </c>
      <c r="H36" s="75">
        <v>0</v>
      </c>
      <c r="I36" s="75">
        <f t="shared" ref="I36:I51" si="18">SUM(G36:H36)</f>
        <v>0</v>
      </c>
      <c r="J36" s="75">
        <v>0</v>
      </c>
      <c r="K36" s="75">
        <f t="shared" ref="K36:K51" si="19">SUM(J36)</f>
        <v>0</v>
      </c>
      <c r="L36" s="75">
        <v>0</v>
      </c>
      <c r="M36" s="75">
        <f t="shared" ref="M36:M51" si="20">L36</f>
        <v>0</v>
      </c>
      <c r="N36" s="228"/>
      <c r="O36" s="75">
        <f t="shared" ref="O36:O57" si="21">G36+H36+L36</f>
        <v>0</v>
      </c>
    </row>
    <row r="37" spans="1:15" ht="23.25" customHeight="1" x14ac:dyDescent="0.25">
      <c r="A37" s="74"/>
      <c r="B37" s="178"/>
      <c r="C37" s="78"/>
      <c r="D37" s="85"/>
      <c r="E37" s="65"/>
      <c r="F37" s="75"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v>0</v>
      </c>
    </row>
    <row r="38" spans="1:15" ht="23.25" customHeight="1" x14ac:dyDescent="0.25">
      <c r="A38" s="74"/>
      <c r="B38" s="173"/>
      <c r="C38" s="78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 t="s">
        <v>36</v>
      </c>
      <c r="B39" s="78" t="s">
        <v>249</v>
      </c>
      <c r="C39" s="78" t="s">
        <v>250</v>
      </c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400</v>
      </c>
      <c r="K39" s="75">
        <f>SUM(J39)</f>
        <v>400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78" t="s">
        <v>251</v>
      </c>
      <c r="C40" s="78" t="s">
        <v>252</v>
      </c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99.99</v>
      </c>
      <c r="K40" s="75">
        <f>SUM(J40)</f>
        <v>99.99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/>
      <c r="B41" s="78" t="s">
        <v>253</v>
      </c>
      <c r="C41" s="78" t="s">
        <v>254</v>
      </c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49.98</v>
      </c>
      <c r="K41" s="75">
        <f>SUM(J41)</f>
        <v>49.98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B42" s="78" t="s">
        <v>255</v>
      </c>
      <c r="C42" s="78" t="s">
        <v>256</v>
      </c>
      <c r="D42" s="8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50</v>
      </c>
      <c r="K42" s="75">
        <f t="shared" si="19"/>
        <v>50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s="14" customFormat="1" ht="23.25" customHeight="1" x14ac:dyDescent="0.25">
      <c r="A43" s="63"/>
      <c r="B43" s="78" t="s">
        <v>257</v>
      </c>
      <c r="C43" s="78" t="s">
        <v>258</v>
      </c>
      <c r="D43" s="64"/>
      <c r="E43" s="83"/>
      <c r="F43" s="64">
        <f t="shared" si="12"/>
        <v>0</v>
      </c>
      <c r="G43" s="64">
        <v>0</v>
      </c>
      <c r="H43" s="64">
        <v>0</v>
      </c>
      <c r="I43" s="64">
        <f t="shared" si="18"/>
        <v>0</v>
      </c>
      <c r="J43" s="64">
        <v>0</v>
      </c>
      <c r="K43" s="64">
        <f t="shared" si="19"/>
        <v>0</v>
      </c>
      <c r="L43" s="113">
        <v>0</v>
      </c>
      <c r="M43" s="64">
        <f t="shared" si="20"/>
        <v>0</v>
      </c>
      <c r="N43" s="228"/>
      <c r="O43" s="64">
        <f t="shared" si="21"/>
        <v>0</v>
      </c>
    </row>
    <row r="44" spans="1:15" s="14" customFormat="1" ht="23.25" customHeight="1" x14ac:dyDescent="0.25">
      <c r="A44" s="63"/>
      <c r="B44" s="78" t="s">
        <v>259</v>
      </c>
      <c r="C44" s="78" t="s">
        <v>260</v>
      </c>
      <c r="D44" s="64"/>
      <c r="E44" s="83"/>
      <c r="F44" s="64">
        <f t="shared" ref="F44:F50" si="22">I44-E44</f>
        <v>0</v>
      </c>
      <c r="G44" s="64">
        <v>0</v>
      </c>
      <c r="H44" s="64">
        <v>0</v>
      </c>
      <c r="I44" s="64">
        <f t="shared" ref="I44:I50" si="23">SUM(G44:H44)</f>
        <v>0</v>
      </c>
      <c r="J44" s="64">
        <v>40</v>
      </c>
      <c r="K44" s="64">
        <f t="shared" ref="K44:K50" si="24">SUM(J44)</f>
        <v>40</v>
      </c>
      <c r="L44" s="113">
        <v>0</v>
      </c>
      <c r="M44" s="64">
        <f t="shared" ref="M44:M50" si="25">L44</f>
        <v>0</v>
      </c>
      <c r="N44" s="228"/>
      <c r="O44" s="64">
        <f t="shared" si="21"/>
        <v>0</v>
      </c>
    </row>
    <row r="45" spans="1:15" s="14" customFormat="1" ht="23.25" customHeight="1" x14ac:dyDescent="0.25">
      <c r="A45" s="63"/>
      <c r="B45" s="78" t="s">
        <v>261</v>
      </c>
      <c r="C45" s="78" t="s">
        <v>262</v>
      </c>
      <c r="D45" s="64"/>
      <c r="E45" s="83"/>
      <c r="F45" s="64">
        <f t="shared" si="22"/>
        <v>0</v>
      </c>
      <c r="G45" s="64">
        <v>0</v>
      </c>
      <c r="H45" s="64">
        <v>0</v>
      </c>
      <c r="I45" s="64">
        <f t="shared" si="23"/>
        <v>0</v>
      </c>
      <c r="J45" s="64">
        <v>200</v>
      </c>
      <c r="K45" s="64">
        <f t="shared" si="24"/>
        <v>200</v>
      </c>
      <c r="L45" s="113">
        <v>0</v>
      </c>
      <c r="M45" s="64">
        <f t="shared" si="25"/>
        <v>0</v>
      </c>
      <c r="N45" s="228"/>
      <c r="O45" s="64">
        <f t="shared" si="21"/>
        <v>0</v>
      </c>
    </row>
    <row r="46" spans="1:15" s="14" customFormat="1" ht="23.25" customHeight="1" x14ac:dyDescent="0.25">
      <c r="A46" s="63"/>
      <c r="B46" s="78" t="s">
        <v>263</v>
      </c>
      <c r="C46" s="78" t="s">
        <v>264</v>
      </c>
      <c r="D46" s="64"/>
      <c r="E46" s="83"/>
      <c r="F46" s="64">
        <f t="shared" si="22"/>
        <v>0</v>
      </c>
      <c r="G46" s="64">
        <v>0</v>
      </c>
      <c r="H46" s="64">
        <v>0</v>
      </c>
      <c r="I46" s="64">
        <f t="shared" si="23"/>
        <v>0</v>
      </c>
      <c r="J46" s="64">
        <v>49.99</v>
      </c>
      <c r="K46" s="64">
        <f t="shared" si="24"/>
        <v>49.99</v>
      </c>
      <c r="L46" s="113">
        <v>0</v>
      </c>
      <c r="M46" s="64">
        <f t="shared" si="25"/>
        <v>0</v>
      </c>
      <c r="N46" s="228"/>
      <c r="O46" s="64">
        <f t="shared" si="21"/>
        <v>0</v>
      </c>
    </row>
    <row r="47" spans="1:15" s="14" customFormat="1" ht="23.25" customHeight="1" x14ac:dyDescent="0.25">
      <c r="A47" s="63"/>
      <c r="B47" s="78" t="s">
        <v>265</v>
      </c>
      <c r="C47" s="78" t="s">
        <v>266</v>
      </c>
      <c r="D47" s="64"/>
      <c r="E47" s="83"/>
      <c r="F47" s="64">
        <f t="shared" si="22"/>
        <v>0</v>
      </c>
      <c r="G47" s="64">
        <v>0</v>
      </c>
      <c r="H47" s="64">
        <v>0</v>
      </c>
      <c r="I47" s="64">
        <f t="shared" si="23"/>
        <v>0</v>
      </c>
      <c r="J47" s="64">
        <v>1500</v>
      </c>
      <c r="K47" s="64">
        <f t="shared" si="24"/>
        <v>1500</v>
      </c>
      <c r="L47" s="113">
        <v>0</v>
      </c>
      <c r="M47" s="64">
        <f t="shared" si="25"/>
        <v>0</v>
      </c>
      <c r="N47" s="228"/>
      <c r="O47" s="64">
        <f t="shared" si="21"/>
        <v>0</v>
      </c>
    </row>
    <row r="48" spans="1:15" s="14" customFormat="1" ht="23.25" customHeight="1" x14ac:dyDescent="0.25">
      <c r="A48" s="63"/>
      <c r="B48" s="78" t="s">
        <v>267</v>
      </c>
      <c r="C48" s="78" t="s">
        <v>264</v>
      </c>
      <c r="D48" s="64"/>
      <c r="E48" s="83"/>
      <c r="F48" s="64">
        <f t="shared" si="22"/>
        <v>0</v>
      </c>
      <c r="G48" s="64">
        <v>0</v>
      </c>
      <c r="H48" s="64">
        <v>0</v>
      </c>
      <c r="I48" s="64">
        <f t="shared" si="23"/>
        <v>0</v>
      </c>
      <c r="J48" s="64">
        <v>50.05</v>
      </c>
      <c r="K48" s="64">
        <f t="shared" si="24"/>
        <v>50.05</v>
      </c>
      <c r="L48" s="113">
        <v>0</v>
      </c>
      <c r="M48" s="64">
        <f t="shared" si="25"/>
        <v>0</v>
      </c>
      <c r="N48" s="228"/>
      <c r="O48" s="64">
        <f t="shared" si="21"/>
        <v>0</v>
      </c>
    </row>
    <row r="49" spans="1:15" s="14" customFormat="1" ht="23.25" customHeight="1" x14ac:dyDescent="0.25">
      <c r="A49" s="63"/>
      <c r="B49" s="78"/>
      <c r="C49" s="78"/>
      <c r="D49" s="64"/>
      <c r="E49" s="83"/>
      <c r="F49" s="64">
        <f t="shared" si="22"/>
        <v>0</v>
      </c>
      <c r="G49" s="64">
        <v>0</v>
      </c>
      <c r="H49" s="64">
        <v>0</v>
      </c>
      <c r="I49" s="64">
        <f t="shared" si="23"/>
        <v>0</v>
      </c>
      <c r="J49" s="64">
        <v>0</v>
      </c>
      <c r="K49" s="64">
        <f t="shared" si="24"/>
        <v>0</v>
      </c>
      <c r="L49" s="113">
        <v>0</v>
      </c>
      <c r="M49" s="64">
        <f t="shared" si="25"/>
        <v>0</v>
      </c>
      <c r="N49" s="228"/>
      <c r="O49" s="64">
        <f t="shared" si="21"/>
        <v>0</v>
      </c>
    </row>
    <row r="50" spans="1:15" s="14" customFormat="1" ht="23.25" customHeight="1" x14ac:dyDescent="0.25">
      <c r="A50" s="63"/>
      <c r="B50" s="78"/>
      <c r="C50" s="78"/>
      <c r="D50" s="64"/>
      <c r="E50" s="83"/>
      <c r="F50" s="64">
        <f t="shared" si="22"/>
        <v>0</v>
      </c>
      <c r="G50" s="64">
        <v>0</v>
      </c>
      <c r="H50" s="64">
        <v>0</v>
      </c>
      <c r="I50" s="64">
        <f t="shared" si="23"/>
        <v>0</v>
      </c>
      <c r="J50" s="64">
        <v>0</v>
      </c>
      <c r="K50" s="64">
        <f t="shared" si="24"/>
        <v>0</v>
      </c>
      <c r="L50" s="113">
        <v>0</v>
      </c>
      <c r="M50" s="64">
        <f t="shared" si="25"/>
        <v>0</v>
      </c>
      <c r="N50" s="228"/>
      <c r="O50" s="64">
        <f t="shared" si="21"/>
        <v>0</v>
      </c>
    </row>
    <row r="51" spans="1:15" ht="23.25" customHeight="1" x14ac:dyDescent="0.25">
      <c r="A51" s="74" t="s">
        <v>31</v>
      </c>
      <c r="B51" s="83"/>
      <c r="C51" s="78"/>
      <c r="D51" s="85"/>
      <c r="E51" s="65"/>
      <c r="F51" s="75">
        <f t="shared" si="12"/>
        <v>0</v>
      </c>
      <c r="G51" s="75">
        <v>0</v>
      </c>
      <c r="H51" s="75">
        <v>0</v>
      </c>
      <c r="I51" s="75">
        <f t="shared" si="18"/>
        <v>0</v>
      </c>
      <c r="J51" s="75">
        <v>0</v>
      </c>
      <c r="K51" s="75">
        <f t="shared" si="19"/>
        <v>0</v>
      </c>
      <c r="L51" s="75">
        <v>0</v>
      </c>
      <c r="M51" s="75">
        <f t="shared" si="20"/>
        <v>0</v>
      </c>
      <c r="N51" s="228"/>
      <c r="O51" s="75">
        <f t="shared" si="21"/>
        <v>0</v>
      </c>
    </row>
    <row r="52" spans="1:15" ht="23.25" customHeight="1" x14ac:dyDescent="0.25">
      <c r="A52" s="74"/>
      <c r="B52" s="78" t="s">
        <v>268</v>
      </c>
      <c r="C52" s="78" t="s">
        <v>269</v>
      </c>
      <c r="D52" s="85"/>
      <c r="E52" s="65"/>
      <c r="F52" s="75">
        <f t="shared" ref="F52:F57" si="26">I52-E52</f>
        <v>0</v>
      </c>
      <c r="G52" s="75">
        <v>0</v>
      </c>
      <c r="H52" s="75">
        <v>0</v>
      </c>
      <c r="I52" s="75">
        <f t="shared" ref="I52:I57" si="27">SUM(G52:H52)</f>
        <v>0</v>
      </c>
      <c r="J52" s="75">
        <v>200</v>
      </c>
      <c r="K52" s="75">
        <f t="shared" ref="K52:K57" si="28">SUM(J52)</f>
        <v>200</v>
      </c>
      <c r="L52" s="75">
        <v>0</v>
      </c>
      <c r="M52" s="75">
        <f t="shared" ref="M52:M57" si="29">L52</f>
        <v>0</v>
      </c>
      <c r="N52" s="183"/>
      <c r="O52" s="75">
        <f t="shared" si="21"/>
        <v>0</v>
      </c>
    </row>
    <row r="53" spans="1:15" ht="23.25" customHeight="1" x14ac:dyDescent="0.25">
      <c r="A53" s="74"/>
      <c r="B53" s="78" t="s">
        <v>270</v>
      </c>
      <c r="C53" s="78" t="s">
        <v>271</v>
      </c>
      <c r="D53" s="85"/>
      <c r="E53" s="65"/>
      <c r="F53" s="75">
        <f t="shared" si="26"/>
        <v>0</v>
      </c>
      <c r="G53" s="75">
        <v>0</v>
      </c>
      <c r="H53" s="75">
        <v>0</v>
      </c>
      <c r="I53" s="75">
        <f t="shared" si="27"/>
        <v>0</v>
      </c>
      <c r="J53" s="75">
        <v>50</v>
      </c>
      <c r="K53" s="75">
        <f t="shared" si="28"/>
        <v>50</v>
      </c>
      <c r="L53" s="75">
        <v>0</v>
      </c>
      <c r="M53" s="75">
        <f t="shared" si="29"/>
        <v>0</v>
      </c>
      <c r="N53" s="183"/>
      <c r="O53" s="75">
        <f t="shared" si="21"/>
        <v>0</v>
      </c>
    </row>
    <row r="54" spans="1:15" ht="23.25" customHeight="1" x14ac:dyDescent="0.25">
      <c r="A54" s="74"/>
      <c r="B54" s="78" t="s">
        <v>272</v>
      </c>
      <c r="C54" s="78" t="s">
        <v>273</v>
      </c>
      <c r="D54" s="85"/>
      <c r="E54" s="65"/>
      <c r="F54" s="75">
        <f t="shared" si="26"/>
        <v>0</v>
      </c>
      <c r="G54" s="75">
        <v>0</v>
      </c>
      <c r="H54" s="75">
        <v>0</v>
      </c>
      <c r="I54" s="75">
        <f t="shared" si="27"/>
        <v>0</v>
      </c>
      <c r="J54" s="75">
        <v>100</v>
      </c>
      <c r="K54" s="75">
        <v>100</v>
      </c>
      <c r="L54" s="75">
        <v>0</v>
      </c>
      <c r="M54" s="75">
        <f t="shared" si="29"/>
        <v>0</v>
      </c>
      <c r="N54" s="183"/>
      <c r="O54" s="75">
        <f t="shared" si="21"/>
        <v>0</v>
      </c>
    </row>
    <row r="55" spans="1:15" ht="23.25" customHeight="1" x14ac:dyDescent="0.25">
      <c r="A55" s="74"/>
      <c r="B55" s="78" t="s">
        <v>274</v>
      </c>
      <c r="C55" s="78" t="s">
        <v>275</v>
      </c>
      <c r="D55" s="85"/>
      <c r="E55" s="65"/>
      <c r="F55" s="75">
        <f t="shared" si="26"/>
        <v>0</v>
      </c>
      <c r="G55" s="75">
        <v>0</v>
      </c>
      <c r="H55" s="75">
        <v>0</v>
      </c>
      <c r="I55" s="75">
        <f t="shared" si="27"/>
        <v>0</v>
      </c>
      <c r="J55" s="75">
        <v>3.28</v>
      </c>
      <c r="K55" s="75">
        <f t="shared" si="28"/>
        <v>3.28</v>
      </c>
      <c r="L55" s="75">
        <v>0</v>
      </c>
      <c r="M55" s="75">
        <f t="shared" si="29"/>
        <v>0</v>
      </c>
      <c r="N55" s="183"/>
      <c r="O55" s="75">
        <f t="shared" si="21"/>
        <v>0</v>
      </c>
    </row>
    <row r="56" spans="1:15" ht="23.25" customHeight="1" x14ac:dyDescent="0.25">
      <c r="A56" s="74"/>
      <c r="B56" s="78" t="s">
        <v>276</v>
      </c>
      <c r="C56" s="78" t="s">
        <v>277</v>
      </c>
      <c r="D56" s="85"/>
      <c r="E56" s="65"/>
      <c r="F56" s="75">
        <f t="shared" si="26"/>
        <v>0</v>
      </c>
      <c r="G56" s="75">
        <v>0</v>
      </c>
      <c r="H56" s="75">
        <v>0</v>
      </c>
      <c r="I56" s="75">
        <f t="shared" si="27"/>
        <v>0</v>
      </c>
      <c r="J56" s="75">
        <v>100</v>
      </c>
      <c r="K56" s="75">
        <f t="shared" si="28"/>
        <v>100</v>
      </c>
      <c r="L56" s="75">
        <v>0</v>
      </c>
      <c r="M56" s="75">
        <f t="shared" si="29"/>
        <v>0</v>
      </c>
      <c r="N56" s="183"/>
      <c r="O56" s="75">
        <f t="shared" si="21"/>
        <v>0</v>
      </c>
    </row>
    <row r="57" spans="1:15" ht="23.25" customHeight="1" x14ac:dyDescent="0.25">
      <c r="A57" s="74"/>
      <c r="B57" s="78" t="s">
        <v>278</v>
      </c>
      <c r="C57" s="78" t="s">
        <v>279</v>
      </c>
      <c r="D57" s="85"/>
      <c r="E57" s="65"/>
      <c r="F57" s="75">
        <f t="shared" si="26"/>
        <v>0</v>
      </c>
      <c r="G57" s="75">
        <v>0</v>
      </c>
      <c r="H57" s="75">
        <v>0</v>
      </c>
      <c r="I57" s="75">
        <f t="shared" si="27"/>
        <v>0</v>
      </c>
      <c r="J57" s="75">
        <v>2450.83</v>
      </c>
      <c r="K57" s="75">
        <f t="shared" si="28"/>
        <v>2450.83</v>
      </c>
      <c r="L57" s="75">
        <v>0</v>
      </c>
      <c r="M57" s="75">
        <f t="shared" si="29"/>
        <v>0</v>
      </c>
      <c r="N57" s="183"/>
      <c r="O57" s="75">
        <f t="shared" si="21"/>
        <v>0</v>
      </c>
    </row>
    <row r="58" spans="1:15" ht="23.25" customHeight="1" x14ac:dyDescent="0.25">
      <c r="A58" s="74"/>
      <c r="B58" s="78" t="s">
        <v>280</v>
      </c>
      <c r="C58" s="78" t="s">
        <v>281</v>
      </c>
      <c r="D58" s="85"/>
      <c r="E58" s="65"/>
      <c r="F58" s="75">
        <f>I58-E58</f>
        <v>0</v>
      </c>
      <c r="G58" s="75">
        <v>0</v>
      </c>
      <c r="H58" s="75">
        <v>0</v>
      </c>
      <c r="I58" s="75">
        <f>SUM(G58:H58)</f>
        <v>0</v>
      </c>
      <c r="J58" s="75">
        <v>5.83</v>
      </c>
      <c r="K58" s="75">
        <f>SUM(J58)</f>
        <v>5.83</v>
      </c>
      <c r="L58" s="75">
        <v>0</v>
      </c>
      <c r="M58" s="75">
        <f>L58</f>
        <v>0</v>
      </c>
      <c r="N58" s="183"/>
      <c r="O58" s="75">
        <f>G58+H58+L58</f>
        <v>0</v>
      </c>
    </row>
    <row r="59" spans="1:15" ht="23.25" customHeight="1" x14ac:dyDescent="0.25">
      <c r="A59" s="26" t="s">
        <v>32</v>
      </c>
      <c r="B59" s="27"/>
      <c r="C59" s="28"/>
      <c r="D59" s="29"/>
      <c r="E59" s="76">
        <f>SUM(G36:G51)</f>
        <v>0</v>
      </c>
      <c r="F59" s="76">
        <f t="shared" si="12"/>
        <v>0</v>
      </c>
      <c r="G59" s="76">
        <f t="shared" ref="G59:M59" si="30">SUM(G36:G51)</f>
        <v>0</v>
      </c>
      <c r="H59" s="76">
        <f t="shared" si="30"/>
        <v>0</v>
      </c>
      <c r="I59" s="76">
        <f t="shared" si="30"/>
        <v>0</v>
      </c>
      <c r="J59" s="76">
        <f t="shared" si="30"/>
        <v>2440.0100000000002</v>
      </c>
      <c r="K59" s="76">
        <f t="shared" si="30"/>
        <v>2440.0100000000002</v>
      </c>
      <c r="L59" s="76">
        <f t="shared" si="30"/>
        <v>0</v>
      </c>
      <c r="M59" s="76">
        <f t="shared" si="30"/>
        <v>0</v>
      </c>
      <c r="N59" s="76">
        <f>L59-J59</f>
        <v>-2440.0100000000002</v>
      </c>
      <c r="O59" s="77">
        <f>SUM(O36:O51)</f>
        <v>0</v>
      </c>
    </row>
    <row r="60" spans="1:15" ht="23.25" customHeight="1" x14ac:dyDescent="0.25">
      <c r="A60" s="30" t="s">
        <v>33</v>
      </c>
      <c r="B60" s="31"/>
      <c r="C60" s="32"/>
      <c r="D60" s="33"/>
      <c r="E60" s="69">
        <f>B59+E35+E25+E13</f>
        <v>0</v>
      </c>
      <c r="F60" s="69">
        <f t="shared" si="12"/>
        <v>0</v>
      </c>
      <c r="G60" s="69">
        <f>E59+G35+G25+G13</f>
        <v>0</v>
      </c>
      <c r="H60" s="69">
        <f t="shared" ref="H60:M60" si="31">H59+H35+H25+H13</f>
        <v>0</v>
      </c>
      <c r="I60" s="69">
        <f t="shared" si="31"/>
        <v>0</v>
      </c>
      <c r="J60" s="69">
        <f t="shared" si="31"/>
        <v>3770.3900000000003</v>
      </c>
      <c r="K60" s="69">
        <f t="shared" si="31"/>
        <v>3770.3900000000003</v>
      </c>
      <c r="L60" s="69">
        <f t="shared" si="31"/>
        <v>0</v>
      </c>
      <c r="M60" s="69">
        <f t="shared" si="31"/>
        <v>0</v>
      </c>
      <c r="N60" s="69">
        <f>L60-J60</f>
        <v>-3770.3900000000003</v>
      </c>
      <c r="O60" s="77">
        <f>O59+O35+O25+O13</f>
        <v>0</v>
      </c>
    </row>
    <row r="61" spans="1:15" x14ac:dyDescent="0.25">
      <c r="A61" s="1"/>
      <c r="B61" s="1"/>
      <c r="C61" s="1"/>
      <c r="D61" s="1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</sheetData>
  <mergeCells count="8">
    <mergeCell ref="O1:O2"/>
    <mergeCell ref="N5:N12"/>
    <mergeCell ref="N14:N24"/>
    <mergeCell ref="N26:N34"/>
    <mergeCell ref="N36:N51"/>
    <mergeCell ref="G1:I1"/>
    <mergeCell ref="J1:K1"/>
    <mergeCell ref="L1:N1"/>
  </mergeCells>
  <conditionalFormatting sqref="B28:B29">
    <cfRule type="containsText" dxfId="0" priority="2" operator="containsText" text="SIN FACTURA">
      <formula>NOT(ISERROR(SEARCH("SIN FACTURA",B28)))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DA73-1CBB-4193-A7B8-4B5988ECBE07}">
  <sheetPr>
    <tabColor rgb="FF92D050"/>
  </sheetPr>
  <dimension ref="A1:O44"/>
  <sheetViews>
    <sheetView zoomScale="85" zoomScaleNormal="85" workbookViewId="0">
      <pane ySplit="4" topLeftCell="A29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282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27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445.37</v>
      </c>
      <c r="J4" s="65"/>
      <c r="K4" s="73">
        <f>K43</f>
        <v>0</v>
      </c>
      <c r="L4" s="24" t="s">
        <v>16</v>
      </c>
      <c r="M4" s="16"/>
      <c r="N4" s="198">
        <f>L43-J43+N3</f>
        <v>0</v>
      </c>
      <c r="O4" s="2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0</v>
      </c>
    </row>
    <row r="14" spans="1:15" ht="23.25" customHeight="1" x14ac:dyDescent="0.25">
      <c r="A14" s="74" t="s">
        <v>21</v>
      </c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 t="s">
        <v>283</v>
      </c>
      <c r="C17" s="83" t="s">
        <v>284</v>
      </c>
      <c r="D17" s="75"/>
      <c r="E17" s="65"/>
      <c r="F17" s="75">
        <v>0</v>
      </c>
      <c r="G17" s="75">
        <v>445.37</v>
      </c>
      <c r="H17" s="75">
        <v>0</v>
      </c>
      <c r="I17" s="75">
        <f t="shared" si="6"/>
        <v>445.37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445.37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445.37</v>
      </c>
      <c r="H23" s="76">
        <f t="shared" si="10"/>
        <v>0</v>
      </c>
      <c r="I23" s="76">
        <f t="shared" si="10"/>
        <v>445.37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445.37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445.37</v>
      </c>
      <c r="G43" s="69">
        <f>E42+G33+G23+G13</f>
        <v>445.37</v>
      </c>
      <c r="H43" s="69">
        <f t="shared" ref="H43:M43" si="22">H42+H33+H23+H13</f>
        <v>0</v>
      </c>
      <c r="I43" s="69">
        <f t="shared" si="22"/>
        <v>445.37</v>
      </c>
      <c r="J43" s="69">
        <f t="shared" si="22"/>
        <v>0</v>
      </c>
      <c r="K43" s="69">
        <f t="shared" si="22"/>
        <v>0</v>
      </c>
      <c r="L43" s="69">
        <f t="shared" si="22"/>
        <v>0</v>
      </c>
      <c r="M43" s="69">
        <f t="shared" si="22"/>
        <v>0</v>
      </c>
      <c r="N43" s="69">
        <f>L43-J43</f>
        <v>0</v>
      </c>
      <c r="O43" s="77">
        <f>O42+O33+O23+O13</f>
        <v>445.37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N14:N22"/>
    <mergeCell ref="N24:N32"/>
    <mergeCell ref="N34:N40"/>
    <mergeCell ref="G1:I1"/>
    <mergeCell ref="J1:K1"/>
    <mergeCell ref="L1:N1"/>
    <mergeCell ref="O1:O2"/>
    <mergeCell ref="N5:N1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0000"/>
  </sheetPr>
  <dimension ref="A1:O46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285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133.56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98">
        <f>L45-J45+N35+N3</f>
        <v>133.56</v>
      </c>
      <c r="O4" s="25"/>
    </row>
    <row r="5" spans="1:15" ht="23.25" customHeight="1" x14ac:dyDescent="0.25">
      <c r="A5" s="74" t="s">
        <v>17</v>
      </c>
      <c r="B5" s="95" t="s">
        <v>286</v>
      </c>
      <c r="C5" s="164" t="s">
        <v>287</v>
      </c>
      <c r="D5" s="75"/>
      <c r="E5" s="65"/>
      <c r="F5" s="75"/>
      <c r="G5" s="75"/>
      <c r="H5" s="75"/>
      <c r="I5" s="75"/>
      <c r="J5" s="75"/>
      <c r="K5" s="75"/>
      <c r="L5" s="75"/>
      <c r="M5" s="75"/>
      <c r="N5" s="228"/>
      <c r="O5" s="75">
        <f t="shared" ref="O5:O13" si="0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ref="F6:F13" si="1">I6-E6</f>
        <v>0</v>
      </c>
      <c r="G6" s="75">
        <v>0</v>
      </c>
      <c r="H6" s="75">
        <v>0</v>
      </c>
      <c r="I6" s="75">
        <f t="shared" ref="I6:I13" si="2">SUM(G6:H6)</f>
        <v>0</v>
      </c>
      <c r="J6" s="75">
        <v>0</v>
      </c>
      <c r="K6" s="75">
        <f t="shared" ref="K6:K13" si="3">SUM(J6)</f>
        <v>0</v>
      </c>
      <c r="L6" s="75">
        <v>0</v>
      </c>
      <c r="M6" s="75">
        <f t="shared" ref="M6:M13" si="4">L6</f>
        <v>0</v>
      </c>
      <c r="N6" s="228"/>
      <c r="O6" s="75">
        <f t="shared" si="0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1"/>
        <v>0</v>
      </c>
      <c r="G7" s="75">
        <v>0</v>
      </c>
      <c r="H7" s="75">
        <v>0</v>
      </c>
      <c r="I7" s="75">
        <f t="shared" si="2"/>
        <v>0</v>
      </c>
      <c r="J7" s="75">
        <v>0</v>
      </c>
      <c r="K7" s="75">
        <f t="shared" si="3"/>
        <v>0</v>
      </c>
      <c r="L7" s="75">
        <v>0</v>
      </c>
      <c r="M7" s="75">
        <f t="shared" si="4"/>
        <v>0</v>
      </c>
      <c r="N7" s="228"/>
      <c r="O7" s="75">
        <f t="shared" si="0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1"/>
        <v>0</v>
      </c>
      <c r="G8" s="75">
        <v>0</v>
      </c>
      <c r="H8" s="75">
        <v>0</v>
      </c>
      <c r="I8" s="75">
        <f t="shared" si="2"/>
        <v>0</v>
      </c>
      <c r="J8" s="75">
        <v>0</v>
      </c>
      <c r="K8" s="75">
        <f t="shared" si="3"/>
        <v>0</v>
      </c>
      <c r="L8" s="75">
        <v>0</v>
      </c>
      <c r="M8" s="75">
        <f t="shared" si="4"/>
        <v>0</v>
      </c>
      <c r="N8" s="228"/>
      <c r="O8" s="75">
        <f t="shared" si="0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1"/>
        <v>0</v>
      </c>
      <c r="G9" s="75">
        <v>0</v>
      </c>
      <c r="H9" s="75">
        <v>0</v>
      </c>
      <c r="I9" s="75">
        <f t="shared" si="2"/>
        <v>0</v>
      </c>
      <c r="J9" s="75">
        <v>0</v>
      </c>
      <c r="K9" s="75">
        <f t="shared" si="3"/>
        <v>0</v>
      </c>
      <c r="L9" s="75">
        <v>0</v>
      </c>
      <c r="M9" s="75">
        <f t="shared" si="4"/>
        <v>0</v>
      </c>
      <c r="N9" s="228"/>
      <c r="O9" s="75">
        <f t="shared" si="0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1"/>
        <v>0</v>
      </c>
      <c r="G10" s="75">
        <v>0</v>
      </c>
      <c r="H10" s="75">
        <v>0</v>
      </c>
      <c r="I10" s="75">
        <f t="shared" si="2"/>
        <v>0</v>
      </c>
      <c r="J10" s="75">
        <v>0</v>
      </c>
      <c r="K10" s="75">
        <f t="shared" si="3"/>
        <v>0</v>
      </c>
      <c r="L10" s="75">
        <v>0</v>
      </c>
      <c r="M10" s="75">
        <f t="shared" si="4"/>
        <v>0</v>
      </c>
      <c r="N10" s="228"/>
      <c r="O10" s="75">
        <f t="shared" si="0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1"/>
        <v>0</v>
      </c>
      <c r="G11" s="75">
        <v>0</v>
      </c>
      <c r="H11" s="75">
        <v>0</v>
      </c>
      <c r="I11" s="75">
        <f t="shared" si="2"/>
        <v>0</v>
      </c>
      <c r="J11" s="75">
        <v>0</v>
      </c>
      <c r="K11" s="75">
        <f t="shared" si="3"/>
        <v>0</v>
      </c>
      <c r="L11" s="75">
        <v>0</v>
      </c>
      <c r="M11" s="75">
        <f t="shared" si="4"/>
        <v>0</v>
      </c>
      <c r="N11" s="228"/>
      <c r="O11" s="75">
        <f t="shared" si="0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1"/>
        <v>0</v>
      </c>
      <c r="G12" s="75">
        <v>0</v>
      </c>
      <c r="H12" s="75">
        <v>0</v>
      </c>
      <c r="I12" s="75">
        <f t="shared" si="2"/>
        <v>0</v>
      </c>
      <c r="J12" s="75">
        <v>0</v>
      </c>
      <c r="K12" s="75">
        <f t="shared" si="3"/>
        <v>0</v>
      </c>
      <c r="L12" s="75">
        <v>0</v>
      </c>
      <c r="M12" s="75">
        <f t="shared" si="4"/>
        <v>0</v>
      </c>
      <c r="N12" s="228"/>
      <c r="O12" s="75">
        <f t="shared" si="0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1"/>
        <v>0</v>
      </c>
      <c r="G13" s="75">
        <v>0</v>
      </c>
      <c r="H13" s="75">
        <v>0</v>
      </c>
      <c r="I13" s="75">
        <f t="shared" si="2"/>
        <v>0</v>
      </c>
      <c r="J13" s="75">
        <v>0</v>
      </c>
      <c r="K13" s="75">
        <f t="shared" si="3"/>
        <v>0</v>
      </c>
      <c r="L13" s="75">
        <v>0</v>
      </c>
      <c r="M13" s="75">
        <f t="shared" si="4"/>
        <v>0</v>
      </c>
      <c r="N13" s="228"/>
      <c r="O13" s="75">
        <f t="shared" si="0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O46"/>
  <sheetViews>
    <sheetView workbookViewId="0">
      <pane ySplit="4" topLeftCell="A29" activePane="bottomLeft" state="frozen"/>
      <selection pane="bottomLeft" activeCell="C42" sqref="C42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288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339.7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276</v>
      </c>
      <c r="L4" s="24" t="s">
        <v>16</v>
      </c>
      <c r="M4" s="16"/>
      <c r="N4" s="198">
        <f>L45-J45+N3</f>
        <v>63.699999999999989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8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 t="s">
        <v>332</v>
      </c>
      <c r="C31" s="78"/>
      <c r="D31" s="8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60</v>
      </c>
      <c r="K31" s="75">
        <f t="shared" si="14"/>
        <v>60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60</v>
      </c>
      <c r="K34" s="76">
        <f t="shared" si="17"/>
        <v>60</v>
      </c>
      <c r="L34" s="76">
        <f t="shared" si="17"/>
        <v>0</v>
      </c>
      <c r="M34" s="76">
        <f t="shared" si="17"/>
        <v>0</v>
      </c>
      <c r="N34" s="76">
        <f>L34-J34</f>
        <v>-60</v>
      </c>
      <c r="O34" s="77">
        <f>SUM(O25:O33)</f>
        <v>0</v>
      </c>
    </row>
    <row r="35" spans="1:15" ht="23.25" customHeight="1" x14ac:dyDescent="0.25">
      <c r="A35" s="74" t="s">
        <v>30</v>
      </c>
      <c r="B35" s="78" t="s">
        <v>342</v>
      </c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126</v>
      </c>
      <c r="K35" s="75">
        <f t="shared" ref="K35:K43" si="19">SUM(J35)</f>
        <v>126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78" t="s">
        <v>343</v>
      </c>
      <c r="C36" s="78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90</v>
      </c>
      <c r="K36" s="75">
        <f t="shared" si="19"/>
        <v>90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216</v>
      </c>
      <c r="K44" s="76">
        <f t="shared" si="22"/>
        <v>216</v>
      </c>
      <c r="L44" s="76">
        <f t="shared" si="22"/>
        <v>0</v>
      </c>
      <c r="M44" s="76">
        <f t="shared" si="22"/>
        <v>0</v>
      </c>
      <c r="N44" s="76">
        <f>L44-J44</f>
        <v>-216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276</v>
      </c>
      <c r="K45" s="69">
        <f t="shared" si="23"/>
        <v>276</v>
      </c>
      <c r="L45" s="69">
        <f t="shared" si="23"/>
        <v>0</v>
      </c>
      <c r="M45" s="69">
        <f t="shared" si="23"/>
        <v>0</v>
      </c>
      <c r="N45" s="69">
        <f>L45-J45</f>
        <v>-276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O46"/>
  <sheetViews>
    <sheetView topLeftCell="B1" workbookViewId="0">
      <pane ySplit="4" topLeftCell="A5" activePane="bottomLeft" state="frozen"/>
      <selection pane="bottomLeft" activeCell="S4" sqref="S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5" width="13.625" customWidth="1"/>
    <col min="6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7" t="s">
        <v>289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0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24" t="s">
        <v>16</v>
      </c>
      <c r="M4" s="16"/>
      <c r="N4" s="198">
        <f>L45-J45+N3</f>
        <v>0</v>
      </c>
      <c r="O4" s="25"/>
    </row>
    <row r="5" spans="1:15" ht="23.25" customHeight="1" x14ac:dyDescent="0.25">
      <c r="A5" s="74" t="s">
        <v>17</v>
      </c>
      <c r="B5" s="78"/>
      <c r="C5" s="78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114"/>
      <c r="C6" s="114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8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/>
      <c r="C18" s="78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8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/>
      <c r="C22" s="78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78"/>
      <c r="C23" s="78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78"/>
      <c r="C26" s="78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78"/>
      <c r="C27" s="78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78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78"/>
      <c r="C32" s="78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78"/>
      <c r="C33" s="78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78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78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D41" s="6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46"/>
  <sheetViews>
    <sheetView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290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98">
        <f>L45-J4+N35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78"/>
      <c r="C38" s="78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3385-E0E6-4292-B0B7-8F0541514380}">
  <sheetPr>
    <tabColor theme="0"/>
  </sheetPr>
  <dimension ref="A1:O44"/>
  <sheetViews>
    <sheetView zoomScale="85" zoomScaleNormal="85" workbookViewId="0">
      <pane ySplit="4" topLeftCell="A23" activePane="bottomLeft" state="frozen"/>
      <selection pane="bottomLeft" activeCell="R35" sqref="R35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 t="s">
        <v>377</v>
      </c>
      <c r="B1" s="58"/>
      <c r="C1" s="38"/>
      <c r="G1" s="229" t="s">
        <v>0</v>
      </c>
      <c r="H1" s="229"/>
      <c r="I1" s="229"/>
      <c r="J1" s="230" t="s">
        <v>1</v>
      </c>
      <c r="K1" s="230"/>
      <c r="L1" s="231" t="s">
        <v>2</v>
      </c>
      <c r="M1" s="231"/>
      <c r="N1" s="231"/>
      <c r="O1" s="232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187" t="s">
        <v>8</v>
      </c>
      <c r="F2" s="187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2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188"/>
      <c r="N3" s="188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189">
        <f>I43</f>
        <v>17.64</v>
      </c>
      <c r="J4" s="186"/>
      <c r="K4" s="190">
        <f>K43</f>
        <v>0</v>
      </c>
      <c r="L4" s="24" t="s">
        <v>16</v>
      </c>
      <c r="M4" s="16"/>
      <c r="N4" s="126">
        <f>L43-J43+N3</f>
        <v>349.94</v>
      </c>
      <c r="O4" s="25"/>
    </row>
    <row r="5" spans="1:15" ht="23.25" customHeight="1" x14ac:dyDescent="0.25">
      <c r="A5" s="191" t="s">
        <v>17</v>
      </c>
      <c r="B5" s="192"/>
      <c r="C5" s="192"/>
      <c r="D5" s="193"/>
      <c r="E5" s="186"/>
      <c r="F5" s="193">
        <f t="shared" ref="F5:F12" si="0">I5-E5</f>
        <v>0</v>
      </c>
      <c r="G5" s="193">
        <v>0</v>
      </c>
      <c r="H5" s="193">
        <v>0</v>
      </c>
      <c r="I5" s="193">
        <f t="shared" ref="I5:I12" si="1">SUM(G5:H5)</f>
        <v>0</v>
      </c>
      <c r="J5" s="193">
        <v>0</v>
      </c>
      <c r="K5" s="193">
        <f t="shared" ref="K5:K12" si="2">SUM(J5)</f>
        <v>0</v>
      </c>
      <c r="L5" s="193">
        <v>0</v>
      </c>
      <c r="M5" s="193">
        <f t="shared" ref="M5:M12" si="3">L5</f>
        <v>0</v>
      </c>
      <c r="N5" s="227"/>
      <c r="O5" s="193">
        <f t="shared" ref="O5:O12" si="4">G5+H5+L5</f>
        <v>0</v>
      </c>
    </row>
    <row r="6" spans="1:15" ht="23.25" customHeight="1" x14ac:dyDescent="0.25">
      <c r="A6" s="191"/>
      <c r="B6" s="192"/>
      <c r="C6" s="192"/>
      <c r="D6" s="193"/>
      <c r="E6" s="186"/>
      <c r="F6" s="193">
        <f t="shared" si="0"/>
        <v>0</v>
      </c>
      <c r="G6" s="193">
        <v>0</v>
      </c>
      <c r="H6" s="193">
        <v>0</v>
      </c>
      <c r="I6" s="193">
        <f t="shared" si="1"/>
        <v>0</v>
      </c>
      <c r="J6" s="193">
        <v>0</v>
      </c>
      <c r="K6" s="193">
        <f t="shared" si="2"/>
        <v>0</v>
      </c>
      <c r="L6" s="193">
        <v>0</v>
      </c>
      <c r="M6" s="193">
        <f t="shared" si="3"/>
        <v>0</v>
      </c>
      <c r="N6" s="227"/>
      <c r="O6" s="193">
        <f t="shared" si="4"/>
        <v>0</v>
      </c>
    </row>
    <row r="7" spans="1:15" ht="23.25" customHeight="1" x14ac:dyDescent="0.25">
      <c r="A7" s="191"/>
      <c r="B7" s="192"/>
      <c r="C7" s="192"/>
      <c r="D7" s="193"/>
      <c r="E7" s="186"/>
      <c r="F7" s="193">
        <f t="shared" si="0"/>
        <v>0</v>
      </c>
      <c r="G7" s="193">
        <v>0</v>
      </c>
      <c r="H7" s="193">
        <v>0</v>
      </c>
      <c r="I7" s="193">
        <f t="shared" si="1"/>
        <v>0</v>
      </c>
      <c r="J7" s="193">
        <v>0</v>
      </c>
      <c r="K7" s="193">
        <f t="shared" si="2"/>
        <v>0</v>
      </c>
      <c r="L7" s="193">
        <v>0</v>
      </c>
      <c r="M7" s="193">
        <f t="shared" si="3"/>
        <v>0</v>
      </c>
      <c r="N7" s="227"/>
      <c r="O7" s="193">
        <f t="shared" si="4"/>
        <v>0</v>
      </c>
    </row>
    <row r="8" spans="1:15" ht="23.25" customHeight="1" x14ac:dyDescent="0.25">
      <c r="A8" s="191" t="s">
        <v>18</v>
      </c>
      <c r="B8" s="192"/>
      <c r="C8" s="192"/>
      <c r="D8" s="193"/>
      <c r="E8" s="186"/>
      <c r="F8" s="193">
        <f t="shared" si="0"/>
        <v>0</v>
      </c>
      <c r="G8" s="193">
        <v>0</v>
      </c>
      <c r="H8" s="193">
        <v>0</v>
      </c>
      <c r="I8" s="193">
        <f t="shared" si="1"/>
        <v>0</v>
      </c>
      <c r="J8" s="193">
        <v>0</v>
      </c>
      <c r="K8" s="193">
        <f t="shared" si="2"/>
        <v>0</v>
      </c>
      <c r="L8" s="193">
        <v>0</v>
      </c>
      <c r="M8" s="193">
        <f t="shared" si="3"/>
        <v>0</v>
      </c>
      <c r="N8" s="227"/>
      <c r="O8" s="193">
        <f t="shared" si="4"/>
        <v>0</v>
      </c>
    </row>
    <row r="9" spans="1:15" ht="23.25" customHeight="1" x14ac:dyDescent="0.25">
      <c r="A9" s="191"/>
      <c r="B9" s="192"/>
      <c r="C9" s="192"/>
      <c r="D9" s="193"/>
      <c r="E9" s="186"/>
      <c r="F9" s="193">
        <f t="shared" si="0"/>
        <v>0</v>
      </c>
      <c r="G9" s="193">
        <v>0</v>
      </c>
      <c r="H9" s="193">
        <v>0</v>
      </c>
      <c r="I9" s="193">
        <f t="shared" si="1"/>
        <v>0</v>
      </c>
      <c r="J9" s="193">
        <v>0</v>
      </c>
      <c r="K9" s="193">
        <f t="shared" si="2"/>
        <v>0</v>
      </c>
      <c r="L9" s="193">
        <v>0</v>
      </c>
      <c r="M9" s="193">
        <f t="shared" si="3"/>
        <v>0</v>
      </c>
      <c r="N9" s="227"/>
      <c r="O9" s="193">
        <f t="shared" si="4"/>
        <v>0</v>
      </c>
    </row>
    <row r="10" spans="1:15" ht="23.25" customHeight="1" x14ac:dyDescent="0.25">
      <c r="A10" s="191" t="s">
        <v>19</v>
      </c>
      <c r="B10" s="192"/>
      <c r="C10" s="59"/>
      <c r="D10" s="193"/>
      <c r="E10" s="186"/>
      <c r="F10" s="193">
        <f t="shared" si="0"/>
        <v>0</v>
      </c>
      <c r="G10" s="193">
        <v>0</v>
      </c>
      <c r="H10" s="193">
        <v>0</v>
      </c>
      <c r="I10" s="193">
        <f t="shared" si="1"/>
        <v>0</v>
      </c>
      <c r="J10" s="193">
        <v>0</v>
      </c>
      <c r="K10" s="193">
        <f t="shared" si="2"/>
        <v>0</v>
      </c>
      <c r="L10" s="193">
        <v>0</v>
      </c>
      <c r="M10" s="193">
        <f t="shared" si="3"/>
        <v>0</v>
      </c>
      <c r="N10" s="227"/>
      <c r="O10" s="193">
        <f t="shared" si="4"/>
        <v>0</v>
      </c>
    </row>
    <row r="11" spans="1:15" ht="23.25" customHeight="1" x14ac:dyDescent="0.25">
      <c r="A11" s="191"/>
      <c r="B11" s="192"/>
      <c r="C11" s="192"/>
      <c r="D11" s="193"/>
      <c r="E11" s="186"/>
      <c r="F11" s="193">
        <f t="shared" si="0"/>
        <v>0</v>
      </c>
      <c r="G11" s="193">
        <v>0</v>
      </c>
      <c r="H11" s="193">
        <v>0</v>
      </c>
      <c r="I11" s="193">
        <f t="shared" si="1"/>
        <v>0</v>
      </c>
      <c r="J11" s="193">
        <v>0</v>
      </c>
      <c r="K11" s="193">
        <f t="shared" si="2"/>
        <v>0</v>
      </c>
      <c r="L11" s="193">
        <v>0</v>
      </c>
      <c r="M11" s="193">
        <f t="shared" si="3"/>
        <v>0</v>
      </c>
      <c r="N11" s="227"/>
      <c r="O11" s="193">
        <f t="shared" si="4"/>
        <v>0</v>
      </c>
    </row>
    <row r="12" spans="1:15" ht="23.25" customHeight="1" x14ac:dyDescent="0.25">
      <c r="A12" s="191"/>
      <c r="B12" s="192"/>
      <c r="C12" s="192"/>
      <c r="D12" s="193"/>
      <c r="E12" s="186"/>
      <c r="F12" s="193">
        <f t="shared" si="0"/>
        <v>0</v>
      </c>
      <c r="G12" s="193">
        <v>0</v>
      </c>
      <c r="H12" s="193">
        <v>0</v>
      </c>
      <c r="I12" s="193">
        <f t="shared" si="1"/>
        <v>0</v>
      </c>
      <c r="J12" s="193">
        <v>0</v>
      </c>
      <c r="K12" s="193">
        <f t="shared" si="2"/>
        <v>0</v>
      </c>
      <c r="L12" s="193">
        <v>0</v>
      </c>
      <c r="M12" s="193">
        <f t="shared" si="3"/>
        <v>0</v>
      </c>
      <c r="N12" s="227"/>
      <c r="O12" s="193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194">
        <f t="shared" ref="E13:M13" si="5">SUM(E5:E12)</f>
        <v>0</v>
      </c>
      <c r="F13" s="194">
        <f t="shared" si="5"/>
        <v>0</v>
      </c>
      <c r="G13" s="194">
        <f t="shared" si="5"/>
        <v>0</v>
      </c>
      <c r="H13" s="194">
        <f t="shared" si="5"/>
        <v>0</v>
      </c>
      <c r="I13" s="194">
        <f t="shared" si="5"/>
        <v>0</v>
      </c>
      <c r="J13" s="194">
        <f t="shared" si="5"/>
        <v>0</v>
      </c>
      <c r="K13" s="194">
        <f t="shared" si="5"/>
        <v>0</v>
      </c>
      <c r="L13" s="194">
        <f t="shared" si="5"/>
        <v>0</v>
      </c>
      <c r="M13" s="194">
        <f t="shared" si="5"/>
        <v>0</v>
      </c>
      <c r="N13" s="194">
        <f>L13-J13</f>
        <v>0</v>
      </c>
      <c r="O13" s="195">
        <f>SUM(O5:O12)</f>
        <v>0</v>
      </c>
    </row>
    <row r="14" spans="1:15" ht="23.25" customHeight="1" x14ac:dyDescent="0.25">
      <c r="A14" s="191" t="s">
        <v>21</v>
      </c>
      <c r="B14" s="192"/>
      <c r="C14" s="192"/>
      <c r="D14" s="193"/>
      <c r="E14" s="186"/>
      <c r="F14" s="193">
        <v>0</v>
      </c>
      <c r="G14" s="193">
        <v>0</v>
      </c>
      <c r="H14" s="193">
        <v>0</v>
      </c>
      <c r="I14" s="193">
        <f t="shared" ref="I14:I22" si="6">SUM(G14:H14)</f>
        <v>0</v>
      </c>
      <c r="J14" s="193">
        <v>0</v>
      </c>
      <c r="K14" s="193">
        <f t="shared" ref="K14:K22" si="7">SUM(J14)</f>
        <v>0</v>
      </c>
      <c r="L14" s="193">
        <v>0</v>
      </c>
      <c r="M14" s="193">
        <f t="shared" ref="M14:M22" si="8">L14</f>
        <v>0</v>
      </c>
      <c r="N14" s="227"/>
      <c r="O14" s="193">
        <f t="shared" ref="O14:O22" si="9">G14+H14+L14</f>
        <v>0</v>
      </c>
    </row>
    <row r="15" spans="1:15" ht="23.25" customHeight="1" x14ac:dyDescent="0.25">
      <c r="A15" s="191"/>
      <c r="B15" s="192"/>
      <c r="C15" s="192"/>
      <c r="D15" s="193"/>
      <c r="E15" s="186"/>
      <c r="F15" s="193">
        <v>0</v>
      </c>
      <c r="G15" s="193">
        <v>0</v>
      </c>
      <c r="H15" s="193">
        <v>0</v>
      </c>
      <c r="I15" s="193">
        <f t="shared" si="6"/>
        <v>0</v>
      </c>
      <c r="J15" s="193">
        <v>0</v>
      </c>
      <c r="K15" s="193">
        <f t="shared" si="7"/>
        <v>0</v>
      </c>
      <c r="L15" s="193">
        <v>0</v>
      </c>
      <c r="M15" s="193">
        <f t="shared" si="8"/>
        <v>0</v>
      </c>
      <c r="N15" s="227"/>
      <c r="O15" s="193">
        <f t="shared" si="9"/>
        <v>0</v>
      </c>
    </row>
    <row r="16" spans="1:15" ht="23.25" customHeight="1" x14ac:dyDescent="0.25">
      <c r="A16" s="191"/>
      <c r="B16" s="192"/>
      <c r="C16" s="192"/>
      <c r="D16" s="193"/>
      <c r="E16" s="186"/>
      <c r="F16" s="193">
        <v>0</v>
      </c>
      <c r="G16" s="193">
        <v>0</v>
      </c>
      <c r="H16" s="193">
        <v>0</v>
      </c>
      <c r="I16" s="193">
        <f t="shared" si="6"/>
        <v>0</v>
      </c>
      <c r="J16" s="193">
        <v>0</v>
      </c>
      <c r="K16" s="193">
        <f t="shared" si="7"/>
        <v>0</v>
      </c>
      <c r="L16" s="193">
        <v>0</v>
      </c>
      <c r="M16" s="193">
        <f t="shared" si="8"/>
        <v>0</v>
      </c>
      <c r="N16" s="227"/>
      <c r="O16" s="193">
        <f t="shared" si="9"/>
        <v>0</v>
      </c>
    </row>
    <row r="17" spans="1:15" ht="23.25" customHeight="1" x14ac:dyDescent="0.25">
      <c r="A17" s="191" t="s">
        <v>22</v>
      </c>
      <c r="B17" s="192"/>
      <c r="C17" s="192"/>
      <c r="D17" s="193"/>
      <c r="E17" s="186"/>
      <c r="F17" s="193">
        <v>0</v>
      </c>
      <c r="G17" s="193">
        <v>0</v>
      </c>
      <c r="H17" s="193">
        <v>0</v>
      </c>
      <c r="I17" s="193">
        <f t="shared" si="6"/>
        <v>0</v>
      </c>
      <c r="J17" s="193">
        <v>0</v>
      </c>
      <c r="K17" s="193">
        <f t="shared" si="7"/>
        <v>0</v>
      </c>
      <c r="L17" s="193">
        <v>0</v>
      </c>
      <c r="M17" s="193">
        <f t="shared" si="8"/>
        <v>0</v>
      </c>
      <c r="N17" s="227"/>
      <c r="O17" s="193">
        <f t="shared" si="9"/>
        <v>0</v>
      </c>
    </row>
    <row r="18" spans="1:15" ht="23.25" customHeight="1" x14ac:dyDescent="0.25">
      <c r="A18" s="191"/>
      <c r="B18" s="192"/>
      <c r="C18" s="192"/>
      <c r="D18" s="193"/>
      <c r="E18" s="186"/>
      <c r="F18" s="193">
        <f>I18-E18</f>
        <v>0</v>
      </c>
      <c r="G18" s="193">
        <v>0</v>
      </c>
      <c r="H18" s="193">
        <v>0</v>
      </c>
      <c r="I18" s="193">
        <f t="shared" si="6"/>
        <v>0</v>
      </c>
      <c r="J18" s="193">
        <v>0</v>
      </c>
      <c r="K18" s="193">
        <f t="shared" si="7"/>
        <v>0</v>
      </c>
      <c r="L18" s="193">
        <v>0</v>
      </c>
      <c r="M18" s="193">
        <f t="shared" si="8"/>
        <v>0</v>
      </c>
      <c r="N18" s="227"/>
      <c r="O18" s="193">
        <f t="shared" si="9"/>
        <v>0</v>
      </c>
    </row>
    <row r="19" spans="1:15" ht="23.25" customHeight="1" x14ac:dyDescent="0.25">
      <c r="A19" s="191"/>
      <c r="B19" s="192"/>
      <c r="C19" s="192"/>
      <c r="D19" s="193"/>
      <c r="E19" s="186"/>
      <c r="F19" s="193">
        <f>I19-E19</f>
        <v>0</v>
      </c>
      <c r="G19" s="193">
        <v>0</v>
      </c>
      <c r="H19" s="193">
        <v>0</v>
      </c>
      <c r="I19" s="193">
        <f t="shared" si="6"/>
        <v>0</v>
      </c>
      <c r="J19" s="193">
        <v>0</v>
      </c>
      <c r="K19" s="193">
        <f t="shared" si="7"/>
        <v>0</v>
      </c>
      <c r="L19" s="193">
        <v>0</v>
      </c>
      <c r="M19" s="193">
        <f t="shared" si="8"/>
        <v>0</v>
      </c>
      <c r="N19" s="227"/>
      <c r="O19" s="193">
        <f t="shared" si="9"/>
        <v>0</v>
      </c>
    </row>
    <row r="20" spans="1:15" ht="23.25" customHeight="1" x14ac:dyDescent="0.25">
      <c r="A20" s="191" t="s">
        <v>23</v>
      </c>
      <c r="B20" s="192"/>
      <c r="D20" s="193"/>
      <c r="E20" s="186"/>
      <c r="F20" s="193">
        <f>I20-E20</f>
        <v>0</v>
      </c>
      <c r="G20" s="193">
        <v>0</v>
      </c>
      <c r="H20" s="193">
        <v>0</v>
      </c>
      <c r="I20" s="193">
        <f t="shared" si="6"/>
        <v>0</v>
      </c>
      <c r="J20" s="193">
        <v>0</v>
      </c>
      <c r="K20" s="193">
        <f t="shared" si="7"/>
        <v>0</v>
      </c>
      <c r="L20" s="193">
        <v>0</v>
      </c>
      <c r="M20" s="193">
        <f t="shared" si="8"/>
        <v>0</v>
      </c>
      <c r="N20" s="227"/>
      <c r="O20" s="193">
        <f t="shared" si="9"/>
        <v>0</v>
      </c>
    </row>
    <row r="21" spans="1:15" ht="23.25" customHeight="1" x14ac:dyDescent="0.25">
      <c r="A21" s="191"/>
      <c r="B21" s="192"/>
      <c r="C21" s="192"/>
      <c r="D21" s="193"/>
      <c r="E21" s="186"/>
      <c r="F21" s="193">
        <f>I21-E21</f>
        <v>0</v>
      </c>
      <c r="G21" s="193">
        <v>0</v>
      </c>
      <c r="H21" s="193">
        <v>0</v>
      </c>
      <c r="I21" s="193">
        <f t="shared" si="6"/>
        <v>0</v>
      </c>
      <c r="J21" s="193">
        <v>0</v>
      </c>
      <c r="K21" s="193">
        <f t="shared" si="7"/>
        <v>0</v>
      </c>
      <c r="L21" s="193">
        <v>0</v>
      </c>
      <c r="M21" s="193">
        <f t="shared" si="8"/>
        <v>0</v>
      </c>
      <c r="N21" s="227"/>
      <c r="O21" s="193">
        <f t="shared" si="9"/>
        <v>0</v>
      </c>
    </row>
    <row r="22" spans="1:15" ht="23.25" customHeight="1" x14ac:dyDescent="0.25">
      <c r="A22" s="191"/>
      <c r="B22" s="192"/>
      <c r="C22" s="192"/>
      <c r="D22" s="193"/>
      <c r="E22" s="186"/>
      <c r="F22" s="193">
        <f>I22-E22</f>
        <v>0</v>
      </c>
      <c r="G22" s="193">
        <v>0</v>
      </c>
      <c r="H22" s="193">
        <v>0</v>
      </c>
      <c r="I22" s="193">
        <f t="shared" si="6"/>
        <v>0</v>
      </c>
      <c r="J22" s="193">
        <v>0</v>
      </c>
      <c r="K22" s="193">
        <f t="shared" si="7"/>
        <v>0</v>
      </c>
      <c r="L22" s="193">
        <v>0</v>
      </c>
      <c r="M22" s="193">
        <f t="shared" si="8"/>
        <v>0</v>
      </c>
      <c r="N22" s="227"/>
      <c r="O22" s="193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194">
        <f t="shared" ref="E23:M23" si="10">SUM(E14:E22)</f>
        <v>0</v>
      </c>
      <c r="F23" s="194">
        <f t="shared" si="10"/>
        <v>0</v>
      </c>
      <c r="G23" s="194">
        <f t="shared" si="10"/>
        <v>0</v>
      </c>
      <c r="H23" s="194">
        <f t="shared" si="10"/>
        <v>0</v>
      </c>
      <c r="I23" s="194">
        <f t="shared" si="10"/>
        <v>0</v>
      </c>
      <c r="J23" s="194">
        <f t="shared" si="10"/>
        <v>0</v>
      </c>
      <c r="K23" s="194">
        <f t="shared" si="10"/>
        <v>0</v>
      </c>
      <c r="L23" s="194">
        <f t="shared" si="10"/>
        <v>0</v>
      </c>
      <c r="M23" s="194">
        <f t="shared" si="10"/>
        <v>0</v>
      </c>
      <c r="N23" s="194">
        <f>L23-J23</f>
        <v>0</v>
      </c>
      <c r="O23" s="195">
        <f>SUM(O14:O22)</f>
        <v>0</v>
      </c>
    </row>
    <row r="24" spans="1:15" ht="23.25" customHeight="1" x14ac:dyDescent="0.25">
      <c r="A24" s="191" t="s">
        <v>25</v>
      </c>
      <c r="B24" s="168"/>
      <c r="C24" s="192"/>
      <c r="D24" s="193"/>
      <c r="E24" s="186"/>
      <c r="F24" s="193">
        <f t="shared" ref="F24:F43" si="11">I24-E24</f>
        <v>0</v>
      </c>
      <c r="G24" s="193">
        <v>0</v>
      </c>
      <c r="H24" s="193">
        <v>0</v>
      </c>
      <c r="I24" s="193">
        <f t="shared" ref="I24:I32" si="12">SUM(G24:H24)</f>
        <v>0</v>
      </c>
      <c r="J24" s="193">
        <v>0</v>
      </c>
      <c r="K24" s="193">
        <f t="shared" ref="K24:K32" si="13">SUM(J24)</f>
        <v>0</v>
      </c>
      <c r="L24" s="193">
        <v>0</v>
      </c>
      <c r="M24" s="193">
        <f t="shared" ref="M24:M32" si="14">L24</f>
        <v>0</v>
      </c>
      <c r="N24" s="227"/>
      <c r="O24" s="193">
        <f t="shared" ref="O24:O32" si="15">G24+H24+L24</f>
        <v>0</v>
      </c>
    </row>
    <row r="25" spans="1:15" ht="23.25" customHeight="1" x14ac:dyDescent="0.25">
      <c r="A25" s="191"/>
      <c r="B25" s="169"/>
      <c r="C25" s="192"/>
      <c r="D25" s="193"/>
      <c r="E25" s="186"/>
      <c r="F25" s="193">
        <f t="shared" si="11"/>
        <v>0</v>
      </c>
      <c r="G25" s="193">
        <v>0</v>
      </c>
      <c r="H25" s="193">
        <v>0</v>
      </c>
      <c r="I25" s="193">
        <f t="shared" si="12"/>
        <v>0</v>
      </c>
      <c r="J25" s="193">
        <v>0</v>
      </c>
      <c r="K25" s="193">
        <f t="shared" si="13"/>
        <v>0</v>
      </c>
      <c r="L25" s="193">
        <v>0</v>
      </c>
      <c r="M25" s="193">
        <f t="shared" si="14"/>
        <v>0</v>
      </c>
      <c r="N25" s="227"/>
      <c r="O25" s="193">
        <f t="shared" si="15"/>
        <v>0</v>
      </c>
    </row>
    <row r="26" spans="1:15" ht="23.25" customHeight="1" x14ac:dyDescent="0.25">
      <c r="A26" s="191"/>
      <c r="B26" s="192"/>
      <c r="C26" s="192"/>
      <c r="D26" s="193"/>
      <c r="E26" s="186"/>
      <c r="F26" s="193">
        <f t="shared" si="11"/>
        <v>0</v>
      </c>
      <c r="G26" s="193">
        <v>0</v>
      </c>
      <c r="H26" s="193">
        <v>0</v>
      </c>
      <c r="I26" s="193">
        <f t="shared" si="12"/>
        <v>0</v>
      </c>
      <c r="J26" s="193">
        <v>0</v>
      </c>
      <c r="K26" s="193">
        <f t="shared" si="13"/>
        <v>0</v>
      </c>
      <c r="L26" s="193">
        <v>0</v>
      </c>
      <c r="M26" s="193">
        <f t="shared" si="14"/>
        <v>0</v>
      </c>
      <c r="N26" s="227"/>
      <c r="O26" s="193">
        <f t="shared" si="15"/>
        <v>0</v>
      </c>
    </row>
    <row r="27" spans="1:15" ht="23.25" customHeight="1" x14ac:dyDescent="0.25">
      <c r="A27" s="191" t="s">
        <v>26</v>
      </c>
      <c r="B27" s="192"/>
      <c r="C27" s="192"/>
      <c r="D27" s="193" t="s">
        <v>27</v>
      </c>
      <c r="E27" s="186"/>
      <c r="F27" s="193">
        <f t="shared" si="11"/>
        <v>0</v>
      </c>
      <c r="G27" s="193">
        <v>0</v>
      </c>
      <c r="H27" s="193">
        <v>0</v>
      </c>
      <c r="I27" s="193">
        <f t="shared" si="12"/>
        <v>0</v>
      </c>
      <c r="J27" s="193">
        <v>0</v>
      </c>
      <c r="K27" s="193">
        <f t="shared" si="13"/>
        <v>0</v>
      </c>
      <c r="L27" s="193">
        <v>0</v>
      </c>
      <c r="M27" s="193">
        <f t="shared" si="14"/>
        <v>0</v>
      </c>
      <c r="N27" s="227"/>
      <c r="O27" s="193">
        <f t="shared" si="15"/>
        <v>0</v>
      </c>
    </row>
    <row r="28" spans="1:15" ht="23.25" customHeight="1" x14ac:dyDescent="0.25">
      <c r="A28" s="191"/>
      <c r="B28" s="192"/>
      <c r="C28" s="192"/>
      <c r="D28" s="193"/>
      <c r="E28" s="186"/>
      <c r="F28" s="193">
        <f t="shared" si="11"/>
        <v>0</v>
      </c>
      <c r="G28" s="193">
        <v>0</v>
      </c>
      <c r="H28" s="193">
        <v>0</v>
      </c>
      <c r="I28" s="193">
        <f t="shared" si="12"/>
        <v>0</v>
      </c>
      <c r="J28" s="193">
        <v>0</v>
      </c>
      <c r="K28" s="193">
        <f t="shared" si="13"/>
        <v>0</v>
      </c>
      <c r="L28" s="193">
        <v>0</v>
      </c>
      <c r="M28" s="193">
        <f t="shared" si="14"/>
        <v>0</v>
      </c>
      <c r="N28" s="227"/>
      <c r="O28" s="193">
        <f t="shared" si="15"/>
        <v>0</v>
      </c>
    </row>
    <row r="29" spans="1:15" ht="23.25" customHeight="1" x14ac:dyDescent="0.25">
      <c r="A29" s="191"/>
      <c r="B29" s="192"/>
      <c r="C29" s="192"/>
      <c r="D29" s="193"/>
      <c r="E29" s="186"/>
      <c r="F29" s="193">
        <f t="shared" si="11"/>
        <v>0</v>
      </c>
      <c r="G29" s="193">
        <v>0</v>
      </c>
      <c r="H29" s="193">
        <v>0</v>
      </c>
      <c r="I29" s="193">
        <f t="shared" si="12"/>
        <v>0</v>
      </c>
      <c r="J29" s="193">
        <v>0</v>
      </c>
      <c r="K29" s="193">
        <f t="shared" si="13"/>
        <v>0</v>
      </c>
      <c r="L29" s="193">
        <v>0</v>
      </c>
      <c r="M29" s="193">
        <f t="shared" si="14"/>
        <v>0</v>
      </c>
      <c r="N29" s="227"/>
      <c r="O29" s="193">
        <f t="shared" si="15"/>
        <v>0</v>
      </c>
    </row>
    <row r="30" spans="1:15" ht="23.25" customHeight="1" x14ac:dyDescent="0.25">
      <c r="A30" s="191" t="s">
        <v>28</v>
      </c>
      <c r="B30" s="192"/>
      <c r="C30" s="192"/>
      <c r="D30" s="193"/>
      <c r="E30" s="186"/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f t="shared" si="13"/>
        <v>0</v>
      </c>
      <c r="L30" s="193">
        <v>0</v>
      </c>
      <c r="M30" s="193">
        <f t="shared" si="14"/>
        <v>0</v>
      </c>
      <c r="N30" s="227"/>
      <c r="O30" s="193">
        <f t="shared" si="15"/>
        <v>0</v>
      </c>
    </row>
    <row r="31" spans="1:15" ht="23.25" customHeight="1" x14ac:dyDescent="0.25">
      <c r="A31" s="191"/>
      <c r="B31" s="192"/>
      <c r="C31" s="192"/>
      <c r="D31" s="193"/>
      <c r="E31" s="186"/>
      <c r="F31" s="193">
        <f t="shared" si="11"/>
        <v>0</v>
      </c>
      <c r="G31" s="193">
        <v>0</v>
      </c>
      <c r="H31" s="193">
        <v>0</v>
      </c>
      <c r="I31" s="193">
        <f t="shared" si="12"/>
        <v>0</v>
      </c>
      <c r="J31" s="193">
        <v>0</v>
      </c>
      <c r="K31" s="193">
        <f t="shared" si="13"/>
        <v>0</v>
      </c>
      <c r="L31" s="193">
        <v>0</v>
      </c>
      <c r="M31" s="193">
        <f t="shared" si="14"/>
        <v>0</v>
      </c>
      <c r="N31" s="227"/>
      <c r="O31" s="193">
        <f t="shared" si="15"/>
        <v>0</v>
      </c>
    </row>
    <row r="32" spans="1:15" ht="23.25" customHeight="1" x14ac:dyDescent="0.25">
      <c r="A32" s="191"/>
      <c r="B32" s="192"/>
      <c r="C32" s="192"/>
      <c r="D32" s="193"/>
      <c r="E32" s="186"/>
      <c r="F32" s="193">
        <f t="shared" si="11"/>
        <v>0</v>
      </c>
      <c r="G32" s="193">
        <v>0</v>
      </c>
      <c r="H32" s="193">
        <v>0</v>
      </c>
      <c r="I32" s="193">
        <f t="shared" si="12"/>
        <v>0</v>
      </c>
      <c r="J32" s="193">
        <v>0</v>
      </c>
      <c r="K32" s="193">
        <f t="shared" si="13"/>
        <v>0</v>
      </c>
      <c r="L32" s="193">
        <v>0</v>
      </c>
      <c r="M32" s="193">
        <f t="shared" si="14"/>
        <v>0</v>
      </c>
      <c r="N32" s="227"/>
      <c r="O32" s="193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194">
        <f>SUM(E24:E32)</f>
        <v>0</v>
      </c>
      <c r="F33" s="194">
        <f t="shared" si="11"/>
        <v>0</v>
      </c>
      <c r="G33" s="194">
        <f t="shared" ref="G33:M33" si="16">SUM(G24:G32)</f>
        <v>0</v>
      </c>
      <c r="H33" s="194">
        <f t="shared" si="16"/>
        <v>0</v>
      </c>
      <c r="I33" s="194">
        <f t="shared" si="16"/>
        <v>0</v>
      </c>
      <c r="J33" s="194">
        <f t="shared" si="16"/>
        <v>0</v>
      </c>
      <c r="K33" s="194">
        <f t="shared" si="16"/>
        <v>0</v>
      </c>
      <c r="L33" s="194">
        <f t="shared" si="16"/>
        <v>0</v>
      </c>
      <c r="M33" s="194">
        <f t="shared" si="16"/>
        <v>0</v>
      </c>
      <c r="N33" s="194">
        <f>L33-J33</f>
        <v>0</v>
      </c>
      <c r="O33" s="195">
        <f>SUM(O24:O32)</f>
        <v>0</v>
      </c>
    </row>
    <row r="34" spans="1:15" s="14" customFormat="1" ht="23.25" customHeight="1" x14ac:dyDescent="0.25">
      <c r="A34" s="63" t="s">
        <v>30</v>
      </c>
      <c r="B34" s="192"/>
      <c r="C34" s="192"/>
      <c r="D34" s="64"/>
      <c r="E34" s="192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7"/>
      <c r="O34" s="64">
        <f t="shared" ref="O34:O41" si="20">G34+H34+L34</f>
        <v>0</v>
      </c>
    </row>
    <row r="35" spans="1:15" ht="23.25" customHeight="1" x14ac:dyDescent="0.25">
      <c r="A35" s="191"/>
      <c r="B35" s="192"/>
      <c r="C35" s="192"/>
      <c r="D35" s="193"/>
      <c r="E35" s="186"/>
      <c r="F35" s="193">
        <v>0</v>
      </c>
      <c r="G35" s="193">
        <v>0</v>
      </c>
      <c r="H35" s="193">
        <v>0</v>
      </c>
      <c r="I35" s="193">
        <f t="shared" si="17"/>
        <v>0</v>
      </c>
      <c r="J35" s="193">
        <v>0</v>
      </c>
      <c r="K35" s="193">
        <f t="shared" si="18"/>
        <v>0</v>
      </c>
      <c r="L35" s="193">
        <v>0</v>
      </c>
      <c r="M35" s="193">
        <f t="shared" si="19"/>
        <v>0</v>
      </c>
      <c r="N35" s="227"/>
      <c r="O35" s="193">
        <f t="shared" si="20"/>
        <v>0</v>
      </c>
    </row>
    <row r="36" spans="1:15" ht="23.25" customHeight="1" x14ac:dyDescent="0.25">
      <c r="A36" s="191" t="s">
        <v>36</v>
      </c>
      <c r="B36" s="192" t="s">
        <v>60</v>
      </c>
      <c r="C36" s="192" t="s">
        <v>378</v>
      </c>
      <c r="D36" s="193"/>
      <c r="E36" s="186"/>
      <c r="F36" s="193">
        <v>0</v>
      </c>
      <c r="G36" s="193">
        <v>0</v>
      </c>
      <c r="H36" s="193">
        <v>0</v>
      </c>
      <c r="I36" s="193">
        <f t="shared" si="17"/>
        <v>0</v>
      </c>
      <c r="J36" s="193">
        <v>0</v>
      </c>
      <c r="K36" s="193">
        <f t="shared" si="18"/>
        <v>0</v>
      </c>
      <c r="L36" s="223">
        <v>92.98</v>
      </c>
      <c r="M36" s="193">
        <f t="shared" si="19"/>
        <v>92.98</v>
      </c>
      <c r="N36" s="227"/>
      <c r="O36" s="193">
        <f t="shared" si="20"/>
        <v>92.98</v>
      </c>
    </row>
    <row r="37" spans="1:15" ht="23.25" customHeight="1" x14ac:dyDescent="0.25">
      <c r="B37" s="192" t="s">
        <v>393</v>
      </c>
      <c r="C37" s="192" t="s">
        <v>394</v>
      </c>
      <c r="D37" s="193"/>
      <c r="E37" s="186"/>
      <c r="F37" s="193">
        <f t="shared" si="11"/>
        <v>17.64</v>
      </c>
      <c r="G37" s="193">
        <v>17.64</v>
      </c>
      <c r="H37" s="193">
        <v>0</v>
      </c>
      <c r="I37" s="193">
        <f t="shared" si="17"/>
        <v>17.64</v>
      </c>
      <c r="J37" s="193">
        <v>0</v>
      </c>
      <c r="K37" s="193">
        <f t="shared" si="18"/>
        <v>0</v>
      </c>
      <c r="L37" s="193">
        <v>0</v>
      </c>
      <c r="M37" s="193">
        <f t="shared" si="19"/>
        <v>0</v>
      </c>
      <c r="N37" s="227"/>
      <c r="O37" s="193">
        <f t="shared" si="20"/>
        <v>17.64</v>
      </c>
    </row>
    <row r="38" spans="1:15" ht="23.25" customHeight="1" x14ac:dyDescent="0.25">
      <c r="B38" s="192" t="s">
        <v>60</v>
      </c>
      <c r="C38" s="192" t="s">
        <v>394</v>
      </c>
      <c r="D38" s="193"/>
      <c r="E38" s="186"/>
      <c r="F38" s="193">
        <v>0</v>
      </c>
      <c r="G38" s="193">
        <v>0</v>
      </c>
      <c r="H38" s="193">
        <v>0</v>
      </c>
      <c r="I38" s="193">
        <f t="shared" si="17"/>
        <v>0</v>
      </c>
      <c r="J38" s="193">
        <v>0</v>
      </c>
      <c r="K38" s="193">
        <f t="shared" si="18"/>
        <v>0</v>
      </c>
      <c r="L38" s="223">
        <v>256.95999999999998</v>
      </c>
      <c r="M38" s="193">
        <f t="shared" si="19"/>
        <v>256.95999999999998</v>
      </c>
      <c r="N38" s="228"/>
      <c r="O38" s="193">
        <f t="shared" si="20"/>
        <v>256.95999999999998</v>
      </c>
    </row>
    <row r="39" spans="1:15" ht="23.25" customHeight="1" x14ac:dyDescent="0.25">
      <c r="A39" s="63" t="s">
        <v>31</v>
      </c>
      <c r="B39" s="192"/>
      <c r="C39" s="192"/>
      <c r="D39" s="193"/>
      <c r="E39" s="186"/>
      <c r="F39" s="193">
        <v>0</v>
      </c>
      <c r="G39" s="193">
        <v>0</v>
      </c>
      <c r="H39" s="193">
        <v>0</v>
      </c>
      <c r="I39" s="193">
        <f t="shared" si="17"/>
        <v>0</v>
      </c>
      <c r="J39" s="193">
        <v>0</v>
      </c>
      <c r="K39" s="193">
        <f>SUM(J39)</f>
        <v>0</v>
      </c>
      <c r="L39" s="193">
        <v>0</v>
      </c>
      <c r="M39" s="193">
        <f>L39</f>
        <v>0</v>
      </c>
      <c r="N39" s="228"/>
      <c r="O39" s="193">
        <f>G39+H39+L39</f>
        <v>0</v>
      </c>
    </row>
    <row r="40" spans="1:15" ht="23.25" customHeight="1" x14ac:dyDescent="0.25">
      <c r="A40" s="65"/>
      <c r="C40" s="192"/>
      <c r="D40" s="193"/>
      <c r="E40" s="186"/>
      <c r="F40" s="193">
        <v>0</v>
      </c>
      <c r="G40" s="193">
        <v>0</v>
      </c>
      <c r="H40" s="193">
        <v>0</v>
      </c>
      <c r="I40" s="193">
        <f t="shared" si="17"/>
        <v>0</v>
      </c>
      <c r="J40" s="193">
        <v>0</v>
      </c>
      <c r="K40" s="193">
        <f>SUM(J40)</f>
        <v>0</v>
      </c>
      <c r="L40" s="193">
        <v>0</v>
      </c>
      <c r="M40" s="193">
        <f>L40</f>
        <v>0</v>
      </c>
      <c r="N40" s="228"/>
      <c r="O40" s="193">
        <f>G40+H40+L40</f>
        <v>0</v>
      </c>
    </row>
    <row r="41" spans="1:15" s="14" customFormat="1" ht="23.25" customHeight="1" x14ac:dyDescent="0.25">
      <c r="A41" s="63"/>
      <c r="B41" s="192"/>
      <c r="C41" s="192"/>
      <c r="D41" s="64"/>
      <c r="E41" s="192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17.64</v>
      </c>
      <c r="F42" s="67">
        <f t="shared" si="11"/>
        <v>0</v>
      </c>
      <c r="G42" s="67">
        <f t="shared" ref="G42:M42" si="21">SUM(G34:G40)</f>
        <v>17.64</v>
      </c>
      <c r="H42" s="67">
        <f t="shared" si="21"/>
        <v>0</v>
      </c>
      <c r="I42" s="67">
        <f t="shared" si="21"/>
        <v>17.64</v>
      </c>
      <c r="J42" s="67">
        <f t="shared" si="21"/>
        <v>0</v>
      </c>
      <c r="K42" s="67">
        <f t="shared" si="21"/>
        <v>0</v>
      </c>
      <c r="L42" s="67">
        <f t="shared" si="21"/>
        <v>349.94</v>
      </c>
      <c r="M42" s="67">
        <f t="shared" si="21"/>
        <v>349.94</v>
      </c>
      <c r="N42" s="67">
        <f>L42-J42</f>
        <v>349.94</v>
      </c>
      <c r="O42" s="68">
        <f>SUM(O34:O40)</f>
        <v>367.58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17.64</v>
      </c>
      <c r="G43" s="69">
        <f>E42+G33+G23+G13</f>
        <v>17.64</v>
      </c>
      <c r="H43" s="69">
        <f t="shared" ref="H43:M43" si="22">H42+H33+H23+H13</f>
        <v>0</v>
      </c>
      <c r="I43" s="69">
        <f t="shared" si="22"/>
        <v>17.64</v>
      </c>
      <c r="J43" s="69">
        <f t="shared" si="22"/>
        <v>0</v>
      </c>
      <c r="K43" s="69">
        <f t="shared" si="22"/>
        <v>0</v>
      </c>
      <c r="L43" s="69">
        <f t="shared" si="22"/>
        <v>349.94</v>
      </c>
      <c r="M43" s="69">
        <f t="shared" si="22"/>
        <v>349.94</v>
      </c>
      <c r="N43" s="69">
        <f>L43-J43</f>
        <v>349.94</v>
      </c>
      <c r="O43" s="195">
        <f>O42+O33+O23+O13</f>
        <v>367.58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N14:N22"/>
    <mergeCell ref="N24:N32"/>
    <mergeCell ref="N34:N40"/>
    <mergeCell ref="G1:I1"/>
    <mergeCell ref="J1:K1"/>
    <mergeCell ref="L1:N1"/>
    <mergeCell ref="O1:O2"/>
    <mergeCell ref="N5:N1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2D050"/>
  </sheetPr>
  <dimension ref="A1:O46"/>
  <sheetViews>
    <sheetView workbookViewId="0">
      <pane ySplit="4" topLeftCell="A26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291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228.24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228.24</v>
      </c>
      <c r="L4" s="24" t="s">
        <v>16</v>
      </c>
      <c r="M4" s="16"/>
      <c r="N4" s="198">
        <f>L45-J45+N3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78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78"/>
      <c r="C9" s="78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78"/>
      <c r="C10" s="78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78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/>
      <c r="C18" s="78"/>
      <c r="D18" s="8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s="14" customFormat="1" ht="23.25" customHeight="1" x14ac:dyDescent="0.25">
      <c r="A21" s="63" t="s">
        <v>23</v>
      </c>
      <c r="B21" s="83"/>
      <c r="C21" s="83"/>
      <c r="D21" s="64"/>
      <c r="E21" s="83"/>
      <c r="F21" s="64">
        <f t="shared" si="6"/>
        <v>0</v>
      </c>
      <c r="G21" s="64">
        <v>0</v>
      </c>
      <c r="H21" s="64">
        <v>0</v>
      </c>
      <c r="I21" s="64">
        <f t="shared" si="7"/>
        <v>0</v>
      </c>
      <c r="J21" s="64">
        <v>0</v>
      </c>
      <c r="K21" s="64">
        <f t="shared" si="8"/>
        <v>0</v>
      </c>
      <c r="L21" s="64">
        <v>0</v>
      </c>
      <c r="M21" s="64">
        <f t="shared" si="9"/>
        <v>0</v>
      </c>
      <c r="N21" s="228"/>
      <c r="O21" s="64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8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78"/>
      <c r="C26" s="78"/>
      <c r="D26" s="8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78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78"/>
      <c r="C31" s="78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228.24</v>
      </c>
      <c r="K35" s="75">
        <f t="shared" ref="K35:K43" si="19">SUM(J35)</f>
        <v>228.24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78"/>
      <c r="C38" s="78"/>
      <c r="D38" s="8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228.24</v>
      </c>
      <c r="K44" s="76">
        <f t="shared" si="22"/>
        <v>228.24</v>
      </c>
      <c r="L44" s="76">
        <f t="shared" si="22"/>
        <v>0</v>
      </c>
      <c r="M44" s="76">
        <f t="shared" si="22"/>
        <v>0</v>
      </c>
      <c r="N44" s="76">
        <f>L44-J44</f>
        <v>-228.24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228.24</v>
      </c>
      <c r="K45" s="69">
        <f t="shared" si="23"/>
        <v>228.24</v>
      </c>
      <c r="L45" s="69">
        <f t="shared" si="23"/>
        <v>0</v>
      </c>
      <c r="M45" s="69">
        <f t="shared" si="23"/>
        <v>0</v>
      </c>
      <c r="N45" s="69">
        <f>L45-J45</f>
        <v>-228.24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EBEF-5E42-4F77-BEDA-797A05C54995}">
  <sheetPr>
    <tabColor theme="0"/>
  </sheetPr>
  <dimension ref="A1:O44"/>
  <sheetViews>
    <sheetView zoomScaleNormal="100" workbookViewId="0">
      <pane ySplit="4" topLeftCell="A5" activePane="bottomLeft" state="frozen"/>
      <selection pane="bottomLeft" activeCell="B14" sqref="B14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65" t="s">
        <v>292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3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49.35</v>
      </c>
      <c r="J4" s="65"/>
      <c r="K4" s="73">
        <f>K43</f>
        <v>0</v>
      </c>
      <c r="L4" s="24" t="s">
        <v>16</v>
      </c>
      <c r="M4" s="16"/>
      <c r="N4" s="198">
        <f>L43-J43+N3</f>
        <v>0</v>
      </c>
      <c r="O4" s="2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 t="s">
        <v>19</v>
      </c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/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0</v>
      </c>
    </row>
    <row r="14" spans="1:15" ht="23.25" customHeight="1" x14ac:dyDescent="0.25">
      <c r="A14" s="74" t="s">
        <v>21</v>
      </c>
      <c r="B14" s="83" t="s">
        <v>293</v>
      </c>
      <c r="C14" s="83" t="s">
        <v>294</v>
      </c>
      <c r="D14" s="75"/>
      <c r="E14" s="65"/>
      <c r="F14" s="75">
        <v>0</v>
      </c>
      <c r="G14" s="75">
        <v>11.85</v>
      </c>
      <c r="H14" s="75">
        <v>37.5</v>
      </c>
      <c r="I14" s="75">
        <f t="shared" ref="I14:I22" si="6">SUM(G14:H14)</f>
        <v>49.35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49.35</v>
      </c>
    </row>
    <row r="15" spans="1:15" ht="23.25" customHeight="1" x14ac:dyDescent="0.25">
      <c r="A15" s="74"/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 t="s">
        <v>22</v>
      </c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/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 t="s">
        <v>23</v>
      </c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/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11.85</v>
      </c>
      <c r="H23" s="76">
        <f t="shared" si="10"/>
        <v>37.5</v>
      </c>
      <c r="I23" s="76">
        <f t="shared" si="10"/>
        <v>49.35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49.35</v>
      </c>
    </row>
    <row r="24" spans="1:15" ht="23.25" customHeight="1" x14ac:dyDescent="0.25">
      <c r="A24" s="74" t="s">
        <v>25</v>
      </c>
      <c r="B24" s="168"/>
      <c r="C24" s="83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0</v>
      </c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8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0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49.35</v>
      </c>
      <c r="G43" s="69">
        <f>E42+G33+G23+G13</f>
        <v>11.85</v>
      </c>
      <c r="H43" s="69">
        <f t="shared" ref="H43:M43" si="22">H42+H33+H23+H13</f>
        <v>37.5</v>
      </c>
      <c r="I43" s="69">
        <f t="shared" si="22"/>
        <v>49.35</v>
      </c>
      <c r="J43" s="69">
        <f t="shared" si="22"/>
        <v>0</v>
      </c>
      <c r="K43" s="69">
        <f t="shared" si="22"/>
        <v>0</v>
      </c>
      <c r="L43" s="69">
        <f t="shared" si="22"/>
        <v>0</v>
      </c>
      <c r="M43" s="69">
        <f t="shared" si="22"/>
        <v>0</v>
      </c>
      <c r="N43" s="69">
        <f>L43-J43</f>
        <v>0</v>
      </c>
      <c r="O43" s="77">
        <f>O42+O33+O23+O13</f>
        <v>49.35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G1:I1"/>
    <mergeCell ref="J1:K1"/>
    <mergeCell ref="L1:N1"/>
    <mergeCell ref="O1:O2"/>
    <mergeCell ref="N5:N12"/>
    <mergeCell ref="N14:N22"/>
    <mergeCell ref="N24:N32"/>
    <mergeCell ref="N34:N4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2D050"/>
  </sheetPr>
  <dimension ref="A1:O46"/>
  <sheetViews>
    <sheetView workbookViewId="0">
      <pane ySplit="4" topLeftCell="A5" activePane="bottomLeft" state="frozen"/>
      <selection pane="bottomLeft" activeCell="L16" sqref="L16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295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119.3</v>
      </c>
      <c r="L4" s="16" t="s">
        <v>35</v>
      </c>
      <c r="M4" s="17"/>
      <c r="N4" s="198">
        <f>L45-K45+N35</f>
        <v>278.33999999999997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78"/>
      <c r="C12" s="78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83" t="s">
        <v>60</v>
      </c>
      <c r="C15" s="83" t="s">
        <v>296</v>
      </c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397.64</v>
      </c>
      <c r="M15" s="75">
        <f t="shared" ref="M15:M23" si="9">L15</f>
        <v>397.64</v>
      </c>
      <c r="N15" s="228"/>
      <c r="O15" s="75">
        <f t="shared" ref="O15:O23" si="10">G15+H15+L15</f>
        <v>397.64</v>
      </c>
    </row>
    <row r="16" spans="1:15" ht="23.25" customHeight="1" x14ac:dyDescent="0.25">
      <c r="A16" s="74"/>
      <c r="B16" s="78" t="s">
        <v>297</v>
      </c>
      <c r="C16" s="78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119.3</v>
      </c>
      <c r="K16" s="75">
        <f t="shared" si="8"/>
        <v>119.3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78"/>
      <c r="C18" s="78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78"/>
      <c r="C19" s="78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78"/>
      <c r="C20" s="78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119.3</v>
      </c>
      <c r="K24" s="76">
        <f t="shared" si="11"/>
        <v>119.3</v>
      </c>
      <c r="L24" s="76">
        <f t="shared" si="11"/>
        <v>397.64</v>
      </c>
      <c r="M24" s="76">
        <f t="shared" si="11"/>
        <v>397.64</v>
      </c>
      <c r="N24" s="76">
        <f>L24-J24</f>
        <v>278.33999999999997</v>
      </c>
      <c r="O24" s="77">
        <f>SUM(O15:O23)</f>
        <v>397.64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78"/>
      <c r="C28" s="78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78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78"/>
      <c r="C41" s="78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119.3</v>
      </c>
      <c r="K45" s="69">
        <f t="shared" si="23"/>
        <v>119.3</v>
      </c>
      <c r="L45" s="69">
        <f t="shared" si="23"/>
        <v>397.64</v>
      </c>
      <c r="M45" s="69">
        <f t="shared" si="23"/>
        <v>397.64</v>
      </c>
      <c r="N45" s="69">
        <f>L45-J45</f>
        <v>278.33999999999997</v>
      </c>
      <c r="O45" s="77">
        <f>O44+O34+O24+O14</f>
        <v>397.64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2D050"/>
  </sheetPr>
  <dimension ref="A1:O46"/>
  <sheetViews>
    <sheetView workbookViewId="0">
      <pane ySplit="4" topLeftCell="A29" activePane="bottomLeft" state="frozen"/>
      <selection pane="bottomLeft" activeCell="K19" sqref="K19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/>
      <c r="C1" s="12" t="s">
        <v>298</v>
      </c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>
        <v>146.19999999999999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25">
        <f>L45-J45+N35+N3</f>
        <v>146.19999999999999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39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40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40"/>
      <c r="O7" s="75">
        <f t="shared" si="4"/>
        <v>0</v>
      </c>
    </row>
    <row r="8" spans="1:15" ht="23.25" customHeight="1" x14ac:dyDescent="0.25">
      <c r="A8" s="74" t="s">
        <v>18</v>
      </c>
      <c r="B8" s="61"/>
      <c r="C8" s="78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40"/>
      <c r="O8" s="75">
        <f t="shared" si="4"/>
        <v>0</v>
      </c>
    </row>
    <row r="9" spans="1:15" ht="23.25" customHeight="1" x14ac:dyDescent="0.25">
      <c r="A9" s="74"/>
      <c r="B9" s="127"/>
      <c r="C9" s="78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40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40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40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40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41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78"/>
      <c r="C25" s="78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O1:O2"/>
    <mergeCell ref="N5:N13"/>
    <mergeCell ref="N15:N23"/>
    <mergeCell ref="N25:N33"/>
    <mergeCell ref="N35:N43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/>
  </sheetPr>
  <dimension ref="A1:O44"/>
  <sheetViews>
    <sheetView workbookViewId="0">
      <pane ySplit="4" topLeftCell="A11" activePane="bottomLeft" state="frozen"/>
      <selection pane="bottomLeft" activeCell="G19" sqref="G19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299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196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400</v>
      </c>
      <c r="J4" s="65"/>
      <c r="K4" s="73">
        <f>K43</f>
        <v>0</v>
      </c>
      <c r="L4" s="24" t="s">
        <v>16</v>
      </c>
      <c r="M4" s="16"/>
      <c r="N4" s="185">
        <f>L43-J43+N3</f>
        <v>1744.32</v>
      </c>
      <c r="O4" s="6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 t="s">
        <v>300</v>
      </c>
      <c r="C8" s="83" t="s">
        <v>301</v>
      </c>
      <c r="D8" s="75"/>
      <c r="E8" s="65"/>
      <c r="F8" s="75">
        <f t="shared" si="0"/>
        <v>400</v>
      </c>
      <c r="G8" s="75">
        <v>400</v>
      </c>
      <c r="H8" s="75">
        <v>0</v>
      </c>
      <c r="I8" s="75">
        <f t="shared" si="1"/>
        <v>400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400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400</v>
      </c>
      <c r="G13" s="76">
        <f t="shared" si="5"/>
        <v>400</v>
      </c>
      <c r="H13" s="76">
        <f t="shared" si="5"/>
        <v>0</v>
      </c>
      <c r="I13" s="76">
        <f t="shared" si="5"/>
        <v>400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400</v>
      </c>
    </row>
    <row r="14" spans="1:15" ht="23.25" customHeight="1" x14ac:dyDescent="0.25">
      <c r="A14" s="74"/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 t="s">
        <v>21</v>
      </c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/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 t="s">
        <v>22</v>
      </c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/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 t="s">
        <v>23</v>
      </c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79"/>
      <c r="C24" s="197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 t="s">
        <v>60</v>
      </c>
      <c r="C35" s="83" t="s">
        <v>374</v>
      </c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>
        <v>1744.32</v>
      </c>
      <c r="M35" s="75">
        <f t="shared" si="19"/>
        <v>1744.32</v>
      </c>
      <c r="N35" s="228"/>
      <c r="O35" s="75">
        <f t="shared" si="20"/>
        <v>1744.32</v>
      </c>
    </row>
    <row r="36" spans="1:15" ht="23.25" customHeight="1" x14ac:dyDescent="0.25">
      <c r="A36" s="74"/>
      <c r="B36" s="83"/>
      <c r="C36" s="83"/>
      <c r="D36" s="75"/>
      <c r="E36" s="65"/>
      <c r="F36" s="75">
        <v>0</v>
      </c>
      <c r="G36" s="75">
        <v>0</v>
      </c>
      <c r="H36" s="75">
        <v>0</v>
      </c>
      <c r="I36" s="75">
        <f t="shared" si="17"/>
        <v>0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0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13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0</v>
      </c>
      <c r="F42" s="67">
        <f t="shared" si="11"/>
        <v>0</v>
      </c>
      <c r="G42" s="67">
        <f t="shared" ref="G42:M42" si="21">SUM(G34:G40)</f>
        <v>0</v>
      </c>
      <c r="H42" s="67">
        <f t="shared" si="21"/>
        <v>0</v>
      </c>
      <c r="I42" s="67">
        <f t="shared" si="21"/>
        <v>0</v>
      </c>
      <c r="J42" s="67">
        <f t="shared" si="21"/>
        <v>0</v>
      </c>
      <c r="K42" s="67">
        <f t="shared" si="21"/>
        <v>0</v>
      </c>
      <c r="L42" s="67">
        <f t="shared" si="21"/>
        <v>1744.32</v>
      </c>
      <c r="M42" s="67">
        <f t="shared" si="21"/>
        <v>1744.32</v>
      </c>
      <c r="N42" s="67">
        <f>L42-J42</f>
        <v>1744.32</v>
      </c>
      <c r="O42" s="68">
        <f>SUM(O34:O40)</f>
        <v>1744.32</v>
      </c>
    </row>
    <row r="43" spans="1:15" ht="23.25" customHeight="1" x14ac:dyDescent="0.25">
      <c r="A43" s="30" t="s">
        <v>33</v>
      </c>
      <c r="B43" s="43"/>
      <c r="C43" s="46"/>
      <c r="D43" s="33"/>
      <c r="E43" s="69">
        <f>B42+E33+E23+E13</f>
        <v>0</v>
      </c>
      <c r="F43" s="69">
        <f t="shared" si="11"/>
        <v>400</v>
      </c>
      <c r="G43" s="69">
        <f>E42+G33+G23+G13</f>
        <v>400</v>
      </c>
      <c r="H43" s="69">
        <f t="shared" ref="H43:M43" si="22">H42+H33+H23+H13</f>
        <v>0</v>
      </c>
      <c r="I43" s="69">
        <f t="shared" si="22"/>
        <v>400</v>
      </c>
      <c r="J43" s="69">
        <f t="shared" si="22"/>
        <v>0</v>
      </c>
      <c r="K43" s="69">
        <f t="shared" si="22"/>
        <v>0</v>
      </c>
      <c r="L43" s="69">
        <f t="shared" si="22"/>
        <v>1744.32</v>
      </c>
      <c r="M43" s="69">
        <f t="shared" si="22"/>
        <v>1744.32</v>
      </c>
      <c r="N43" s="69">
        <f>L43-J43</f>
        <v>1744.32</v>
      </c>
      <c r="O43" s="77">
        <f>O42+O33+O23+O13</f>
        <v>2144.3199999999997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O1:O2"/>
    <mergeCell ref="N5:N12"/>
    <mergeCell ref="N14:N22"/>
    <mergeCell ref="N24:N32"/>
    <mergeCell ref="N34:N40"/>
    <mergeCell ref="G1:I1"/>
    <mergeCell ref="J1:K1"/>
    <mergeCell ref="L1:N1"/>
  </mergeCells>
  <pageMargins left="0.7" right="0.7" top="0.75" bottom="0.75" header="0.51180555555555496" footer="0.51180555555555496"/>
  <pageSetup paperSize="9" firstPageNumber="0" orientation="portrait" horizontalDpi="300" verticalDpi="300" r:id="rId1"/>
  <ignoredErrors>
    <ignoredError sqref="I33:I36" formula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0000"/>
  </sheetPr>
  <dimension ref="A1:O52"/>
  <sheetViews>
    <sheetView workbookViewId="0">
      <selection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57" t="s">
        <v>302</v>
      </c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89</v>
      </c>
      <c r="N3" s="71">
        <v>438.08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I51</f>
        <v>0</v>
      </c>
      <c r="J4" s="65"/>
      <c r="K4" s="73">
        <f>K51</f>
        <v>0</v>
      </c>
      <c r="L4" s="24" t="s">
        <v>16</v>
      </c>
      <c r="M4" s="16"/>
      <c r="N4" s="198">
        <f>L51-J51+N3</f>
        <v>438.08</v>
      </c>
      <c r="O4" s="25"/>
    </row>
    <row r="5" spans="1:15" ht="23.25" customHeight="1" x14ac:dyDescent="0.25">
      <c r="A5" s="74"/>
      <c r="B5" s="149" t="s">
        <v>303</v>
      </c>
      <c r="C5" s="148"/>
      <c r="D5" s="75"/>
      <c r="E5" s="65"/>
      <c r="F5" s="75">
        <f t="shared" ref="F5:F16" si="0">I5-E5</f>
        <v>0</v>
      </c>
      <c r="G5" s="75">
        <v>0</v>
      </c>
      <c r="H5" s="75">
        <v>0</v>
      </c>
      <c r="I5" s="75">
        <f t="shared" ref="I5:I16" si="1">SUM(G5:H5)</f>
        <v>0</v>
      </c>
      <c r="J5" s="75">
        <v>0</v>
      </c>
      <c r="K5" s="75">
        <f t="shared" ref="K5:K16" si="2">SUM(J5)</f>
        <v>0</v>
      </c>
      <c r="L5" s="75">
        <v>0</v>
      </c>
      <c r="M5" s="75">
        <f t="shared" ref="M5:M16" si="3">L5</f>
        <v>0</v>
      </c>
      <c r="N5" s="228"/>
      <c r="O5" s="75">
        <f t="shared" ref="O5:O16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74"/>
      <c r="B14" s="65"/>
      <c r="C14" s="65"/>
      <c r="D14" s="75"/>
      <c r="E14" s="65"/>
      <c r="F14" s="75">
        <f t="shared" si="0"/>
        <v>0</v>
      </c>
      <c r="G14" s="75">
        <v>0</v>
      </c>
      <c r="H14" s="75">
        <v>0</v>
      </c>
      <c r="I14" s="75">
        <f t="shared" si="1"/>
        <v>0</v>
      </c>
      <c r="J14" s="75">
        <v>0</v>
      </c>
      <c r="K14" s="75">
        <f t="shared" si="2"/>
        <v>0</v>
      </c>
      <c r="L14" s="75">
        <v>0</v>
      </c>
      <c r="M14" s="75">
        <f t="shared" si="3"/>
        <v>0</v>
      </c>
      <c r="N14" s="228"/>
      <c r="O14" s="75">
        <f t="shared" si="4"/>
        <v>0</v>
      </c>
    </row>
    <row r="15" spans="1:15" ht="23.25" customHeight="1" x14ac:dyDescent="0.25">
      <c r="A15" s="74"/>
      <c r="B15" s="65"/>
      <c r="C15" s="65"/>
      <c r="D15" s="75"/>
      <c r="E15" s="65"/>
      <c r="F15" s="75">
        <f t="shared" si="0"/>
        <v>0</v>
      </c>
      <c r="G15" s="75">
        <v>0</v>
      </c>
      <c r="H15" s="75">
        <v>0</v>
      </c>
      <c r="I15" s="75">
        <f>SUM(G15:H15)</f>
        <v>0</v>
      </c>
      <c r="J15" s="75">
        <v>0</v>
      </c>
      <c r="K15" s="75">
        <f t="shared" si="2"/>
        <v>0</v>
      </c>
      <c r="L15" s="75">
        <v>0</v>
      </c>
      <c r="M15" s="75">
        <f t="shared" si="3"/>
        <v>0</v>
      </c>
      <c r="N15" s="228"/>
      <c r="O15" s="75">
        <f t="shared" si="4"/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0"/>
        <v>0</v>
      </c>
      <c r="G16" s="75">
        <v>0</v>
      </c>
      <c r="H16" s="75">
        <v>0</v>
      </c>
      <c r="I16" s="75">
        <f t="shared" si="1"/>
        <v>0</v>
      </c>
      <c r="J16" s="75">
        <v>0</v>
      </c>
      <c r="K16" s="75">
        <f t="shared" si="2"/>
        <v>0</v>
      </c>
      <c r="L16" s="75">
        <v>0</v>
      </c>
      <c r="M16" s="75">
        <f t="shared" si="3"/>
        <v>0</v>
      </c>
      <c r="N16" s="228"/>
      <c r="O16" s="75">
        <f t="shared" si="4"/>
        <v>0</v>
      </c>
    </row>
    <row r="17" spans="1:15" ht="23.25" customHeight="1" x14ac:dyDescent="0.25">
      <c r="A17" s="26" t="s">
        <v>20</v>
      </c>
      <c r="B17" s="27"/>
      <c r="C17" s="28"/>
      <c r="D17" s="29"/>
      <c r="E17" s="76">
        <f t="shared" ref="E17:M17" si="5">SUM(E5:E16)</f>
        <v>0</v>
      </c>
      <c r="F17" s="76">
        <f t="shared" si="5"/>
        <v>0</v>
      </c>
      <c r="G17" s="76">
        <f t="shared" si="5"/>
        <v>0</v>
      </c>
      <c r="H17" s="76">
        <f t="shared" si="5"/>
        <v>0</v>
      </c>
      <c r="I17" s="76">
        <f t="shared" si="5"/>
        <v>0</v>
      </c>
      <c r="J17" s="76">
        <f t="shared" si="5"/>
        <v>0</v>
      </c>
      <c r="K17" s="76">
        <f t="shared" si="5"/>
        <v>0</v>
      </c>
      <c r="L17" s="76">
        <f t="shared" si="5"/>
        <v>0</v>
      </c>
      <c r="M17" s="76">
        <f t="shared" si="5"/>
        <v>0</v>
      </c>
      <c r="N17" s="76">
        <f>L17-J17</f>
        <v>0</v>
      </c>
      <c r="O17" s="77">
        <f>SUM(O5:O16)</f>
        <v>0</v>
      </c>
    </row>
    <row r="18" spans="1:15" ht="23.25" customHeight="1" x14ac:dyDescent="0.25">
      <c r="A18" s="74" t="s">
        <v>21</v>
      </c>
      <c r="B18" s="65"/>
      <c r="C18" s="65"/>
      <c r="D18" s="75"/>
      <c r="E18" s="65"/>
      <c r="F18" s="75">
        <f t="shared" ref="F18:F29" si="6">I18-E18</f>
        <v>0</v>
      </c>
      <c r="G18" s="75">
        <v>0</v>
      </c>
      <c r="H18" s="75">
        <v>0</v>
      </c>
      <c r="I18" s="75">
        <f t="shared" ref="I18:I29" si="7">SUM(G18:H18)</f>
        <v>0</v>
      </c>
      <c r="J18" s="75">
        <v>0</v>
      </c>
      <c r="K18" s="75">
        <f t="shared" ref="K18:K29" si="8">SUM(J18)</f>
        <v>0</v>
      </c>
      <c r="L18" s="75">
        <v>0</v>
      </c>
      <c r="M18" s="75">
        <f t="shared" ref="M18:M29" si="9">L18</f>
        <v>0</v>
      </c>
      <c r="N18" s="228"/>
      <c r="O18" s="75">
        <f t="shared" ref="O18:O29" si="10">G18+H18+L18</f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22</v>
      </c>
      <c r="B21" s="83"/>
      <c r="C21" s="83"/>
      <c r="D21" s="75"/>
      <c r="E21" s="65"/>
      <c r="F21" s="75"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74"/>
      <c r="B24" s="65"/>
      <c r="C24" s="65"/>
      <c r="D24" s="75"/>
      <c r="E24" s="65"/>
      <c r="F24" s="75">
        <f t="shared" si="6"/>
        <v>0</v>
      </c>
      <c r="G24" s="75">
        <v>0</v>
      </c>
      <c r="H24" s="75">
        <v>0</v>
      </c>
      <c r="I24" s="75">
        <f t="shared" si="7"/>
        <v>0</v>
      </c>
      <c r="J24" s="75">
        <v>0</v>
      </c>
      <c r="K24" s="75">
        <f t="shared" si="8"/>
        <v>0</v>
      </c>
      <c r="L24" s="75">
        <v>0</v>
      </c>
      <c r="M24" s="75">
        <f t="shared" si="9"/>
        <v>0</v>
      </c>
      <c r="N24" s="228"/>
      <c r="O24" s="75">
        <f t="shared" si="10"/>
        <v>0</v>
      </c>
    </row>
    <row r="25" spans="1:15" ht="23.25" customHeight="1" x14ac:dyDescent="0.25">
      <c r="A25" s="74"/>
      <c r="B25" s="65"/>
      <c r="C25" s="65"/>
      <c r="D25" s="75"/>
      <c r="E25" s="65"/>
      <c r="F25" s="75">
        <f t="shared" si="6"/>
        <v>0</v>
      </c>
      <c r="G25" s="75">
        <v>0</v>
      </c>
      <c r="H25" s="75">
        <v>0</v>
      </c>
      <c r="I25" s="75">
        <f t="shared" si="7"/>
        <v>0</v>
      </c>
      <c r="J25" s="75">
        <v>0</v>
      </c>
      <c r="K25" s="75">
        <f t="shared" si="8"/>
        <v>0</v>
      </c>
      <c r="L25" s="75">
        <v>0</v>
      </c>
      <c r="M25" s="75">
        <f t="shared" si="9"/>
        <v>0</v>
      </c>
      <c r="N25" s="228"/>
      <c r="O25" s="75">
        <f t="shared" si="10"/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6"/>
        <v>0</v>
      </c>
      <c r="G26" s="75">
        <v>0</v>
      </c>
      <c r="H26" s="75">
        <v>0</v>
      </c>
      <c r="I26" s="75">
        <f t="shared" si="7"/>
        <v>0</v>
      </c>
      <c r="J26" s="75">
        <v>0</v>
      </c>
      <c r="K26" s="75">
        <f t="shared" si="8"/>
        <v>0</v>
      </c>
      <c r="L26" s="75">
        <v>0</v>
      </c>
      <c r="M26" s="75">
        <f t="shared" si="9"/>
        <v>0</v>
      </c>
      <c r="N26" s="228"/>
      <c r="O26" s="75">
        <f t="shared" si="10"/>
        <v>0</v>
      </c>
    </row>
    <row r="27" spans="1:15" ht="23.25" customHeight="1" x14ac:dyDescent="0.25">
      <c r="A27" s="74" t="s">
        <v>23</v>
      </c>
      <c r="B27" s="65"/>
      <c r="C27" s="65"/>
      <c r="D27" s="75"/>
      <c r="E27" s="65"/>
      <c r="F27" s="75">
        <f t="shared" si="6"/>
        <v>0</v>
      </c>
      <c r="G27" s="75">
        <v>0</v>
      </c>
      <c r="H27" s="75">
        <v>0</v>
      </c>
      <c r="I27" s="75">
        <f t="shared" si="7"/>
        <v>0</v>
      </c>
      <c r="J27" s="75">
        <v>0</v>
      </c>
      <c r="K27" s="75">
        <f t="shared" si="8"/>
        <v>0</v>
      </c>
      <c r="L27" s="75">
        <v>0</v>
      </c>
      <c r="M27" s="75">
        <f t="shared" si="9"/>
        <v>0</v>
      </c>
      <c r="N27" s="228"/>
      <c r="O27" s="75">
        <f t="shared" si="10"/>
        <v>0</v>
      </c>
    </row>
    <row r="28" spans="1:15" ht="23.25" customHeight="1" x14ac:dyDescent="0.25">
      <c r="A28" s="74"/>
      <c r="B28" s="65"/>
      <c r="C28" s="65"/>
      <c r="D28" s="75"/>
      <c r="E28" s="65"/>
      <c r="F28" s="75">
        <f t="shared" si="6"/>
        <v>0</v>
      </c>
      <c r="G28" s="75">
        <v>0</v>
      </c>
      <c r="H28" s="75">
        <v>0</v>
      </c>
      <c r="I28" s="75">
        <f t="shared" si="7"/>
        <v>0</v>
      </c>
      <c r="J28" s="75">
        <v>0</v>
      </c>
      <c r="K28" s="75">
        <f t="shared" si="8"/>
        <v>0</v>
      </c>
      <c r="L28" s="75">
        <v>0</v>
      </c>
      <c r="M28" s="75">
        <f t="shared" si="9"/>
        <v>0</v>
      </c>
      <c r="N28" s="228"/>
      <c r="O28" s="75">
        <f t="shared" si="10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6"/>
        <v>0</v>
      </c>
      <c r="G29" s="75">
        <v>0</v>
      </c>
      <c r="H29" s="75">
        <v>0</v>
      </c>
      <c r="I29" s="75">
        <f t="shared" si="7"/>
        <v>0</v>
      </c>
      <c r="J29" s="75">
        <v>0</v>
      </c>
      <c r="K29" s="75">
        <f t="shared" si="8"/>
        <v>0</v>
      </c>
      <c r="L29" s="75">
        <v>0</v>
      </c>
      <c r="M29" s="75">
        <f t="shared" si="9"/>
        <v>0</v>
      </c>
      <c r="N29" s="228"/>
      <c r="O29" s="75">
        <f t="shared" si="10"/>
        <v>0</v>
      </c>
    </row>
    <row r="30" spans="1:15" ht="23.25" customHeight="1" x14ac:dyDescent="0.25">
      <c r="A30" s="26" t="s">
        <v>24</v>
      </c>
      <c r="B30" s="27"/>
      <c r="C30" s="28"/>
      <c r="D30" s="29"/>
      <c r="E30" s="76">
        <f t="shared" ref="E30:M30" si="11">SUM(E18:E29)</f>
        <v>0</v>
      </c>
      <c r="F30" s="76">
        <f t="shared" si="11"/>
        <v>0</v>
      </c>
      <c r="G30" s="76">
        <f t="shared" si="11"/>
        <v>0</v>
      </c>
      <c r="H30" s="76">
        <f t="shared" si="11"/>
        <v>0</v>
      </c>
      <c r="I30" s="76">
        <f t="shared" si="11"/>
        <v>0</v>
      </c>
      <c r="J30" s="76">
        <f t="shared" si="11"/>
        <v>0</v>
      </c>
      <c r="K30" s="76">
        <f t="shared" si="11"/>
        <v>0</v>
      </c>
      <c r="L30" s="76">
        <f t="shared" si="11"/>
        <v>0</v>
      </c>
      <c r="M30" s="76">
        <f t="shared" si="11"/>
        <v>0</v>
      </c>
      <c r="N30" s="76">
        <f>L30-J30</f>
        <v>0</v>
      </c>
      <c r="O30" s="77">
        <f>SUM(O18:O29)</f>
        <v>0</v>
      </c>
    </row>
    <row r="31" spans="1:15" ht="23.25" customHeight="1" x14ac:dyDescent="0.25">
      <c r="A31" s="74" t="s">
        <v>25</v>
      </c>
      <c r="B31" s="65"/>
      <c r="C31" s="65"/>
      <c r="D31" s="75"/>
      <c r="E31" s="65"/>
      <c r="F31" s="75">
        <f t="shared" ref="F31:F51" si="12">I31-E31</f>
        <v>0</v>
      </c>
      <c r="G31" s="75">
        <v>0</v>
      </c>
      <c r="H31" s="75">
        <v>0</v>
      </c>
      <c r="I31" s="75">
        <f t="shared" ref="I31:I39" si="13">SUM(G31:H31)</f>
        <v>0</v>
      </c>
      <c r="J31" s="75">
        <v>0</v>
      </c>
      <c r="K31" s="75">
        <f t="shared" ref="K31:K39" si="14">SUM(J31)</f>
        <v>0</v>
      </c>
      <c r="L31" s="75">
        <v>0</v>
      </c>
      <c r="M31" s="75">
        <f t="shared" ref="M31:M39" si="15">L31</f>
        <v>0</v>
      </c>
      <c r="N31" s="228"/>
      <c r="O31" s="75">
        <f t="shared" ref="O31:O39" si="16">G31+H31+L31</f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74" t="s">
        <v>26</v>
      </c>
      <c r="B34" s="65"/>
      <c r="C34" s="65"/>
      <c r="D34" s="75"/>
      <c r="E34" s="65"/>
      <c r="F34" s="75">
        <f t="shared" si="12"/>
        <v>0</v>
      </c>
      <c r="G34" s="75">
        <v>0</v>
      </c>
      <c r="H34" s="75">
        <v>0</v>
      </c>
      <c r="I34" s="75">
        <f t="shared" si="13"/>
        <v>0</v>
      </c>
      <c r="J34" s="75">
        <v>0</v>
      </c>
      <c r="K34" s="75">
        <f t="shared" si="14"/>
        <v>0</v>
      </c>
      <c r="L34" s="75">
        <v>0</v>
      </c>
      <c r="M34" s="75">
        <f t="shared" si="15"/>
        <v>0</v>
      </c>
      <c r="N34" s="228"/>
      <c r="O34" s="75">
        <f t="shared" si="16"/>
        <v>0</v>
      </c>
    </row>
    <row r="35" spans="1:15" ht="23.25" customHeight="1" x14ac:dyDescent="0.25">
      <c r="A35" s="74"/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si="13"/>
        <v>0</v>
      </c>
      <c r="J35" s="75">
        <v>0</v>
      </c>
      <c r="K35" s="75">
        <f t="shared" si="14"/>
        <v>0</v>
      </c>
      <c r="L35" s="75">
        <v>0</v>
      </c>
      <c r="M35" s="75">
        <f t="shared" si="15"/>
        <v>0</v>
      </c>
      <c r="N35" s="228"/>
      <c r="O35" s="75">
        <f t="shared" si="16"/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3"/>
        <v>0</v>
      </c>
      <c r="J36" s="75">
        <v>0</v>
      </c>
      <c r="K36" s="75">
        <f t="shared" si="14"/>
        <v>0</v>
      </c>
      <c r="L36" s="75">
        <v>0</v>
      </c>
      <c r="M36" s="75">
        <f t="shared" si="15"/>
        <v>0</v>
      </c>
      <c r="N36" s="228"/>
      <c r="O36" s="75">
        <f t="shared" si="16"/>
        <v>0</v>
      </c>
    </row>
    <row r="37" spans="1:15" ht="23.25" customHeight="1" x14ac:dyDescent="0.25">
      <c r="A37" s="74" t="s">
        <v>28</v>
      </c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3"/>
        <v>0</v>
      </c>
      <c r="J37" s="75">
        <v>0</v>
      </c>
      <c r="K37" s="75">
        <f t="shared" si="14"/>
        <v>0</v>
      </c>
      <c r="L37" s="75">
        <v>0</v>
      </c>
      <c r="M37" s="75">
        <f t="shared" si="15"/>
        <v>0</v>
      </c>
      <c r="N37" s="228"/>
      <c r="O37" s="75">
        <f t="shared" si="16"/>
        <v>0</v>
      </c>
    </row>
    <row r="38" spans="1:15" ht="23.25" customHeight="1" x14ac:dyDescent="0.25">
      <c r="A38" s="74"/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3"/>
        <v>0</v>
      </c>
      <c r="J38" s="75">
        <v>0</v>
      </c>
      <c r="K38" s="75">
        <f t="shared" si="14"/>
        <v>0</v>
      </c>
      <c r="L38" s="75">
        <v>0</v>
      </c>
      <c r="M38" s="75">
        <f t="shared" si="15"/>
        <v>0</v>
      </c>
      <c r="N38" s="228"/>
      <c r="O38" s="75">
        <f t="shared" si="16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3"/>
        <v>0</v>
      </c>
      <c r="J39" s="75">
        <v>0</v>
      </c>
      <c r="K39" s="75">
        <f t="shared" si="14"/>
        <v>0</v>
      </c>
      <c r="L39" s="75">
        <v>0</v>
      </c>
      <c r="M39" s="75">
        <f t="shared" si="15"/>
        <v>0</v>
      </c>
      <c r="N39" s="228"/>
      <c r="O39" s="75">
        <f t="shared" si="16"/>
        <v>0</v>
      </c>
    </row>
    <row r="40" spans="1:15" ht="23.25" customHeight="1" x14ac:dyDescent="0.25">
      <c r="A40" s="26" t="s">
        <v>29</v>
      </c>
      <c r="B40" s="27"/>
      <c r="C40" s="28"/>
      <c r="D40" s="29"/>
      <c r="E40" s="76">
        <f>SUM(E31:E39)</f>
        <v>0</v>
      </c>
      <c r="F40" s="76">
        <f t="shared" si="12"/>
        <v>0</v>
      </c>
      <c r="G40" s="76">
        <f t="shared" ref="G40:M40" si="17">SUM(G31:G39)</f>
        <v>0</v>
      </c>
      <c r="H40" s="76">
        <f t="shared" si="17"/>
        <v>0</v>
      </c>
      <c r="I40" s="76">
        <f t="shared" si="17"/>
        <v>0</v>
      </c>
      <c r="J40" s="76">
        <f t="shared" si="17"/>
        <v>0</v>
      </c>
      <c r="K40" s="76">
        <f t="shared" si="17"/>
        <v>0</v>
      </c>
      <c r="L40" s="76">
        <f t="shared" si="17"/>
        <v>0</v>
      </c>
      <c r="M40" s="76">
        <f t="shared" si="17"/>
        <v>0</v>
      </c>
      <c r="N40" s="76">
        <f>L40-J40</f>
        <v>0</v>
      </c>
      <c r="O40" s="77">
        <f>SUM(O31:O39)</f>
        <v>0</v>
      </c>
    </row>
    <row r="41" spans="1:15" ht="23.25" customHeight="1" x14ac:dyDescent="0.25">
      <c r="A41" s="74" t="s">
        <v>30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ref="I41:I49" si="18">SUM(G41:H41)</f>
        <v>0</v>
      </c>
      <c r="J41" s="75">
        <v>0</v>
      </c>
      <c r="K41" s="75">
        <f t="shared" ref="K41:K49" si="19">SUM(J41)</f>
        <v>0</v>
      </c>
      <c r="L41" s="75">
        <v>0</v>
      </c>
      <c r="M41" s="75">
        <f t="shared" ref="M41:M49" si="20">L41</f>
        <v>0</v>
      </c>
      <c r="N41" s="228"/>
      <c r="O41" s="75">
        <f t="shared" ref="O41:O49" si="21">G41+H41+L41</f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74" t="s">
        <v>36</v>
      </c>
      <c r="B44" s="65"/>
      <c r="C44" s="65"/>
      <c r="D44" s="75"/>
      <c r="E44" s="65"/>
      <c r="F44" s="75">
        <v>0</v>
      </c>
      <c r="G44" s="75">
        <v>0</v>
      </c>
      <c r="H44" s="75">
        <v>0</v>
      </c>
      <c r="I44" s="75">
        <f t="shared" si="18"/>
        <v>0</v>
      </c>
      <c r="J44" s="75">
        <v>0</v>
      </c>
      <c r="K44" s="75">
        <f t="shared" si="19"/>
        <v>0</v>
      </c>
      <c r="L44" s="75">
        <v>0</v>
      </c>
      <c r="M44" s="75">
        <f t="shared" si="20"/>
        <v>0</v>
      </c>
      <c r="N44" s="228"/>
      <c r="O44" s="75">
        <f t="shared" si="21"/>
        <v>0</v>
      </c>
    </row>
    <row r="45" spans="1:15" ht="23.25" customHeight="1" x14ac:dyDescent="0.25">
      <c r="A45" s="74"/>
      <c r="B45" s="65"/>
      <c r="C45" s="65"/>
      <c r="D45" s="75"/>
      <c r="E45" s="65"/>
      <c r="F45" s="75">
        <f t="shared" si="12"/>
        <v>0</v>
      </c>
      <c r="G45" s="75">
        <v>0</v>
      </c>
      <c r="H45" s="75">
        <v>0</v>
      </c>
      <c r="I45" s="75">
        <f t="shared" si="18"/>
        <v>0</v>
      </c>
      <c r="J45" s="75">
        <v>0</v>
      </c>
      <c r="K45" s="75">
        <f t="shared" si="19"/>
        <v>0</v>
      </c>
      <c r="L45" s="75">
        <v>0</v>
      </c>
      <c r="M45" s="75">
        <f t="shared" si="20"/>
        <v>0</v>
      </c>
      <c r="N45" s="228"/>
      <c r="O45" s="75">
        <f t="shared" si="21"/>
        <v>0</v>
      </c>
    </row>
    <row r="46" spans="1:15" ht="23.25" customHeight="1" x14ac:dyDescent="0.25">
      <c r="A46" s="74"/>
      <c r="B46" s="65"/>
      <c r="C46" s="65"/>
      <c r="D46" s="75"/>
      <c r="E46" s="65"/>
      <c r="F46" s="75">
        <f t="shared" si="12"/>
        <v>0</v>
      </c>
      <c r="G46" s="75">
        <v>0</v>
      </c>
      <c r="H46" s="75">
        <v>0</v>
      </c>
      <c r="I46" s="75">
        <f t="shared" si="18"/>
        <v>0</v>
      </c>
      <c r="J46" s="75">
        <v>0</v>
      </c>
      <c r="K46" s="75">
        <f t="shared" si="19"/>
        <v>0</v>
      </c>
      <c r="L46" s="75">
        <v>0</v>
      </c>
      <c r="M46" s="75">
        <f t="shared" si="20"/>
        <v>0</v>
      </c>
      <c r="N46" s="228"/>
      <c r="O46" s="75">
        <f t="shared" si="21"/>
        <v>0</v>
      </c>
    </row>
    <row r="47" spans="1:15" ht="23.25" customHeight="1" x14ac:dyDescent="0.25">
      <c r="A47" s="74" t="s">
        <v>31</v>
      </c>
      <c r="B47" s="65"/>
      <c r="C47" s="65"/>
      <c r="D47" s="75"/>
      <c r="E47" s="65"/>
      <c r="F47" s="75">
        <f t="shared" si="12"/>
        <v>0</v>
      </c>
      <c r="G47" s="75">
        <v>0</v>
      </c>
      <c r="H47" s="75">
        <v>0</v>
      </c>
      <c r="I47" s="75">
        <f t="shared" si="18"/>
        <v>0</v>
      </c>
      <c r="J47" s="75">
        <v>0</v>
      </c>
      <c r="K47" s="75">
        <f t="shared" si="19"/>
        <v>0</v>
      </c>
      <c r="L47" s="75">
        <v>0</v>
      </c>
      <c r="M47" s="75">
        <f t="shared" si="20"/>
        <v>0</v>
      </c>
      <c r="N47" s="228"/>
      <c r="O47" s="75">
        <f t="shared" si="21"/>
        <v>0</v>
      </c>
    </row>
    <row r="48" spans="1:15" ht="23.25" customHeight="1" x14ac:dyDescent="0.25">
      <c r="A48" s="74"/>
      <c r="B48" s="65"/>
      <c r="C48" s="65"/>
      <c r="D48" s="75"/>
      <c r="E48" s="65"/>
      <c r="F48" s="75">
        <f t="shared" si="12"/>
        <v>0</v>
      </c>
      <c r="G48" s="75">
        <v>0</v>
      </c>
      <c r="H48" s="75">
        <v>0</v>
      </c>
      <c r="I48" s="75">
        <f t="shared" si="18"/>
        <v>0</v>
      </c>
      <c r="J48" s="75">
        <v>0</v>
      </c>
      <c r="K48" s="75">
        <f t="shared" si="19"/>
        <v>0</v>
      </c>
      <c r="L48" s="75">
        <v>0</v>
      </c>
      <c r="M48" s="75">
        <f t="shared" si="20"/>
        <v>0</v>
      </c>
      <c r="N48" s="228"/>
      <c r="O48" s="75">
        <f t="shared" si="21"/>
        <v>0</v>
      </c>
    </row>
    <row r="49" spans="1:15" ht="23.25" customHeight="1" x14ac:dyDescent="0.25">
      <c r="A49" s="74"/>
      <c r="B49" s="65"/>
      <c r="C49" s="65"/>
      <c r="D49" s="75"/>
      <c r="E49" s="65"/>
      <c r="F49" s="75">
        <f t="shared" si="12"/>
        <v>0</v>
      </c>
      <c r="G49" s="75">
        <v>0</v>
      </c>
      <c r="H49" s="75">
        <v>0</v>
      </c>
      <c r="I49" s="75">
        <f t="shared" si="18"/>
        <v>0</v>
      </c>
      <c r="J49" s="75">
        <v>0</v>
      </c>
      <c r="K49" s="75">
        <f t="shared" si="19"/>
        <v>0</v>
      </c>
      <c r="L49" s="75">
        <v>0</v>
      </c>
      <c r="M49" s="75">
        <f t="shared" si="20"/>
        <v>0</v>
      </c>
      <c r="N49" s="228"/>
      <c r="O49" s="75">
        <f t="shared" si="21"/>
        <v>0</v>
      </c>
    </row>
    <row r="50" spans="1:15" ht="23.25" customHeight="1" x14ac:dyDescent="0.25">
      <c r="A50" s="26" t="s">
        <v>32</v>
      </c>
      <c r="B50" s="27"/>
      <c r="C50" s="28"/>
      <c r="D50" s="29"/>
      <c r="E50" s="76">
        <f>SUM(G41:G49)</f>
        <v>0</v>
      </c>
      <c r="F50" s="76">
        <f t="shared" si="12"/>
        <v>0</v>
      </c>
      <c r="G50" s="76">
        <f t="shared" ref="G50:M50" si="22">SUM(G41:G49)</f>
        <v>0</v>
      </c>
      <c r="H50" s="76">
        <f t="shared" si="22"/>
        <v>0</v>
      </c>
      <c r="I50" s="76">
        <f t="shared" si="22"/>
        <v>0</v>
      </c>
      <c r="J50" s="76">
        <f t="shared" si="22"/>
        <v>0</v>
      </c>
      <c r="K50" s="76">
        <f t="shared" si="22"/>
        <v>0</v>
      </c>
      <c r="L50" s="76">
        <f t="shared" si="22"/>
        <v>0</v>
      </c>
      <c r="M50" s="76">
        <f t="shared" si="22"/>
        <v>0</v>
      </c>
      <c r="N50" s="76">
        <f>L50-J50</f>
        <v>0</v>
      </c>
      <c r="O50" s="77">
        <f>SUM(O41:O49)</f>
        <v>0</v>
      </c>
    </row>
    <row r="51" spans="1:15" ht="23.25" customHeight="1" x14ac:dyDescent="0.25">
      <c r="A51" s="30" t="s">
        <v>33</v>
      </c>
      <c r="B51" s="31"/>
      <c r="C51" s="32"/>
      <c r="D51" s="33"/>
      <c r="E51" s="69">
        <f>B50+E40+E30+E17</f>
        <v>0</v>
      </c>
      <c r="F51" s="69">
        <f t="shared" si="12"/>
        <v>0</v>
      </c>
      <c r="G51" s="69">
        <f>E50+G40+G30+G17</f>
        <v>0</v>
      </c>
      <c r="H51" s="69">
        <f t="shared" ref="H51:M51" si="23">H50+H40+H30+H17</f>
        <v>0</v>
      </c>
      <c r="I51" s="69">
        <f t="shared" si="23"/>
        <v>0</v>
      </c>
      <c r="J51" s="69">
        <f t="shared" si="23"/>
        <v>0</v>
      </c>
      <c r="K51" s="69">
        <f t="shared" si="23"/>
        <v>0</v>
      </c>
      <c r="L51" s="69">
        <f t="shared" si="23"/>
        <v>0</v>
      </c>
      <c r="M51" s="69">
        <f t="shared" si="23"/>
        <v>0</v>
      </c>
      <c r="N51" s="69">
        <f>L51-J51</f>
        <v>0</v>
      </c>
      <c r="O51" s="77">
        <f>O50+O40+O30+O17</f>
        <v>0</v>
      </c>
    </row>
    <row r="52" spans="1:15" x14ac:dyDescent="0.25">
      <c r="A52" s="1"/>
      <c r="B52" s="1"/>
      <c r="C52" s="1"/>
      <c r="D52" s="1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</sheetData>
  <mergeCells count="8">
    <mergeCell ref="O1:O2"/>
    <mergeCell ref="N5:N16"/>
    <mergeCell ref="N18:N29"/>
    <mergeCell ref="N31:N39"/>
    <mergeCell ref="N41:N49"/>
    <mergeCell ref="G1:I1"/>
    <mergeCell ref="J1:K1"/>
    <mergeCell ref="L1:N1"/>
  </mergeCells>
  <pageMargins left="0.7" right="0.7" top="0.75" bottom="0.75" header="0.3" footer="0.3"/>
  <ignoredErrors>
    <ignoredError sqref="I2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46"/>
  <sheetViews>
    <sheetView workbookViewId="0">
      <pane ySplit="4" topLeftCell="A5" activePane="bottomLeft" state="frozen"/>
      <selection pane="bottomLeft" activeCell="A35" sqref="A35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5">
      <c r="A1" s="7"/>
      <c r="B1" s="53" t="s">
        <v>304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>
        <v>2022</v>
      </c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98">
        <f>L45-J4+N35</f>
        <v>0</v>
      </c>
      <c r="O4" s="25"/>
    </row>
    <row r="5" spans="1:15" ht="23.25" customHeight="1" x14ac:dyDescent="0.25">
      <c r="A5" s="74"/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/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65"/>
      <c r="C21" s="65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65"/>
      <c r="C22" s="65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G1:I1"/>
    <mergeCell ref="J1:K1"/>
    <mergeCell ref="L1:N1"/>
    <mergeCell ref="O1:O2"/>
    <mergeCell ref="N5:N13"/>
    <mergeCell ref="N15:N23"/>
    <mergeCell ref="N25:N33"/>
    <mergeCell ref="N35:N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0000"/>
  </sheetPr>
  <dimension ref="A1:O46"/>
  <sheetViews>
    <sheetView workbookViewId="0">
      <pane ySplit="4" topLeftCell="A5" activePane="bottomLeft" state="frozen"/>
      <selection pane="bottomLeft" activeCell="N4" sqref="N4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158" t="s">
        <v>305</v>
      </c>
      <c r="B1" s="12"/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 t="s">
        <v>134</v>
      </c>
      <c r="N3" s="71">
        <v>826.13</v>
      </c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24" t="s">
        <v>16</v>
      </c>
      <c r="M4" s="16"/>
      <c r="N4" s="198">
        <f>L45-J45+N3</f>
        <v>826.13</v>
      </c>
      <c r="O4" s="25"/>
    </row>
    <row r="5" spans="1:15" ht="23.25" customHeight="1" x14ac:dyDescent="0.25">
      <c r="A5" s="74" t="s">
        <v>17</v>
      </c>
      <c r="B5" s="143" t="s">
        <v>306</v>
      </c>
      <c r="C5" s="143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65"/>
      <c r="C9" s="6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65"/>
      <c r="C10" s="65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78"/>
      <c r="C11" s="78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65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65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/>
      <c r="C22" s="78"/>
      <c r="D22" s="75"/>
      <c r="E22" s="65"/>
      <c r="F22" s="75"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78"/>
      <c r="C35" s="78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3" footer="0.3"/>
  <ignoredErrors>
    <ignoredError sqref="I22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46"/>
  <sheetViews>
    <sheetView workbookViewId="0">
      <pane ySplit="1" topLeftCell="A2" activePane="bottomLeft" state="frozen"/>
      <selection pane="bottomLeft" activeCell="B9" sqref="B9:C10"/>
    </sheetView>
  </sheetViews>
  <sheetFormatPr baseColWidth="10" defaultColWidth="9" defaultRowHeight="15.75" x14ac:dyDescent="0.25"/>
  <cols>
    <col min="1" max="1" width="12.125" customWidth="1"/>
    <col min="2" max="2" width="21.375" customWidth="1"/>
    <col min="3" max="3" width="26.625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12" t="s">
        <v>307</v>
      </c>
      <c r="C1" s="12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6" t="s">
        <v>5</v>
      </c>
      <c r="C2" s="6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2"/>
      <c r="C3" s="2"/>
      <c r="D3" s="10"/>
      <c r="E3" s="5"/>
      <c r="F3" s="5"/>
      <c r="G3" s="4"/>
      <c r="H3" s="4"/>
      <c r="I3" s="4"/>
      <c r="J3" s="4"/>
      <c r="K3" s="4"/>
      <c r="M3" s="71"/>
      <c r="N3" s="71"/>
      <c r="O3" s="3"/>
    </row>
    <row r="4" spans="1:15" ht="23.25" customHeight="1" x14ac:dyDescent="0.25">
      <c r="A4" s="21"/>
      <c r="B4" s="21"/>
      <c r="C4" s="21"/>
      <c r="D4" s="22"/>
      <c r="E4" s="21"/>
      <c r="F4" s="21"/>
      <c r="G4" s="21"/>
      <c r="H4" s="23"/>
      <c r="I4" s="72">
        <f>I45</f>
        <v>0</v>
      </c>
      <c r="J4" s="65"/>
      <c r="K4" s="73">
        <f>K45</f>
        <v>0</v>
      </c>
      <c r="L4" s="16" t="s">
        <v>35</v>
      </c>
      <c r="M4" s="17"/>
      <c r="N4" s="198">
        <f>L45-J45+N35</f>
        <v>0</v>
      </c>
      <c r="O4" s="25"/>
    </row>
    <row r="5" spans="1:15" ht="23.25" customHeight="1" x14ac:dyDescent="0.25">
      <c r="A5" s="74" t="s">
        <v>17</v>
      </c>
      <c r="B5" s="65"/>
      <c r="C5" s="65"/>
      <c r="D5" s="75"/>
      <c r="E5" s="65"/>
      <c r="F5" s="75">
        <f t="shared" ref="F5:F13" si="0">I5-E5</f>
        <v>0</v>
      </c>
      <c r="G5" s="75">
        <v>0</v>
      </c>
      <c r="H5" s="75">
        <v>0</v>
      </c>
      <c r="I5" s="75">
        <f t="shared" ref="I5:I13" si="1">SUM(G5:H5)</f>
        <v>0</v>
      </c>
      <c r="J5" s="75">
        <v>0</v>
      </c>
      <c r="K5" s="75">
        <f t="shared" ref="K5:K13" si="2">SUM(J5)</f>
        <v>0</v>
      </c>
      <c r="L5" s="75">
        <v>0</v>
      </c>
      <c r="M5" s="75">
        <f t="shared" ref="M5:M13" si="3">L5</f>
        <v>0</v>
      </c>
      <c r="N5" s="228"/>
      <c r="O5" s="75">
        <f t="shared" ref="O5:O13" si="4">G5+H5+L5</f>
        <v>0</v>
      </c>
    </row>
    <row r="6" spans="1:15" ht="23.25" customHeight="1" x14ac:dyDescent="0.25">
      <c r="A6" s="74"/>
      <c r="B6" s="65"/>
      <c r="C6" s="65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65"/>
      <c r="C7" s="65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65"/>
      <c r="C8" s="65"/>
      <c r="D8" s="75"/>
      <c r="E8" s="65"/>
      <c r="F8" s="75">
        <f t="shared" si="0"/>
        <v>0</v>
      </c>
      <c r="G8" s="75">
        <v>0</v>
      </c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244" t="s">
        <v>308</v>
      </c>
      <c r="C9" s="245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246"/>
      <c r="C10" s="247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65"/>
      <c r="C11" s="65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65"/>
      <c r="C12" s="65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74"/>
      <c r="B13" s="65"/>
      <c r="C13" s="65"/>
      <c r="D13" s="75"/>
      <c r="E13" s="65"/>
      <c r="F13" s="75">
        <f t="shared" si="0"/>
        <v>0</v>
      </c>
      <c r="G13" s="75">
        <v>0</v>
      </c>
      <c r="H13" s="75">
        <v>0</v>
      </c>
      <c r="I13" s="75">
        <f t="shared" si="1"/>
        <v>0</v>
      </c>
      <c r="J13" s="75">
        <v>0</v>
      </c>
      <c r="K13" s="75">
        <f t="shared" si="2"/>
        <v>0</v>
      </c>
      <c r="L13" s="75">
        <v>0</v>
      </c>
      <c r="M13" s="75">
        <f t="shared" si="3"/>
        <v>0</v>
      </c>
      <c r="N13" s="228"/>
      <c r="O13" s="75">
        <f t="shared" si="4"/>
        <v>0</v>
      </c>
    </row>
    <row r="14" spans="1:15" ht="23.25" customHeight="1" x14ac:dyDescent="0.25">
      <c r="A14" s="26" t="s">
        <v>20</v>
      </c>
      <c r="B14" s="27"/>
      <c r="C14" s="28"/>
      <c r="D14" s="29"/>
      <c r="E14" s="76">
        <f t="shared" ref="E14:M14" si="5">SUM(E5:E13)</f>
        <v>0</v>
      </c>
      <c r="F14" s="76">
        <f t="shared" si="5"/>
        <v>0</v>
      </c>
      <c r="G14" s="76">
        <f t="shared" si="5"/>
        <v>0</v>
      </c>
      <c r="H14" s="76">
        <f t="shared" si="5"/>
        <v>0</v>
      </c>
      <c r="I14" s="76">
        <f t="shared" si="5"/>
        <v>0</v>
      </c>
      <c r="J14" s="76">
        <f t="shared" si="5"/>
        <v>0</v>
      </c>
      <c r="K14" s="76">
        <f t="shared" si="5"/>
        <v>0</v>
      </c>
      <c r="L14" s="76">
        <f t="shared" si="5"/>
        <v>0</v>
      </c>
      <c r="M14" s="76">
        <f t="shared" si="5"/>
        <v>0</v>
      </c>
      <c r="N14" s="76">
        <f>L14-J14</f>
        <v>0</v>
      </c>
      <c r="O14" s="77">
        <f>SUM(O5:O13)</f>
        <v>0</v>
      </c>
    </row>
    <row r="15" spans="1:15" ht="23.25" customHeight="1" x14ac:dyDescent="0.25">
      <c r="A15" s="74" t="s">
        <v>21</v>
      </c>
      <c r="B15" s="78"/>
      <c r="C15" s="65"/>
      <c r="D15" s="75"/>
      <c r="E15" s="65"/>
      <c r="F15" s="75">
        <f t="shared" ref="F15:F23" si="6">I15-E15</f>
        <v>0</v>
      </c>
      <c r="G15" s="75">
        <v>0</v>
      </c>
      <c r="H15" s="75">
        <v>0</v>
      </c>
      <c r="I15" s="75">
        <f t="shared" ref="I15:I23" si="7">SUM(G15:H15)</f>
        <v>0</v>
      </c>
      <c r="J15" s="75">
        <v>0</v>
      </c>
      <c r="K15" s="75">
        <f t="shared" ref="K15:K23" si="8">SUM(J15)</f>
        <v>0</v>
      </c>
      <c r="L15" s="75">
        <v>0</v>
      </c>
      <c r="M15" s="75">
        <f t="shared" ref="M15:M23" si="9">L15</f>
        <v>0</v>
      </c>
      <c r="N15" s="228"/>
      <c r="O15" s="75">
        <f t="shared" ref="O15:O23" si="10">G15+H15+L15</f>
        <v>0</v>
      </c>
    </row>
    <row r="16" spans="1:15" ht="23.25" customHeight="1" x14ac:dyDescent="0.25">
      <c r="A16" s="74"/>
      <c r="B16" s="78"/>
      <c r="C16" s="65"/>
      <c r="D16" s="75"/>
      <c r="E16" s="65"/>
      <c r="F16" s="75">
        <f t="shared" si="6"/>
        <v>0</v>
      </c>
      <c r="G16" s="75">
        <v>0</v>
      </c>
      <c r="H16" s="75">
        <v>0</v>
      </c>
      <c r="I16" s="75">
        <f t="shared" si="7"/>
        <v>0</v>
      </c>
      <c r="J16" s="75">
        <v>0</v>
      </c>
      <c r="K16" s="75">
        <f t="shared" si="8"/>
        <v>0</v>
      </c>
      <c r="L16" s="75">
        <v>0</v>
      </c>
      <c r="M16" s="75">
        <f t="shared" si="9"/>
        <v>0</v>
      </c>
      <c r="N16" s="228"/>
      <c r="O16" s="75">
        <f t="shared" si="10"/>
        <v>0</v>
      </c>
    </row>
    <row r="17" spans="1:15" ht="23.25" customHeight="1" x14ac:dyDescent="0.25">
      <c r="A17" s="74"/>
      <c r="B17" s="65"/>
      <c r="C17" s="65"/>
      <c r="D17" s="75"/>
      <c r="E17" s="65"/>
      <c r="F17" s="75">
        <f t="shared" si="6"/>
        <v>0</v>
      </c>
      <c r="G17" s="75">
        <v>0</v>
      </c>
      <c r="H17" s="75">
        <v>0</v>
      </c>
      <c r="I17" s="75">
        <f t="shared" si="7"/>
        <v>0</v>
      </c>
      <c r="J17" s="75">
        <v>0</v>
      </c>
      <c r="K17" s="75">
        <f t="shared" si="8"/>
        <v>0</v>
      </c>
      <c r="L17" s="75">
        <v>0</v>
      </c>
      <c r="M17" s="75">
        <f t="shared" si="9"/>
        <v>0</v>
      </c>
      <c r="N17" s="228"/>
      <c r="O17" s="75">
        <f t="shared" si="10"/>
        <v>0</v>
      </c>
    </row>
    <row r="18" spans="1:15" ht="23.25" customHeight="1" x14ac:dyDescent="0.25">
      <c r="A18" s="74" t="s">
        <v>22</v>
      </c>
      <c r="B18" s="65"/>
      <c r="C18" s="65"/>
      <c r="D18" s="75"/>
      <c r="E18" s="65"/>
      <c r="F18" s="75">
        <f t="shared" si="6"/>
        <v>0</v>
      </c>
      <c r="G18" s="75">
        <v>0</v>
      </c>
      <c r="H18" s="75">
        <v>0</v>
      </c>
      <c r="I18" s="75">
        <f t="shared" si="7"/>
        <v>0</v>
      </c>
      <c r="J18" s="75">
        <v>0</v>
      </c>
      <c r="K18" s="75">
        <f t="shared" si="8"/>
        <v>0</v>
      </c>
      <c r="L18" s="75">
        <v>0</v>
      </c>
      <c r="M18" s="75">
        <f t="shared" si="9"/>
        <v>0</v>
      </c>
      <c r="N18" s="228"/>
      <c r="O18" s="75">
        <f t="shared" si="10"/>
        <v>0</v>
      </c>
    </row>
    <row r="19" spans="1:15" ht="23.25" customHeight="1" x14ac:dyDescent="0.25">
      <c r="A19" s="74"/>
      <c r="B19" s="65"/>
      <c r="C19" s="65"/>
      <c r="D19" s="75"/>
      <c r="E19" s="65"/>
      <c r="F19" s="75">
        <f t="shared" si="6"/>
        <v>0</v>
      </c>
      <c r="G19" s="75">
        <v>0</v>
      </c>
      <c r="H19" s="75">
        <v>0</v>
      </c>
      <c r="I19" s="75">
        <f t="shared" si="7"/>
        <v>0</v>
      </c>
      <c r="J19" s="75">
        <v>0</v>
      </c>
      <c r="K19" s="75">
        <f t="shared" si="8"/>
        <v>0</v>
      </c>
      <c r="L19" s="75">
        <v>0</v>
      </c>
      <c r="M19" s="75">
        <f t="shared" si="9"/>
        <v>0</v>
      </c>
      <c r="N19" s="228"/>
      <c r="O19" s="75">
        <f t="shared" si="10"/>
        <v>0</v>
      </c>
    </row>
    <row r="20" spans="1:15" ht="23.25" customHeight="1" x14ac:dyDescent="0.25">
      <c r="A20" s="74"/>
      <c r="B20" s="65"/>
      <c r="C20" s="65"/>
      <c r="D20" s="75"/>
      <c r="E20" s="65"/>
      <c r="F20" s="75">
        <f t="shared" si="6"/>
        <v>0</v>
      </c>
      <c r="G20" s="75">
        <v>0</v>
      </c>
      <c r="H20" s="75">
        <v>0</v>
      </c>
      <c r="I20" s="75">
        <f t="shared" si="7"/>
        <v>0</v>
      </c>
      <c r="J20" s="75">
        <v>0</v>
      </c>
      <c r="K20" s="75">
        <f t="shared" si="8"/>
        <v>0</v>
      </c>
      <c r="L20" s="75">
        <v>0</v>
      </c>
      <c r="M20" s="75">
        <f t="shared" si="9"/>
        <v>0</v>
      </c>
      <c r="N20" s="228"/>
      <c r="O20" s="75">
        <f t="shared" si="10"/>
        <v>0</v>
      </c>
    </row>
    <row r="21" spans="1:15" ht="23.25" customHeight="1" x14ac:dyDescent="0.25">
      <c r="A21" s="74" t="s">
        <v>23</v>
      </c>
      <c r="B21" s="78"/>
      <c r="C21" s="78"/>
      <c r="D21" s="75"/>
      <c r="E21" s="65"/>
      <c r="F21" s="75">
        <f t="shared" si="6"/>
        <v>0</v>
      </c>
      <c r="G21" s="75">
        <v>0</v>
      </c>
      <c r="H21" s="75">
        <v>0</v>
      </c>
      <c r="I21" s="75">
        <f t="shared" si="7"/>
        <v>0</v>
      </c>
      <c r="J21" s="75">
        <v>0</v>
      </c>
      <c r="K21" s="75">
        <f t="shared" si="8"/>
        <v>0</v>
      </c>
      <c r="L21" s="75">
        <v>0</v>
      </c>
      <c r="M21" s="75">
        <f t="shared" si="9"/>
        <v>0</v>
      </c>
      <c r="N21" s="228"/>
      <c r="O21" s="75">
        <f t="shared" si="10"/>
        <v>0</v>
      </c>
    </row>
    <row r="22" spans="1:15" ht="23.25" customHeight="1" x14ac:dyDescent="0.25">
      <c r="A22" s="74"/>
      <c r="B22" s="78"/>
      <c r="C22" s="78"/>
      <c r="D22" s="75"/>
      <c r="E22" s="65"/>
      <c r="F22" s="75">
        <f t="shared" si="6"/>
        <v>0</v>
      </c>
      <c r="G22" s="75">
        <v>0</v>
      </c>
      <c r="H22" s="75">
        <v>0</v>
      </c>
      <c r="I22" s="75">
        <f t="shared" si="7"/>
        <v>0</v>
      </c>
      <c r="J22" s="75">
        <v>0</v>
      </c>
      <c r="K22" s="75">
        <f t="shared" si="8"/>
        <v>0</v>
      </c>
      <c r="L22" s="75">
        <v>0</v>
      </c>
      <c r="M22" s="75">
        <f t="shared" si="9"/>
        <v>0</v>
      </c>
      <c r="N22" s="228"/>
      <c r="O22" s="75">
        <f t="shared" si="10"/>
        <v>0</v>
      </c>
    </row>
    <row r="23" spans="1:15" ht="23.25" customHeight="1" x14ac:dyDescent="0.25">
      <c r="A23" s="74"/>
      <c r="B23" s="65"/>
      <c r="C23" s="65"/>
      <c r="D23" s="75"/>
      <c r="E23" s="65"/>
      <c r="F23" s="75">
        <f t="shared" si="6"/>
        <v>0</v>
      </c>
      <c r="G23" s="75">
        <v>0</v>
      </c>
      <c r="H23" s="75">
        <v>0</v>
      </c>
      <c r="I23" s="75">
        <f t="shared" si="7"/>
        <v>0</v>
      </c>
      <c r="J23" s="75">
        <v>0</v>
      </c>
      <c r="K23" s="75">
        <f t="shared" si="8"/>
        <v>0</v>
      </c>
      <c r="L23" s="75">
        <v>0</v>
      </c>
      <c r="M23" s="75">
        <f t="shared" si="9"/>
        <v>0</v>
      </c>
      <c r="N23" s="228"/>
      <c r="O23" s="75">
        <f t="shared" si="10"/>
        <v>0</v>
      </c>
    </row>
    <row r="24" spans="1:15" ht="23.25" customHeight="1" x14ac:dyDescent="0.25">
      <c r="A24" s="26" t="s">
        <v>24</v>
      </c>
      <c r="B24" s="27"/>
      <c r="C24" s="28"/>
      <c r="D24" s="29"/>
      <c r="E24" s="76">
        <f t="shared" ref="E24:M24" si="11">SUM(E15:E23)</f>
        <v>0</v>
      </c>
      <c r="F24" s="76">
        <f t="shared" si="11"/>
        <v>0</v>
      </c>
      <c r="G24" s="76">
        <f t="shared" si="11"/>
        <v>0</v>
      </c>
      <c r="H24" s="76">
        <f t="shared" si="11"/>
        <v>0</v>
      </c>
      <c r="I24" s="76">
        <f t="shared" si="11"/>
        <v>0</v>
      </c>
      <c r="J24" s="76">
        <f t="shared" si="11"/>
        <v>0</v>
      </c>
      <c r="K24" s="76">
        <f t="shared" si="11"/>
        <v>0</v>
      </c>
      <c r="L24" s="76">
        <f t="shared" si="11"/>
        <v>0</v>
      </c>
      <c r="M24" s="76">
        <f t="shared" si="11"/>
        <v>0</v>
      </c>
      <c r="N24" s="76">
        <f>L24-J24</f>
        <v>0</v>
      </c>
      <c r="O24" s="77">
        <f>SUM(O15:O23)</f>
        <v>0</v>
      </c>
    </row>
    <row r="25" spans="1:15" ht="23.25" customHeight="1" x14ac:dyDescent="0.25">
      <c r="A25" s="74" t="s">
        <v>25</v>
      </c>
      <c r="B25" s="65"/>
      <c r="C25" s="65"/>
      <c r="D25" s="75"/>
      <c r="E25" s="65"/>
      <c r="F25" s="75">
        <f t="shared" ref="F25:F45" si="12">I25-E25</f>
        <v>0</v>
      </c>
      <c r="G25" s="75">
        <v>0</v>
      </c>
      <c r="H25" s="75">
        <v>0</v>
      </c>
      <c r="I25" s="75">
        <f t="shared" ref="I25:I33" si="13">SUM(G25:H25)</f>
        <v>0</v>
      </c>
      <c r="J25" s="75">
        <v>0</v>
      </c>
      <c r="K25" s="75">
        <f t="shared" ref="K25:K33" si="14">SUM(J25)</f>
        <v>0</v>
      </c>
      <c r="L25" s="75">
        <v>0</v>
      </c>
      <c r="M25" s="75">
        <f t="shared" ref="M25:M33" si="15">L25</f>
        <v>0</v>
      </c>
      <c r="N25" s="228"/>
      <c r="O25" s="75">
        <f t="shared" ref="O25:O33" si="16">G25+H25+L25</f>
        <v>0</v>
      </c>
    </row>
    <row r="26" spans="1:15" ht="23.25" customHeight="1" x14ac:dyDescent="0.25">
      <c r="A26" s="74"/>
      <c r="B26" s="65"/>
      <c r="C26" s="65"/>
      <c r="D26" s="75"/>
      <c r="E26" s="65"/>
      <c r="F26" s="75">
        <f t="shared" si="12"/>
        <v>0</v>
      </c>
      <c r="G26" s="75">
        <v>0</v>
      </c>
      <c r="H26" s="75">
        <v>0</v>
      </c>
      <c r="I26" s="75">
        <f t="shared" si="13"/>
        <v>0</v>
      </c>
      <c r="J26" s="75">
        <v>0</v>
      </c>
      <c r="K26" s="75">
        <f t="shared" si="14"/>
        <v>0</v>
      </c>
      <c r="L26" s="75">
        <v>0</v>
      </c>
      <c r="M26" s="75">
        <f t="shared" si="15"/>
        <v>0</v>
      </c>
      <c r="N26" s="228"/>
      <c r="O26" s="75">
        <f t="shared" si="16"/>
        <v>0</v>
      </c>
    </row>
    <row r="27" spans="1:15" ht="23.25" customHeight="1" x14ac:dyDescent="0.25">
      <c r="A27" s="74"/>
      <c r="B27" s="65"/>
      <c r="C27" s="65"/>
      <c r="D27" s="75"/>
      <c r="E27" s="65"/>
      <c r="F27" s="75">
        <f t="shared" si="12"/>
        <v>0</v>
      </c>
      <c r="G27" s="75">
        <v>0</v>
      </c>
      <c r="H27" s="75">
        <v>0</v>
      </c>
      <c r="I27" s="75">
        <f t="shared" si="13"/>
        <v>0</v>
      </c>
      <c r="J27" s="75">
        <v>0</v>
      </c>
      <c r="K27" s="75">
        <f t="shared" si="14"/>
        <v>0</v>
      </c>
      <c r="L27" s="75">
        <v>0</v>
      </c>
      <c r="M27" s="75">
        <f t="shared" si="15"/>
        <v>0</v>
      </c>
      <c r="N27" s="228"/>
      <c r="O27" s="75">
        <f t="shared" si="16"/>
        <v>0</v>
      </c>
    </row>
    <row r="28" spans="1:15" ht="23.25" customHeight="1" x14ac:dyDescent="0.25">
      <c r="A28" s="74" t="s">
        <v>26</v>
      </c>
      <c r="B28" s="65"/>
      <c r="C28" s="65"/>
      <c r="D28" s="75"/>
      <c r="E28" s="65"/>
      <c r="F28" s="75">
        <f t="shared" si="12"/>
        <v>0</v>
      </c>
      <c r="G28" s="75">
        <v>0</v>
      </c>
      <c r="H28" s="75">
        <v>0</v>
      </c>
      <c r="I28" s="75">
        <f t="shared" si="13"/>
        <v>0</v>
      </c>
      <c r="J28" s="75">
        <v>0</v>
      </c>
      <c r="K28" s="75">
        <f t="shared" si="14"/>
        <v>0</v>
      </c>
      <c r="L28" s="75">
        <v>0</v>
      </c>
      <c r="M28" s="75">
        <f t="shared" si="15"/>
        <v>0</v>
      </c>
      <c r="N28" s="228"/>
      <c r="O28" s="75">
        <f t="shared" si="16"/>
        <v>0</v>
      </c>
    </row>
    <row r="29" spans="1:15" ht="23.25" customHeight="1" x14ac:dyDescent="0.25">
      <c r="A29" s="74"/>
      <c r="B29" s="65"/>
      <c r="C29" s="65"/>
      <c r="D29" s="75"/>
      <c r="E29" s="65"/>
      <c r="F29" s="75">
        <f t="shared" si="12"/>
        <v>0</v>
      </c>
      <c r="G29" s="75">
        <v>0</v>
      </c>
      <c r="H29" s="75">
        <v>0</v>
      </c>
      <c r="I29" s="75">
        <f t="shared" si="13"/>
        <v>0</v>
      </c>
      <c r="J29" s="75">
        <v>0</v>
      </c>
      <c r="K29" s="75">
        <f t="shared" si="14"/>
        <v>0</v>
      </c>
      <c r="L29" s="75">
        <v>0</v>
      </c>
      <c r="M29" s="75">
        <f t="shared" si="15"/>
        <v>0</v>
      </c>
      <c r="N29" s="228"/>
      <c r="O29" s="75">
        <f t="shared" si="16"/>
        <v>0</v>
      </c>
    </row>
    <row r="30" spans="1:15" ht="23.25" customHeight="1" x14ac:dyDescent="0.25">
      <c r="A30" s="74"/>
      <c r="B30" s="65"/>
      <c r="C30" s="65"/>
      <c r="D30" s="75"/>
      <c r="E30" s="65"/>
      <c r="F30" s="75">
        <f t="shared" si="12"/>
        <v>0</v>
      </c>
      <c r="G30" s="75">
        <v>0</v>
      </c>
      <c r="H30" s="75">
        <v>0</v>
      </c>
      <c r="I30" s="75">
        <f t="shared" si="13"/>
        <v>0</v>
      </c>
      <c r="J30" s="75">
        <v>0</v>
      </c>
      <c r="K30" s="75">
        <f t="shared" si="14"/>
        <v>0</v>
      </c>
      <c r="L30" s="75">
        <v>0</v>
      </c>
      <c r="M30" s="75">
        <f t="shared" si="15"/>
        <v>0</v>
      </c>
      <c r="N30" s="228"/>
      <c r="O30" s="75">
        <f t="shared" si="16"/>
        <v>0</v>
      </c>
    </row>
    <row r="31" spans="1:15" ht="23.25" customHeight="1" x14ac:dyDescent="0.25">
      <c r="A31" s="74" t="s">
        <v>28</v>
      </c>
      <c r="B31" s="65"/>
      <c r="C31" s="65"/>
      <c r="D31" s="75"/>
      <c r="E31" s="65"/>
      <c r="F31" s="75">
        <f t="shared" si="12"/>
        <v>0</v>
      </c>
      <c r="G31" s="75">
        <v>0</v>
      </c>
      <c r="H31" s="75">
        <v>0</v>
      </c>
      <c r="I31" s="75">
        <f t="shared" si="13"/>
        <v>0</v>
      </c>
      <c r="J31" s="75">
        <v>0</v>
      </c>
      <c r="K31" s="75">
        <f t="shared" si="14"/>
        <v>0</v>
      </c>
      <c r="L31" s="75">
        <v>0</v>
      </c>
      <c r="M31" s="75">
        <f t="shared" si="15"/>
        <v>0</v>
      </c>
      <c r="N31" s="228"/>
      <c r="O31" s="75">
        <f t="shared" si="16"/>
        <v>0</v>
      </c>
    </row>
    <row r="32" spans="1:15" ht="23.25" customHeight="1" x14ac:dyDescent="0.25">
      <c r="A32" s="74"/>
      <c r="B32" s="65"/>
      <c r="C32" s="65"/>
      <c r="D32" s="75"/>
      <c r="E32" s="65"/>
      <c r="F32" s="75">
        <f t="shared" si="12"/>
        <v>0</v>
      </c>
      <c r="G32" s="75">
        <v>0</v>
      </c>
      <c r="H32" s="75">
        <v>0</v>
      </c>
      <c r="I32" s="75">
        <f t="shared" si="13"/>
        <v>0</v>
      </c>
      <c r="J32" s="75">
        <v>0</v>
      </c>
      <c r="K32" s="75">
        <f t="shared" si="14"/>
        <v>0</v>
      </c>
      <c r="L32" s="75">
        <v>0</v>
      </c>
      <c r="M32" s="75">
        <f t="shared" si="15"/>
        <v>0</v>
      </c>
      <c r="N32" s="228"/>
      <c r="O32" s="75">
        <f t="shared" si="16"/>
        <v>0</v>
      </c>
    </row>
    <row r="33" spans="1:15" ht="23.25" customHeight="1" x14ac:dyDescent="0.25">
      <c r="A33" s="74"/>
      <c r="B33" s="65"/>
      <c r="C33" s="65"/>
      <c r="D33" s="75"/>
      <c r="E33" s="65"/>
      <c r="F33" s="75">
        <f t="shared" si="12"/>
        <v>0</v>
      </c>
      <c r="G33" s="75">
        <v>0</v>
      </c>
      <c r="H33" s="75">
        <v>0</v>
      </c>
      <c r="I33" s="75">
        <f t="shared" si="13"/>
        <v>0</v>
      </c>
      <c r="J33" s="75">
        <v>0</v>
      </c>
      <c r="K33" s="75">
        <f t="shared" si="14"/>
        <v>0</v>
      </c>
      <c r="L33" s="75">
        <v>0</v>
      </c>
      <c r="M33" s="75">
        <f t="shared" si="15"/>
        <v>0</v>
      </c>
      <c r="N33" s="228"/>
      <c r="O33" s="75">
        <f t="shared" si="16"/>
        <v>0</v>
      </c>
    </row>
    <row r="34" spans="1:15" ht="23.25" customHeight="1" x14ac:dyDescent="0.25">
      <c r="A34" s="26" t="s">
        <v>29</v>
      </c>
      <c r="B34" s="27"/>
      <c r="C34" s="28"/>
      <c r="D34" s="29"/>
      <c r="E34" s="76">
        <f>SUM(E25:E33)</f>
        <v>0</v>
      </c>
      <c r="F34" s="76">
        <f t="shared" si="12"/>
        <v>0</v>
      </c>
      <c r="G34" s="76">
        <f t="shared" ref="G34:M34" si="17">SUM(G25:G33)</f>
        <v>0</v>
      </c>
      <c r="H34" s="76">
        <f t="shared" si="17"/>
        <v>0</v>
      </c>
      <c r="I34" s="76">
        <f t="shared" si="17"/>
        <v>0</v>
      </c>
      <c r="J34" s="76">
        <f t="shared" si="17"/>
        <v>0</v>
      </c>
      <c r="K34" s="76">
        <f t="shared" si="17"/>
        <v>0</v>
      </c>
      <c r="L34" s="76">
        <f t="shared" si="17"/>
        <v>0</v>
      </c>
      <c r="M34" s="76">
        <f t="shared" si="17"/>
        <v>0</v>
      </c>
      <c r="N34" s="76">
        <f>L34-J34</f>
        <v>0</v>
      </c>
      <c r="O34" s="77">
        <f>SUM(O25:O33)</f>
        <v>0</v>
      </c>
    </row>
    <row r="35" spans="1:15" ht="23.25" customHeight="1" x14ac:dyDescent="0.25">
      <c r="A35" s="74" t="s">
        <v>30</v>
      </c>
      <c r="B35" s="65"/>
      <c r="C35" s="65"/>
      <c r="D35" s="75"/>
      <c r="E35" s="65"/>
      <c r="F35" s="75">
        <f t="shared" si="12"/>
        <v>0</v>
      </c>
      <c r="G35" s="75">
        <v>0</v>
      </c>
      <c r="H35" s="75">
        <v>0</v>
      </c>
      <c r="I35" s="75">
        <f t="shared" ref="I35:I43" si="18">SUM(G35:H35)</f>
        <v>0</v>
      </c>
      <c r="J35" s="75">
        <v>0</v>
      </c>
      <c r="K35" s="75">
        <f t="shared" ref="K35:K43" si="19">SUM(J35)</f>
        <v>0</v>
      </c>
      <c r="L35" s="75">
        <v>0</v>
      </c>
      <c r="M35" s="75">
        <f t="shared" ref="M35:M43" si="20">L35</f>
        <v>0</v>
      </c>
      <c r="N35" s="228"/>
      <c r="O35" s="75">
        <f t="shared" ref="O35:O43" si="21">G35+H35+L35</f>
        <v>0</v>
      </c>
    </row>
    <row r="36" spans="1:15" ht="23.25" customHeight="1" x14ac:dyDescent="0.25">
      <c r="A36" s="74"/>
      <c r="B36" s="65"/>
      <c r="C36" s="65"/>
      <c r="D36" s="75"/>
      <c r="E36" s="65"/>
      <c r="F36" s="75">
        <f t="shared" si="12"/>
        <v>0</v>
      </c>
      <c r="G36" s="75">
        <v>0</v>
      </c>
      <c r="H36" s="75">
        <v>0</v>
      </c>
      <c r="I36" s="75">
        <f t="shared" si="18"/>
        <v>0</v>
      </c>
      <c r="J36" s="75">
        <v>0</v>
      </c>
      <c r="K36" s="75">
        <f t="shared" si="19"/>
        <v>0</v>
      </c>
      <c r="L36" s="75">
        <v>0</v>
      </c>
      <c r="M36" s="75">
        <f t="shared" si="20"/>
        <v>0</v>
      </c>
      <c r="N36" s="228"/>
      <c r="O36" s="75">
        <f t="shared" si="21"/>
        <v>0</v>
      </c>
    </row>
    <row r="37" spans="1:15" ht="23.25" customHeight="1" x14ac:dyDescent="0.25">
      <c r="A37" s="74"/>
      <c r="B37" s="65"/>
      <c r="C37" s="65"/>
      <c r="D37" s="75"/>
      <c r="E37" s="65"/>
      <c r="F37" s="75">
        <f t="shared" si="12"/>
        <v>0</v>
      </c>
      <c r="G37" s="75">
        <v>0</v>
      </c>
      <c r="H37" s="75">
        <v>0</v>
      </c>
      <c r="I37" s="75">
        <f t="shared" si="18"/>
        <v>0</v>
      </c>
      <c r="J37" s="75">
        <v>0</v>
      </c>
      <c r="K37" s="75">
        <f t="shared" si="19"/>
        <v>0</v>
      </c>
      <c r="L37" s="75">
        <v>0</v>
      </c>
      <c r="M37" s="75">
        <f t="shared" si="20"/>
        <v>0</v>
      </c>
      <c r="N37" s="228"/>
      <c r="O37" s="75">
        <f t="shared" si="21"/>
        <v>0</v>
      </c>
    </row>
    <row r="38" spans="1:15" ht="23.25" customHeight="1" x14ac:dyDescent="0.25">
      <c r="A38" s="74" t="s">
        <v>36</v>
      </c>
      <c r="B38" s="65"/>
      <c r="C38" s="65"/>
      <c r="D38" s="75"/>
      <c r="E38" s="65"/>
      <c r="F38" s="75">
        <f t="shared" si="12"/>
        <v>0</v>
      </c>
      <c r="G38" s="75">
        <v>0</v>
      </c>
      <c r="H38" s="75">
        <v>0</v>
      </c>
      <c r="I38" s="75">
        <f t="shared" si="18"/>
        <v>0</v>
      </c>
      <c r="J38" s="75">
        <v>0</v>
      </c>
      <c r="K38" s="75">
        <f t="shared" si="19"/>
        <v>0</v>
      </c>
      <c r="L38" s="75">
        <v>0</v>
      </c>
      <c r="M38" s="75">
        <f t="shared" si="20"/>
        <v>0</v>
      </c>
      <c r="N38" s="228"/>
      <c r="O38" s="75">
        <f t="shared" si="21"/>
        <v>0</v>
      </c>
    </row>
    <row r="39" spans="1:15" ht="23.25" customHeight="1" x14ac:dyDescent="0.25">
      <c r="A39" s="74"/>
      <c r="B39" s="65"/>
      <c r="C39" s="65"/>
      <c r="D39" s="75"/>
      <c r="E39" s="65"/>
      <c r="F39" s="75">
        <f t="shared" si="12"/>
        <v>0</v>
      </c>
      <c r="G39" s="75">
        <v>0</v>
      </c>
      <c r="H39" s="75">
        <v>0</v>
      </c>
      <c r="I39" s="75">
        <f t="shared" si="18"/>
        <v>0</v>
      </c>
      <c r="J39" s="75">
        <v>0</v>
      </c>
      <c r="K39" s="75">
        <f t="shared" si="19"/>
        <v>0</v>
      </c>
      <c r="L39" s="75">
        <v>0</v>
      </c>
      <c r="M39" s="75">
        <f t="shared" si="20"/>
        <v>0</v>
      </c>
      <c r="N39" s="228"/>
      <c r="O39" s="75">
        <f t="shared" si="21"/>
        <v>0</v>
      </c>
    </row>
    <row r="40" spans="1:15" ht="23.25" customHeight="1" x14ac:dyDescent="0.25">
      <c r="A40" s="74"/>
      <c r="B40" s="65"/>
      <c r="C40" s="65"/>
      <c r="D40" s="75"/>
      <c r="E40" s="65"/>
      <c r="F40" s="75">
        <f t="shared" si="12"/>
        <v>0</v>
      </c>
      <c r="G40" s="75">
        <v>0</v>
      </c>
      <c r="H40" s="75">
        <v>0</v>
      </c>
      <c r="I40" s="75">
        <f t="shared" si="18"/>
        <v>0</v>
      </c>
      <c r="J40" s="75">
        <v>0</v>
      </c>
      <c r="K40" s="75">
        <f t="shared" si="19"/>
        <v>0</v>
      </c>
      <c r="L40" s="75">
        <v>0</v>
      </c>
      <c r="M40" s="75">
        <f t="shared" si="20"/>
        <v>0</v>
      </c>
      <c r="N40" s="228"/>
      <c r="O40" s="75">
        <f t="shared" si="21"/>
        <v>0</v>
      </c>
    </row>
    <row r="41" spans="1:15" ht="23.25" customHeight="1" x14ac:dyDescent="0.25">
      <c r="A41" s="74" t="s">
        <v>31</v>
      </c>
      <c r="B41" s="65"/>
      <c r="C41" s="65"/>
      <c r="D41" s="75"/>
      <c r="E41" s="65"/>
      <c r="F41" s="75">
        <f t="shared" si="12"/>
        <v>0</v>
      </c>
      <c r="G41" s="75">
        <v>0</v>
      </c>
      <c r="H41" s="75">
        <v>0</v>
      </c>
      <c r="I41" s="75">
        <f t="shared" si="18"/>
        <v>0</v>
      </c>
      <c r="J41" s="75">
        <v>0</v>
      </c>
      <c r="K41" s="75">
        <f t="shared" si="19"/>
        <v>0</v>
      </c>
      <c r="L41" s="75">
        <v>0</v>
      </c>
      <c r="M41" s="75">
        <f t="shared" si="20"/>
        <v>0</v>
      </c>
      <c r="N41" s="228"/>
      <c r="O41" s="75">
        <f t="shared" si="21"/>
        <v>0</v>
      </c>
    </row>
    <row r="42" spans="1:15" ht="23.25" customHeight="1" x14ac:dyDescent="0.25">
      <c r="A42" s="74"/>
      <c r="B42" s="65"/>
      <c r="C42" s="65"/>
      <c r="D42" s="75"/>
      <c r="E42" s="65"/>
      <c r="F42" s="75">
        <f t="shared" si="12"/>
        <v>0</v>
      </c>
      <c r="G42" s="75">
        <v>0</v>
      </c>
      <c r="H42" s="75">
        <v>0</v>
      </c>
      <c r="I42" s="75">
        <f t="shared" si="18"/>
        <v>0</v>
      </c>
      <c r="J42" s="75">
        <v>0</v>
      </c>
      <c r="K42" s="75">
        <f t="shared" si="19"/>
        <v>0</v>
      </c>
      <c r="L42" s="75">
        <v>0</v>
      </c>
      <c r="M42" s="75">
        <f t="shared" si="20"/>
        <v>0</v>
      </c>
      <c r="N42" s="228"/>
      <c r="O42" s="75">
        <f t="shared" si="21"/>
        <v>0</v>
      </c>
    </row>
    <row r="43" spans="1:15" ht="23.25" customHeight="1" x14ac:dyDescent="0.25">
      <c r="A43" s="74"/>
      <c r="B43" s="65"/>
      <c r="C43" s="65"/>
      <c r="D43" s="75"/>
      <c r="E43" s="65"/>
      <c r="F43" s="75">
        <f t="shared" si="12"/>
        <v>0</v>
      </c>
      <c r="G43" s="75">
        <v>0</v>
      </c>
      <c r="H43" s="75">
        <v>0</v>
      </c>
      <c r="I43" s="75">
        <f t="shared" si="18"/>
        <v>0</v>
      </c>
      <c r="J43" s="75">
        <v>0</v>
      </c>
      <c r="K43" s="75">
        <f t="shared" si="19"/>
        <v>0</v>
      </c>
      <c r="L43" s="75">
        <v>0</v>
      </c>
      <c r="M43" s="75">
        <f t="shared" si="20"/>
        <v>0</v>
      </c>
      <c r="N43" s="228"/>
      <c r="O43" s="75">
        <f t="shared" si="21"/>
        <v>0</v>
      </c>
    </row>
    <row r="44" spans="1:15" ht="23.25" customHeight="1" x14ac:dyDescent="0.25">
      <c r="A44" s="26" t="s">
        <v>32</v>
      </c>
      <c r="B44" s="27"/>
      <c r="C44" s="28"/>
      <c r="D44" s="29"/>
      <c r="E44" s="76">
        <f>SUM(G35:G43)</f>
        <v>0</v>
      </c>
      <c r="F44" s="76">
        <f t="shared" si="12"/>
        <v>0</v>
      </c>
      <c r="G44" s="76">
        <f t="shared" ref="G44:M44" si="22">SUM(G35:G43)</f>
        <v>0</v>
      </c>
      <c r="H44" s="76">
        <f t="shared" si="22"/>
        <v>0</v>
      </c>
      <c r="I44" s="76">
        <f t="shared" si="22"/>
        <v>0</v>
      </c>
      <c r="J44" s="76">
        <f t="shared" si="22"/>
        <v>0</v>
      </c>
      <c r="K44" s="76">
        <f t="shared" si="22"/>
        <v>0</v>
      </c>
      <c r="L44" s="76">
        <f t="shared" si="22"/>
        <v>0</v>
      </c>
      <c r="M44" s="76">
        <f t="shared" si="22"/>
        <v>0</v>
      </c>
      <c r="N44" s="76">
        <f>L44-J44</f>
        <v>0</v>
      </c>
      <c r="O44" s="77">
        <f>SUM(O35:O43)</f>
        <v>0</v>
      </c>
    </row>
    <row r="45" spans="1:15" ht="23.25" customHeight="1" x14ac:dyDescent="0.25">
      <c r="A45" s="30" t="s">
        <v>33</v>
      </c>
      <c r="B45" s="31"/>
      <c r="C45" s="32"/>
      <c r="D45" s="33"/>
      <c r="E45" s="69">
        <f>B44+E34+E24+E14</f>
        <v>0</v>
      </c>
      <c r="F45" s="69">
        <f t="shared" si="12"/>
        <v>0</v>
      </c>
      <c r="G45" s="69">
        <f>E44+G34+G24+G14</f>
        <v>0</v>
      </c>
      <c r="H45" s="69">
        <f t="shared" ref="H45:M45" si="23">H44+H34+H24+H14</f>
        <v>0</v>
      </c>
      <c r="I45" s="69">
        <f t="shared" si="23"/>
        <v>0</v>
      </c>
      <c r="J45" s="69">
        <f t="shared" si="23"/>
        <v>0</v>
      </c>
      <c r="K45" s="69">
        <f t="shared" si="23"/>
        <v>0</v>
      </c>
      <c r="L45" s="69">
        <f t="shared" si="23"/>
        <v>0</v>
      </c>
      <c r="M45" s="69">
        <f t="shared" si="23"/>
        <v>0</v>
      </c>
      <c r="N45" s="69">
        <f>L45-J45</f>
        <v>0</v>
      </c>
      <c r="O45" s="77">
        <f>O44+O34+O24+O14</f>
        <v>0</v>
      </c>
    </row>
    <row r="46" spans="1:15" x14ac:dyDescent="0.25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9">
    <mergeCell ref="B9:C10"/>
    <mergeCell ref="N15:N23"/>
    <mergeCell ref="N25:N33"/>
    <mergeCell ref="N35:N43"/>
    <mergeCell ref="G1:I1"/>
    <mergeCell ref="J1:K1"/>
    <mergeCell ref="L1:N1"/>
    <mergeCell ref="O1:O2"/>
    <mergeCell ref="N5:N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65B3-9D82-4DEB-B66B-33FA56209A3A}">
  <dimension ref="A1:O44"/>
  <sheetViews>
    <sheetView zoomScale="85" zoomScaleNormal="85" workbookViewId="0">
      <pane xSplit="1" ySplit="4" topLeftCell="B23" activePane="bottomRight" state="frozen"/>
      <selection pane="topRight" activeCell="B1" sqref="B1"/>
      <selection pane="bottomLeft" activeCell="A5" sqref="A5"/>
      <selection pane="bottomRight" activeCell="G37" sqref="G37"/>
    </sheetView>
  </sheetViews>
  <sheetFormatPr baseColWidth="10" defaultColWidth="9" defaultRowHeight="15.75" x14ac:dyDescent="0.25"/>
  <cols>
    <col min="1" max="1" width="12.125" customWidth="1"/>
    <col min="2" max="2" width="21.375" style="14" customWidth="1"/>
    <col min="3" max="3" width="26.625" style="14" customWidth="1"/>
    <col min="4" max="4" width="15.125" style="8" customWidth="1"/>
    <col min="5" max="6" width="10.375" customWidth="1"/>
    <col min="7" max="9" width="9.625" customWidth="1"/>
    <col min="10" max="10" width="14.375" customWidth="1"/>
    <col min="12" max="13" width="13.625" customWidth="1"/>
    <col min="14" max="1026" width="9.625" customWidth="1"/>
  </cols>
  <sheetData>
    <row r="1" spans="1:15" ht="31.5" customHeight="1" x14ac:dyDescent="0.3">
      <c r="A1" s="7"/>
      <c r="B1" s="58" t="s">
        <v>406</v>
      </c>
      <c r="C1" s="38"/>
      <c r="G1" s="233" t="s">
        <v>0</v>
      </c>
      <c r="H1" s="233"/>
      <c r="I1" s="233"/>
      <c r="J1" s="234" t="s">
        <v>1</v>
      </c>
      <c r="K1" s="234"/>
      <c r="L1" s="235" t="s">
        <v>2</v>
      </c>
      <c r="M1" s="235"/>
      <c r="N1" s="235"/>
      <c r="O1" s="236" t="s">
        <v>3</v>
      </c>
    </row>
    <row r="2" spans="1:15" ht="15.75" customHeight="1" x14ac:dyDescent="0.25">
      <c r="A2" s="6" t="s">
        <v>4</v>
      </c>
      <c r="B2" s="47" t="s">
        <v>5</v>
      </c>
      <c r="C2" s="47" t="s">
        <v>6</v>
      </c>
      <c r="D2" s="9" t="s">
        <v>7</v>
      </c>
      <c r="E2" s="70" t="s">
        <v>8</v>
      </c>
      <c r="F2" s="70" t="s">
        <v>9</v>
      </c>
      <c r="G2" s="18" t="s">
        <v>10</v>
      </c>
      <c r="H2" s="18" t="s">
        <v>11</v>
      </c>
      <c r="I2" s="18" t="s">
        <v>12</v>
      </c>
      <c r="J2" s="19" t="s">
        <v>13</v>
      </c>
      <c r="K2" s="19" t="s">
        <v>12</v>
      </c>
      <c r="L2" s="20" t="s">
        <v>14</v>
      </c>
      <c r="M2" s="20" t="s">
        <v>12</v>
      </c>
      <c r="N2" s="20" t="s">
        <v>15</v>
      </c>
      <c r="O2" s="236"/>
    </row>
    <row r="3" spans="1:15" ht="15.75" customHeight="1" x14ac:dyDescent="0.25">
      <c r="A3" s="2"/>
      <c r="B3" s="40"/>
      <c r="C3" s="40"/>
      <c r="D3" s="10"/>
      <c r="E3" s="5"/>
      <c r="F3" s="5"/>
      <c r="G3" s="4"/>
      <c r="H3" s="4"/>
      <c r="I3" s="4"/>
      <c r="J3" s="4"/>
      <c r="K3" s="4"/>
      <c r="M3" s="71"/>
      <c r="N3" s="71">
        <v>0</v>
      </c>
      <c r="O3" s="196"/>
    </row>
    <row r="4" spans="1:15" ht="23.25" customHeight="1" x14ac:dyDescent="0.25">
      <c r="A4" s="21"/>
      <c r="B4" s="41"/>
      <c r="C4" s="41"/>
      <c r="D4" s="22"/>
      <c r="E4" s="21"/>
      <c r="F4" s="21"/>
      <c r="G4" s="21"/>
      <c r="H4" s="23"/>
      <c r="I4" s="72">
        <f>I43</f>
        <v>503.14</v>
      </c>
      <c r="J4" s="65"/>
      <c r="K4" s="73">
        <f>K43</f>
        <v>0</v>
      </c>
      <c r="L4" s="24" t="s">
        <v>16</v>
      </c>
      <c r="M4" s="16"/>
      <c r="N4" s="185">
        <f>L43-J43+N3</f>
        <v>0</v>
      </c>
      <c r="O4" s="65"/>
    </row>
    <row r="5" spans="1:15" ht="23.25" customHeight="1" x14ac:dyDescent="0.25">
      <c r="A5" s="74" t="s">
        <v>17</v>
      </c>
      <c r="B5" s="83"/>
      <c r="C5" s="83"/>
      <c r="D5" s="75"/>
      <c r="E5" s="65"/>
      <c r="F5" s="75">
        <f t="shared" ref="F5:F12" si="0">I5-E5</f>
        <v>0</v>
      </c>
      <c r="G5" s="75">
        <v>0</v>
      </c>
      <c r="H5" s="75">
        <v>0</v>
      </c>
      <c r="I5" s="75">
        <f t="shared" ref="I5:I12" si="1">SUM(G5:H5)</f>
        <v>0</v>
      </c>
      <c r="J5" s="75">
        <v>0</v>
      </c>
      <c r="K5" s="75">
        <f t="shared" ref="K5:K12" si="2">SUM(J5)</f>
        <v>0</v>
      </c>
      <c r="L5" s="75">
        <v>0</v>
      </c>
      <c r="M5" s="75">
        <f t="shared" ref="M5:M12" si="3">L5</f>
        <v>0</v>
      </c>
      <c r="N5" s="228"/>
      <c r="O5" s="75">
        <f t="shared" ref="O5:O12" si="4">G5+H5+L5</f>
        <v>0</v>
      </c>
    </row>
    <row r="6" spans="1:15" ht="23.25" customHeight="1" x14ac:dyDescent="0.25">
      <c r="A6" s="74"/>
      <c r="B6" s="83"/>
      <c r="C6" s="83"/>
      <c r="D6" s="75"/>
      <c r="E6" s="65"/>
      <c r="F6" s="75">
        <f t="shared" si="0"/>
        <v>0</v>
      </c>
      <c r="G6" s="75">
        <v>0</v>
      </c>
      <c r="H6" s="75">
        <v>0</v>
      </c>
      <c r="I6" s="75">
        <f t="shared" si="1"/>
        <v>0</v>
      </c>
      <c r="J6" s="75">
        <v>0</v>
      </c>
      <c r="K6" s="75">
        <f t="shared" si="2"/>
        <v>0</v>
      </c>
      <c r="L6" s="75">
        <v>0</v>
      </c>
      <c r="M6" s="75">
        <f t="shared" si="3"/>
        <v>0</v>
      </c>
      <c r="N6" s="228"/>
      <c r="O6" s="75">
        <f t="shared" si="4"/>
        <v>0</v>
      </c>
    </row>
    <row r="7" spans="1:15" ht="23.25" customHeight="1" x14ac:dyDescent="0.25">
      <c r="A7" s="74"/>
      <c r="B7" s="83"/>
      <c r="C7" s="83"/>
      <c r="D7" s="75"/>
      <c r="E7" s="65"/>
      <c r="F7" s="75">
        <f t="shared" si="0"/>
        <v>0</v>
      </c>
      <c r="G7" s="75">
        <v>0</v>
      </c>
      <c r="H7" s="75">
        <v>0</v>
      </c>
      <c r="I7" s="75">
        <f t="shared" si="1"/>
        <v>0</v>
      </c>
      <c r="J7" s="75">
        <v>0</v>
      </c>
      <c r="K7" s="75">
        <f t="shared" si="2"/>
        <v>0</v>
      </c>
      <c r="L7" s="75">
        <v>0</v>
      </c>
      <c r="M7" s="75">
        <f t="shared" si="3"/>
        <v>0</v>
      </c>
      <c r="N7" s="228"/>
      <c r="O7" s="75">
        <f t="shared" si="4"/>
        <v>0</v>
      </c>
    </row>
    <row r="8" spans="1:15" ht="23.25" customHeight="1" x14ac:dyDescent="0.25">
      <c r="A8" s="74" t="s">
        <v>18</v>
      </c>
      <c r="B8" s="83"/>
      <c r="C8" s="83"/>
      <c r="D8" s="75"/>
      <c r="E8" s="65"/>
      <c r="F8" s="75">
        <f t="shared" si="0"/>
        <v>0</v>
      </c>
      <c r="G8" s="75"/>
      <c r="H8" s="75">
        <v>0</v>
      </c>
      <c r="I8" s="75">
        <f t="shared" si="1"/>
        <v>0</v>
      </c>
      <c r="J8" s="75">
        <v>0</v>
      </c>
      <c r="K8" s="75">
        <f t="shared" si="2"/>
        <v>0</v>
      </c>
      <c r="L8" s="75">
        <v>0</v>
      </c>
      <c r="M8" s="75">
        <f t="shared" si="3"/>
        <v>0</v>
      </c>
      <c r="N8" s="228"/>
      <c r="O8" s="75">
        <f t="shared" si="4"/>
        <v>0</v>
      </c>
    </row>
    <row r="9" spans="1:15" ht="23.25" customHeight="1" x14ac:dyDescent="0.25">
      <c r="A9" s="74"/>
      <c r="B9" s="83"/>
      <c r="C9" s="83"/>
      <c r="D9" s="75"/>
      <c r="E9" s="65"/>
      <c r="F9" s="75">
        <f t="shared" si="0"/>
        <v>0</v>
      </c>
      <c r="G9" s="75">
        <v>0</v>
      </c>
      <c r="H9" s="75">
        <v>0</v>
      </c>
      <c r="I9" s="75">
        <f t="shared" si="1"/>
        <v>0</v>
      </c>
      <c r="J9" s="75">
        <v>0</v>
      </c>
      <c r="K9" s="75">
        <f t="shared" si="2"/>
        <v>0</v>
      </c>
      <c r="L9" s="75">
        <v>0</v>
      </c>
      <c r="M9" s="75">
        <f t="shared" si="3"/>
        <v>0</v>
      </c>
      <c r="N9" s="228"/>
      <c r="O9" s="75">
        <f t="shared" si="4"/>
        <v>0</v>
      </c>
    </row>
    <row r="10" spans="1:15" ht="23.25" customHeight="1" x14ac:dyDescent="0.25">
      <c r="A10" s="74"/>
      <c r="B10" s="83"/>
      <c r="C10" s="59"/>
      <c r="D10" s="75"/>
      <c r="E10" s="65"/>
      <c r="F10" s="75">
        <f t="shared" si="0"/>
        <v>0</v>
      </c>
      <c r="G10" s="75">
        <v>0</v>
      </c>
      <c r="H10" s="75">
        <v>0</v>
      </c>
      <c r="I10" s="75">
        <f t="shared" si="1"/>
        <v>0</v>
      </c>
      <c r="J10" s="75">
        <v>0</v>
      </c>
      <c r="K10" s="75">
        <f t="shared" si="2"/>
        <v>0</v>
      </c>
      <c r="L10" s="75">
        <v>0</v>
      </c>
      <c r="M10" s="75">
        <f t="shared" si="3"/>
        <v>0</v>
      </c>
      <c r="N10" s="228"/>
      <c r="O10" s="75">
        <f t="shared" si="4"/>
        <v>0</v>
      </c>
    </row>
    <row r="11" spans="1:15" ht="23.25" customHeight="1" x14ac:dyDescent="0.25">
      <c r="A11" s="74" t="s">
        <v>19</v>
      </c>
      <c r="B11" s="83"/>
      <c r="C11" s="83"/>
      <c r="D11" s="75"/>
      <c r="E11" s="65"/>
      <c r="F11" s="75">
        <f t="shared" si="0"/>
        <v>0</v>
      </c>
      <c r="G11" s="75">
        <v>0</v>
      </c>
      <c r="H11" s="75">
        <v>0</v>
      </c>
      <c r="I11" s="75">
        <f t="shared" si="1"/>
        <v>0</v>
      </c>
      <c r="J11" s="75">
        <v>0</v>
      </c>
      <c r="K11" s="75">
        <f t="shared" si="2"/>
        <v>0</v>
      </c>
      <c r="L11" s="75">
        <v>0</v>
      </c>
      <c r="M11" s="75">
        <f t="shared" si="3"/>
        <v>0</v>
      </c>
      <c r="N11" s="228"/>
      <c r="O11" s="75">
        <f t="shared" si="4"/>
        <v>0</v>
      </c>
    </row>
    <row r="12" spans="1:15" ht="23.25" customHeight="1" x14ac:dyDescent="0.25">
      <c r="A12" s="74"/>
      <c r="B12" s="83"/>
      <c r="C12" s="83"/>
      <c r="D12" s="75"/>
      <c r="E12" s="65"/>
      <c r="F12" s="75">
        <f t="shared" si="0"/>
        <v>0</v>
      </c>
      <c r="G12" s="75">
        <v>0</v>
      </c>
      <c r="H12" s="75">
        <v>0</v>
      </c>
      <c r="I12" s="75">
        <f t="shared" si="1"/>
        <v>0</v>
      </c>
      <c r="J12" s="75">
        <v>0</v>
      </c>
      <c r="K12" s="75">
        <f t="shared" si="2"/>
        <v>0</v>
      </c>
      <c r="L12" s="75">
        <v>0</v>
      </c>
      <c r="M12" s="75">
        <f t="shared" si="3"/>
        <v>0</v>
      </c>
      <c r="N12" s="228"/>
      <c r="O12" s="75">
        <f t="shared" si="4"/>
        <v>0</v>
      </c>
    </row>
    <row r="13" spans="1:15" ht="23.25" customHeight="1" x14ac:dyDescent="0.25">
      <c r="A13" s="26" t="s">
        <v>20</v>
      </c>
      <c r="B13" s="42"/>
      <c r="C13" s="45"/>
      <c r="D13" s="29"/>
      <c r="E13" s="76">
        <f t="shared" ref="E13:M13" si="5">SUM(E5:E12)</f>
        <v>0</v>
      </c>
      <c r="F13" s="76">
        <f t="shared" si="5"/>
        <v>0</v>
      </c>
      <c r="G13" s="76">
        <f t="shared" si="5"/>
        <v>0</v>
      </c>
      <c r="H13" s="76">
        <f t="shared" si="5"/>
        <v>0</v>
      </c>
      <c r="I13" s="76">
        <f t="shared" si="5"/>
        <v>0</v>
      </c>
      <c r="J13" s="76">
        <f t="shared" si="5"/>
        <v>0</v>
      </c>
      <c r="K13" s="76">
        <f t="shared" si="5"/>
        <v>0</v>
      </c>
      <c r="L13" s="76">
        <f t="shared" si="5"/>
        <v>0</v>
      </c>
      <c r="M13" s="76">
        <f t="shared" si="5"/>
        <v>0</v>
      </c>
      <c r="N13" s="76">
        <f>L13-J13</f>
        <v>0</v>
      </c>
      <c r="O13" s="77">
        <f>SUM(O5:O12)</f>
        <v>0</v>
      </c>
    </row>
    <row r="14" spans="1:15" ht="23.25" customHeight="1" x14ac:dyDescent="0.25">
      <c r="A14" s="74"/>
      <c r="B14" s="83"/>
      <c r="C14" s="83"/>
      <c r="D14" s="75"/>
      <c r="E14" s="65"/>
      <c r="F14" s="75">
        <v>0</v>
      </c>
      <c r="G14" s="75">
        <v>0</v>
      </c>
      <c r="H14" s="75">
        <v>0</v>
      </c>
      <c r="I14" s="75">
        <f t="shared" ref="I14:I22" si="6">SUM(G14:H14)</f>
        <v>0</v>
      </c>
      <c r="J14" s="75">
        <v>0</v>
      </c>
      <c r="K14" s="75">
        <f t="shared" ref="K14:K22" si="7">SUM(J14)</f>
        <v>0</v>
      </c>
      <c r="L14" s="75">
        <v>0</v>
      </c>
      <c r="M14" s="75">
        <f t="shared" ref="M14:M22" si="8">L14</f>
        <v>0</v>
      </c>
      <c r="N14" s="228"/>
      <c r="O14" s="75">
        <f t="shared" ref="O14:O22" si="9">G14+H14+L14</f>
        <v>0</v>
      </c>
    </row>
    <row r="15" spans="1:15" ht="23.25" customHeight="1" x14ac:dyDescent="0.25">
      <c r="A15" s="74" t="s">
        <v>21</v>
      </c>
      <c r="B15" s="83"/>
      <c r="C15" s="83"/>
      <c r="D15" s="75"/>
      <c r="E15" s="65"/>
      <c r="F15" s="75">
        <v>0</v>
      </c>
      <c r="G15" s="75">
        <v>0</v>
      </c>
      <c r="H15" s="75">
        <v>0</v>
      </c>
      <c r="I15" s="75">
        <f t="shared" si="6"/>
        <v>0</v>
      </c>
      <c r="J15" s="75">
        <v>0</v>
      </c>
      <c r="K15" s="75">
        <f t="shared" si="7"/>
        <v>0</v>
      </c>
      <c r="L15" s="75">
        <v>0</v>
      </c>
      <c r="M15" s="75">
        <f t="shared" si="8"/>
        <v>0</v>
      </c>
      <c r="N15" s="228"/>
      <c r="O15" s="75">
        <f t="shared" si="9"/>
        <v>0</v>
      </c>
    </row>
    <row r="16" spans="1:15" ht="23.25" customHeight="1" x14ac:dyDescent="0.25">
      <c r="A16" s="74"/>
      <c r="B16" s="83"/>
      <c r="C16" s="83"/>
      <c r="D16" s="75"/>
      <c r="E16" s="65"/>
      <c r="F16" s="75">
        <v>0</v>
      </c>
      <c r="G16" s="75">
        <v>0</v>
      </c>
      <c r="H16" s="75">
        <v>0</v>
      </c>
      <c r="I16" s="75">
        <f t="shared" si="6"/>
        <v>0</v>
      </c>
      <c r="J16" s="75">
        <v>0</v>
      </c>
      <c r="K16" s="75">
        <f t="shared" si="7"/>
        <v>0</v>
      </c>
      <c r="L16" s="75">
        <v>0</v>
      </c>
      <c r="M16" s="75">
        <f t="shared" si="8"/>
        <v>0</v>
      </c>
      <c r="N16" s="228"/>
      <c r="O16" s="75">
        <f t="shared" si="9"/>
        <v>0</v>
      </c>
    </row>
    <row r="17" spans="1:15" ht="23.25" customHeight="1" x14ac:dyDescent="0.25">
      <c r="A17" s="74"/>
      <c r="B17" s="83"/>
      <c r="C17" s="83"/>
      <c r="D17" s="75"/>
      <c r="E17" s="65"/>
      <c r="F17" s="75">
        <v>0</v>
      </c>
      <c r="G17" s="75">
        <v>0</v>
      </c>
      <c r="H17" s="75">
        <v>0</v>
      </c>
      <c r="I17" s="75">
        <f t="shared" si="6"/>
        <v>0</v>
      </c>
      <c r="J17" s="75">
        <v>0</v>
      </c>
      <c r="K17" s="75">
        <f t="shared" si="7"/>
        <v>0</v>
      </c>
      <c r="L17" s="75">
        <v>0</v>
      </c>
      <c r="M17" s="75">
        <f t="shared" si="8"/>
        <v>0</v>
      </c>
      <c r="N17" s="228"/>
      <c r="O17" s="75">
        <f t="shared" si="9"/>
        <v>0</v>
      </c>
    </row>
    <row r="18" spans="1:15" ht="23.25" customHeight="1" x14ac:dyDescent="0.25">
      <c r="A18" s="74" t="s">
        <v>22</v>
      </c>
      <c r="B18" s="83"/>
      <c r="C18" s="83"/>
      <c r="D18" s="75"/>
      <c r="E18" s="65"/>
      <c r="F18" s="75">
        <f>I18-E18</f>
        <v>0</v>
      </c>
      <c r="G18" s="75">
        <v>0</v>
      </c>
      <c r="H18" s="75">
        <v>0</v>
      </c>
      <c r="I18" s="75">
        <f t="shared" si="6"/>
        <v>0</v>
      </c>
      <c r="J18" s="75">
        <v>0</v>
      </c>
      <c r="K18" s="75">
        <f t="shared" si="7"/>
        <v>0</v>
      </c>
      <c r="L18" s="75">
        <v>0</v>
      </c>
      <c r="M18" s="75">
        <f t="shared" si="8"/>
        <v>0</v>
      </c>
      <c r="N18" s="228"/>
      <c r="O18" s="75">
        <f t="shared" si="9"/>
        <v>0</v>
      </c>
    </row>
    <row r="19" spans="1:15" ht="23.25" customHeight="1" x14ac:dyDescent="0.25">
      <c r="A19" s="74"/>
      <c r="B19" s="83"/>
      <c r="C19" s="83"/>
      <c r="D19" s="75"/>
      <c r="E19" s="65"/>
      <c r="F19" s="75">
        <f>I19-E19</f>
        <v>0</v>
      </c>
      <c r="G19" s="75">
        <v>0</v>
      </c>
      <c r="H19" s="75">
        <v>0</v>
      </c>
      <c r="I19" s="75">
        <f t="shared" si="6"/>
        <v>0</v>
      </c>
      <c r="J19" s="75">
        <v>0</v>
      </c>
      <c r="K19" s="75">
        <f t="shared" si="7"/>
        <v>0</v>
      </c>
      <c r="L19" s="75">
        <v>0</v>
      </c>
      <c r="M19" s="75">
        <f t="shared" si="8"/>
        <v>0</v>
      </c>
      <c r="N19" s="228"/>
      <c r="O19" s="75">
        <f t="shared" si="9"/>
        <v>0</v>
      </c>
    </row>
    <row r="20" spans="1:15" ht="23.25" customHeight="1" x14ac:dyDescent="0.25">
      <c r="A20" s="74"/>
      <c r="B20" s="83"/>
      <c r="D20" s="75"/>
      <c r="E20" s="65"/>
      <c r="F20" s="75">
        <f>I20-E20</f>
        <v>0</v>
      </c>
      <c r="G20" s="75">
        <v>0</v>
      </c>
      <c r="H20" s="75">
        <v>0</v>
      </c>
      <c r="I20" s="75">
        <f t="shared" si="6"/>
        <v>0</v>
      </c>
      <c r="J20" s="75">
        <v>0</v>
      </c>
      <c r="K20" s="75">
        <f t="shared" si="7"/>
        <v>0</v>
      </c>
      <c r="L20" s="75">
        <v>0</v>
      </c>
      <c r="M20" s="75">
        <f t="shared" si="8"/>
        <v>0</v>
      </c>
      <c r="N20" s="228"/>
      <c r="O20" s="75">
        <f t="shared" si="9"/>
        <v>0</v>
      </c>
    </row>
    <row r="21" spans="1:15" ht="23.25" customHeight="1" x14ac:dyDescent="0.25">
      <c r="A21" s="74" t="s">
        <v>23</v>
      </c>
      <c r="B21" s="83"/>
      <c r="C21" s="83"/>
      <c r="D21" s="75"/>
      <c r="E21" s="65"/>
      <c r="F21" s="75">
        <f>I21-E21</f>
        <v>0</v>
      </c>
      <c r="G21" s="75">
        <v>0</v>
      </c>
      <c r="H21" s="75">
        <v>0</v>
      </c>
      <c r="I21" s="75">
        <f t="shared" si="6"/>
        <v>0</v>
      </c>
      <c r="J21" s="75">
        <v>0</v>
      </c>
      <c r="K21" s="75">
        <f t="shared" si="7"/>
        <v>0</v>
      </c>
      <c r="L21" s="75">
        <v>0</v>
      </c>
      <c r="M21" s="75">
        <f t="shared" si="8"/>
        <v>0</v>
      </c>
      <c r="N21" s="228"/>
      <c r="O21" s="75">
        <f t="shared" si="9"/>
        <v>0</v>
      </c>
    </row>
    <row r="22" spans="1:15" ht="23.25" customHeight="1" x14ac:dyDescent="0.25">
      <c r="A22" s="74"/>
      <c r="B22" s="83"/>
      <c r="C22" s="83"/>
      <c r="D22" s="75"/>
      <c r="E22" s="65"/>
      <c r="F22" s="75">
        <f>I22-E22</f>
        <v>0</v>
      </c>
      <c r="G22" s="75">
        <v>0</v>
      </c>
      <c r="H22" s="75">
        <v>0</v>
      </c>
      <c r="I22" s="75">
        <f t="shared" si="6"/>
        <v>0</v>
      </c>
      <c r="J22" s="75">
        <v>0</v>
      </c>
      <c r="K22" s="75">
        <f t="shared" si="7"/>
        <v>0</v>
      </c>
      <c r="L22" s="75">
        <v>0</v>
      </c>
      <c r="M22" s="75">
        <f t="shared" si="8"/>
        <v>0</v>
      </c>
      <c r="N22" s="228"/>
      <c r="O22" s="75">
        <f t="shared" si="9"/>
        <v>0</v>
      </c>
    </row>
    <row r="23" spans="1:15" ht="23.25" customHeight="1" x14ac:dyDescent="0.25">
      <c r="A23" s="26" t="s">
        <v>24</v>
      </c>
      <c r="B23" s="42"/>
      <c r="C23" s="45"/>
      <c r="D23" s="29"/>
      <c r="E23" s="76">
        <f t="shared" ref="E23:M23" si="10">SUM(E14:E22)</f>
        <v>0</v>
      </c>
      <c r="F23" s="76">
        <f t="shared" si="10"/>
        <v>0</v>
      </c>
      <c r="G23" s="76">
        <f t="shared" si="10"/>
        <v>0</v>
      </c>
      <c r="H23" s="76">
        <f t="shared" si="10"/>
        <v>0</v>
      </c>
      <c r="I23" s="76">
        <f t="shared" si="10"/>
        <v>0</v>
      </c>
      <c r="J23" s="76">
        <f t="shared" si="10"/>
        <v>0</v>
      </c>
      <c r="K23" s="76">
        <f t="shared" si="10"/>
        <v>0</v>
      </c>
      <c r="L23" s="76">
        <f t="shared" si="10"/>
        <v>0</v>
      </c>
      <c r="M23" s="76">
        <f t="shared" si="10"/>
        <v>0</v>
      </c>
      <c r="N23" s="76">
        <f>L23-J23</f>
        <v>0</v>
      </c>
      <c r="O23" s="77">
        <f>SUM(O14:O22)</f>
        <v>0</v>
      </c>
    </row>
    <row r="24" spans="1:15" ht="23.25" customHeight="1" x14ac:dyDescent="0.25">
      <c r="A24" s="74" t="s">
        <v>25</v>
      </c>
      <c r="B24" s="179"/>
      <c r="C24" s="197"/>
      <c r="D24" s="75"/>
      <c r="E24" s="65"/>
      <c r="F24" s="75">
        <f t="shared" ref="F24:F43" si="11">I24-E24</f>
        <v>0</v>
      </c>
      <c r="G24" s="75">
        <v>0</v>
      </c>
      <c r="H24" s="75">
        <v>0</v>
      </c>
      <c r="I24" s="75">
        <f t="shared" ref="I24:I32" si="12">SUM(G24:H24)</f>
        <v>0</v>
      </c>
      <c r="J24" s="75">
        <v>0</v>
      </c>
      <c r="K24" s="75">
        <f t="shared" ref="K24:K32" si="13">SUM(J24)</f>
        <v>0</v>
      </c>
      <c r="L24" s="75">
        <v>0</v>
      </c>
      <c r="M24" s="75">
        <f t="shared" ref="M24:M32" si="14">L24</f>
        <v>0</v>
      </c>
      <c r="N24" s="228"/>
      <c r="O24" s="75">
        <f t="shared" ref="O24:O32" si="15">G24+H24+L24</f>
        <v>0</v>
      </c>
    </row>
    <row r="25" spans="1:15" ht="23.25" customHeight="1" x14ac:dyDescent="0.25">
      <c r="A25" s="74"/>
      <c r="B25" s="169"/>
      <c r="C25" s="83"/>
      <c r="D25" s="75"/>
      <c r="E25" s="65"/>
      <c r="F25" s="75">
        <f t="shared" si="11"/>
        <v>0</v>
      </c>
      <c r="G25" s="75">
        <v>0</v>
      </c>
      <c r="H25" s="75">
        <v>0</v>
      </c>
      <c r="I25" s="75">
        <f t="shared" si="12"/>
        <v>0</v>
      </c>
      <c r="J25" s="75">
        <v>0</v>
      </c>
      <c r="K25" s="75">
        <f t="shared" si="13"/>
        <v>0</v>
      </c>
      <c r="L25" s="75">
        <v>0</v>
      </c>
      <c r="M25" s="75">
        <f t="shared" si="14"/>
        <v>0</v>
      </c>
      <c r="N25" s="228"/>
      <c r="O25" s="75">
        <f t="shared" si="15"/>
        <v>0</v>
      </c>
    </row>
    <row r="26" spans="1:15" ht="23.25" customHeight="1" x14ac:dyDescent="0.25">
      <c r="A26" s="74"/>
      <c r="B26" s="83"/>
      <c r="C26" s="83"/>
      <c r="D26" s="75"/>
      <c r="E26" s="65"/>
      <c r="F26" s="75">
        <f t="shared" si="11"/>
        <v>0</v>
      </c>
      <c r="G26" s="75">
        <v>0</v>
      </c>
      <c r="H26" s="75">
        <v>0</v>
      </c>
      <c r="I26" s="75">
        <f t="shared" si="12"/>
        <v>0</v>
      </c>
      <c r="J26" s="75">
        <v>0</v>
      </c>
      <c r="K26" s="75">
        <f t="shared" si="13"/>
        <v>0</v>
      </c>
      <c r="L26" s="75">
        <v>0</v>
      </c>
      <c r="M26" s="75">
        <f t="shared" si="14"/>
        <v>0</v>
      </c>
      <c r="N26" s="228"/>
      <c r="O26" s="75">
        <f t="shared" si="15"/>
        <v>0</v>
      </c>
    </row>
    <row r="27" spans="1:15" ht="23.25" customHeight="1" x14ac:dyDescent="0.25">
      <c r="A27" s="74" t="s">
        <v>26</v>
      </c>
      <c r="B27" s="83"/>
      <c r="C27" s="83"/>
      <c r="D27" s="75" t="s">
        <v>27</v>
      </c>
      <c r="E27" s="65"/>
      <c r="F27" s="75">
        <f t="shared" si="11"/>
        <v>0</v>
      </c>
      <c r="G27" s="75">
        <v>0</v>
      </c>
      <c r="H27" s="75">
        <v>0</v>
      </c>
      <c r="I27" s="75">
        <f t="shared" si="12"/>
        <v>0</v>
      </c>
      <c r="J27" s="75">
        <v>0</v>
      </c>
      <c r="K27" s="75">
        <f t="shared" si="13"/>
        <v>0</v>
      </c>
      <c r="L27" s="75">
        <v>0</v>
      </c>
      <c r="M27" s="75">
        <f t="shared" si="14"/>
        <v>0</v>
      </c>
      <c r="N27" s="228"/>
      <c r="O27" s="75">
        <f t="shared" si="15"/>
        <v>0</v>
      </c>
    </row>
    <row r="28" spans="1:15" ht="23.25" customHeight="1" x14ac:dyDescent="0.25">
      <c r="A28" s="74"/>
      <c r="B28" s="83"/>
      <c r="C28" s="83"/>
      <c r="D28" s="75"/>
      <c r="E28" s="65"/>
      <c r="F28" s="75">
        <f t="shared" si="11"/>
        <v>0</v>
      </c>
      <c r="G28" s="75">
        <v>0</v>
      </c>
      <c r="H28" s="75">
        <v>0</v>
      </c>
      <c r="I28" s="75">
        <f t="shared" si="12"/>
        <v>0</v>
      </c>
      <c r="J28" s="75">
        <v>0</v>
      </c>
      <c r="K28" s="75">
        <f t="shared" si="13"/>
        <v>0</v>
      </c>
      <c r="L28" s="75">
        <v>0</v>
      </c>
      <c r="M28" s="75">
        <f t="shared" si="14"/>
        <v>0</v>
      </c>
      <c r="N28" s="228"/>
      <c r="O28" s="75">
        <f t="shared" si="15"/>
        <v>0</v>
      </c>
    </row>
    <row r="29" spans="1:15" ht="23.25" customHeight="1" x14ac:dyDescent="0.25">
      <c r="A29" s="74"/>
      <c r="B29" s="83"/>
      <c r="C29" s="83"/>
      <c r="D29" s="75"/>
      <c r="E29" s="65"/>
      <c r="F29" s="75">
        <f t="shared" si="11"/>
        <v>0</v>
      </c>
      <c r="G29" s="75">
        <v>0</v>
      </c>
      <c r="H29" s="75">
        <v>0</v>
      </c>
      <c r="I29" s="75">
        <f t="shared" si="12"/>
        <v>0</v>
      </c>
      <c r="J29" s="75">
        <v>0</v>
      </c>
      <c r="K29" s="75">
        <f t="shared" si="13"/>
        <v>0</v>
      </c>
      <c r="L29" s="75">
        <v>0</v>
      </c>
      <c r="M29" s="75">
        <f t="shared" si="14"/>
        <v>0</v>
      </c>
      <c r="N29" s="228"/>
      <c r="O29" s="75">
        <f t="shared" si="15"/>
        <v>0</v>
      </c>
    </row>
    <row r="30" spans="1:15" ht="23.25" customHeight="1" x14ac:dyDescent="0.25">
      <c r="A30" s="74" t="s">
        <v>28</v>
      </c>
      <c r="B30" s="83"/>
      <c r="C30" s="83"/>
      <c r="D30" s="75"/>
      <c r="E30" s="65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f t="shared" si="13"/>
        <v>0</v>
      </c>
      <c r="L30" s="75">
        <v>0</v>
      </c>
      <c r="M30" s="75">
        <f t="shared" si="14"/>
        <v>0</v>
      </c>
      <c r="N30" s="228"/>
      <c r="O30" s="75">
        <f t="shared" si="15"/>
        <v>0</v>
      </c>
    </row>
    <row r="31" spans="1:15" ht="23.25" customHeight="1" x14ac:dyDescent="0.25">
      <c r="A31" s="74"/>
      <c r="B31" s="83"/>
      <c r="C31" s="83"/>
      <c r="D31" s="75"/>
      <c r="E31" s="65"/>
      <c r="F31" s="75">
        <f t="shared" si="11"/>
        <v>0</v>
      </c>
      <c r="G31" s="75">
        <v>0</v>
      </c>
      <c r="H31" s="75">
        <v>0</v>
      </c>
      <c r="I31" s="75">
        <f t="shared" si="12"/>
        <v>0</v>
      </c>
      <c r="J31" s="75">
        <v>0</v>
      </c>
      <c r="K31" s="75">
        <f t="shared" si="13"/>
        <v>0</v>
      </c>
      <c r="L31" s="75">
        <v>0</v>
      </c>
      <c r="M31" s="75">
        <f t="shared" si="14"/>
        <v>0</v>
      </c>
      <c r="N31" s="228"/>
      <c r="O31" s="75">
        <f t="shared" si="15"/>
        <v>0</v>
      </c>
    </row>
    <row r="32" spans="1:15" ht="23.25" customHeight="1" x14ac:dyDescent="0.25">
      <c r="A32" s="74"/>
      <c r="B32" s="83"/>
      <c r="C32" s="83"/>
      <c r="D32" s="75"/>
      <c r="E32" s="65"/>
      <c r="F32" s="75">
        <f t="shared" si="11"/>
        <v>0</v>
      </c>
      <c r="G32" s="75">
        <v>0</v>
      </c>
      <c r="H32" s="75">
        <v>0</v>
      </c>
      <c r="I32" s="75">
        <f t="shared" si="12"/>
        <v>0</v>
      </c>
      <c r="J32" s="75">
        <v>0</v>
      </c>
      <c r="K32" s="75">
        <f t="shared" si="13"/>
        <v>0</v>
      </c>
      <c r="L32" s="75">
        <v>0</v>
      </c>
      <c r="M32" s="75">
        <f t="shared" si="14"/>
        <v>0</v>
      </c>
      <c r="N32" s="228"/>
      <c r="O32" s="75">
        <f t="shared" si="15"/>
        <v>0</v>
      </c>
    </row>
    <row r="33" spans="1:15" ht="23.25" customHeight="1" x14ac:dyDescent="0.25">
      <c r="A33" s="26" t="s">
        <v>29</v>
      </c>
      <c r="B33" s="42"/>
      <c r="C33" s="45"/>
      <c r="D33" s="29"/>
      <c r="E33" s="76">
        <f>SUM(E24:E32)</f>
        <v>0</v>
      </c>
      <c r="F33" s="76">
        <f t="shared" si="11"/>
        <v>0</v>
      </c>
      <c r="G33" s="76">
        <f t="shared" ref="G33:M33" si="16">SUM(G24:G32)</f>
        <v>0</v>
      </c>
      <c r="H33" s="76">
        <f t="shared" si="16"/>
        <v>0</v>
      </c>
      <c r="I33" s="76">
        <f t="shared" si="16"/>
        <v>0</v>
      </c>
      <c r="J33" s="76">
        <f t="shared" si="16"/>
        <v>0</v>
      </c>
      <c r="K33" s="76">
        <f t="shared" si="16"/>
        <v>0</v>
      </c>
      <c r="L33" s="76">
        <f t="shared" si="16"/>
        <v>0</v>
      </c>
      <c r="M33" s="76">
        <f t="shared" si="16"/>
        <v>0</v>
      </c>
      <c r="N33" s="76">
        <f>L33-J33</f>
        <v>0</v>
      </c>
      <c r="O33" s="77">
        <f>SUM(O24:O32)</f>
        <v>0</v>
      </c>
    </row>
    <row r="34" spans="1:15" s="14" customFormat="1" ht="23.25" customHeight="1" x14ac:dyDescent="0.25">
      <c r="A34" s="63" t="s">
        <v>30</v>
      </c>
      <c r="B34" s="83"/>
      <c r="C34" s="83"/>
      <c r="D34" s="64"/>
      <c r="E34" s="83"/>
      <c r="F34" s="64">
        <v>0</v>
      </c>
      <c r="G34" s="64">
        <v>0</v>
      </c>
      <c r="H34" s="64">
        <v>0</v>
      </c>
      <c r="I34" s="64">
        <f t="shared" ref="I34:I41" si="17">SUM(G34:H34)</f>
        <v>0</v>
      </c>
      <c r="J34" s="64">
        <v>0</v>
      </c>
      <c r="K34" s="64">
        <f t="shared" ref="K34:K41" si="18">SUM(J34)</f>
        <v>0</v>
      </c>
      <c r="L34" s="64">
        <v>0</v>
      </c>
      <c r="M34" s="64">
        <f t="shared" ref="M34:M41" si="19">L34</f>
        <v>0</v>
      </c>
      <c r="N34" s="228"/>
      <c r="O34" s="64">
        <f t="shared" ref="O34:O41" si="20">G34+H34+L34</f>
        <v>0</v>
      </c>
    </row>
    <row r="35" spans="1:15" ht="23.25" customHeight="1" x14ac:dyDescent="0.25">
      <c r="A35" s="74"/>
      <c r="B35" s="83"/>
      <c r="C35" s="83"/>
      <c r="D35" s="75"/>
      <c r="E35" s="65"/>
      <c r="F35" s="75">
        <v>0</v>
      </c>
      <c r="G35" s="75">
        <v>0</v>
      </c>
      <c r="H35" s="75">
        <v>0</v>
      </c>
      <c r="I35" s="75">
        <f t="shared" si="17"/>
        <v>0</v>
      </c>
      <c r="J35" s="75">
        <v>0</v>
      </c>
      <c r="K35" s="75">
        <f t="shared" si="18"/>
        <v>0</v>
      </c>
      <c r="L35" s="75"/>
      <c r="M35" s="75">
        <f t="shared" si="19"/>
        <v>0</v>
      </c>
      <c r="N35" s="228"/>
      <c r="O35" s="75">
        <f t="shared" si="20"/>
        <v>0</v>
      </c>
    </row>
    <row r="36" spans="1:15" ht="23.25" customHeight="1" x14ac:dyDescent="0.25">
      <c r="A36" s="74"/>
      <c r="B36" s="83" t="s">
        <v>408</v>
      </c>
      <c r="C36" s="83" t="s">
        <v>409</v>
      </c>
      <c r="D36" s="75"/>
      <c r="E36" s="65"/>
      <c r="F36" s="75">
        <v>0</v>
      </c>
      <c r="G36" s="75">
        <v>503.14</v>
      </c>
      <c r="H36" s="75">
        <v>0</v>
      </c>
      <c r="I36" s="75">
        <f t="shared" si="17"/>
        <v>503.14</v>
      </c>
      <c r="J36" s="75">
        <v>0</v>
      </c>
      <c r="K36" s="75">
        <f t="shared" si="18"/>
        <v>0</v>
      </c>
      <c r="L36" s="75">
        <v>0</v>
      </c>
      <c r="M36" s="75">
        <f t="shared" si="19"/>
        <v>0</v>
      </c>
      <c r="N36" s="228"/>
      <c r="O36" s="75">
        <f t="shared" si="20"/>
        <v>503.14</v>
      </c>
    </row>
    <row r="37" spans="1:15" ht="23.25" customHeight="1" x14ac:dyDescent="0.25">
      <c r="B37" s="83"/>
      <c r="C37" s="83"/>
      <c r="D37" s="75"/>
      <c r="E37" s="65"/>
      <c r="F37" s="75">
        <f t="shared" si="11"/>
        <v>0</v>
      </c>
      <c r="G37" s="75">
        <v>0</v>
      </c>
      <c r="H37" s="75">
        <v>0</v>
      </c>
      <c r="I37" s="75">
        <f t="shared" si="17"/>
        <v>0</v>
      </c>
      <c r="J37" s="75">
        <v>0</v>
      </c>
      <c r="K37" s="75">
        <f t="shared" si="18"/>
        <v>0</v>
      </c>
      <c r="L37" s="75">
        <v>0</v>
      </c>
      <c r="M37" s="75">
        <f t="shared" si="19"/>
        <v>0</v>
      </c>
      <c r="N37" s="228"/>
      <c r="O37" s="75">
        <f t="shared" si="20"/>
        <v>0</v>
      </c>
    </row>
    <row r="38" spans="1:15" ht="23.25" customHeight="1" x14ac:dyDescent="0.25">
      <c r="A38" s="63" t="s">
        <v>31</v>
      </c>
      <c r="B38" s="83"/>
      <c r="C38" s="83"/>
      <c r="D38" s="75"/>
      <c r="E38" s="65"/>
      <c r="F38" s="75">
        <v>0</v>
      </c>
      <c r="G38" s="75">
        <v>0</v>
      </c>
      <c r="H38" s="75">
        <v>0</v>
      </c>
      <c r="I38" s="75">
        <f t="shared" si="17"/>
        <v>0</v>
      </c>
      <c r="J38" s="75">
        <v>0</v>
      </c>
      <c r="K38" s="75">
        <f t="shared" si="18"/>
        <v>0</v>
      </c>
      <c r="L38" s="75">
        <v>0</v>
      </c>
      <c r="M38" s="75">
        <f t="shared" si="19"/>
        <v>0</v>
      </c>
      <c r="N38" s="228"/>
      <c r="O38" s="75">
        <f t="shared" si="20"/>
        <v>0</v>
      </c>
    </row>
    <row r="39" spans="1:15" ht="23.25" customHeight="1" x14ac:dyDescent="0.25">
      <c r="A39" s="65"/>
      <c r="B39" s="133"/>
      <c r="C39" s="83"/>
      <c r="D39" s="75"/>
      <c r="E39" s="65"/>
      <c r="F39" s="75">
        <v>0</v>
      </c>
      <c r="G39" s="75">
        <v>0</v>
      </c>
      <c r="H39" s="75">
        <v>0</v>
      </c>
      <c r="I39" s="75">
        <f t="shared" si="17"/>
        <v>0</v>
      </c>
      <c r="J39" s="75">
        <v>0</v>
      </c>
      <c r="K39" s="75">
        <f>SUM(J39)</f>
        <v>0</v>
      </c>
      <c r="L39" s="75">
        <v>0</v>
      </c>
      <c r="M39" s="75">
        <f>L39</f>
        <v>0</v>
      </c>
      <c r="N39" s="228"/>
      <c r="O39" s="75">
        <f>G39+H39+L39</f>
        <v>0</v>
      </c>
    </row>
    <row r="40" spans="1:15" ht="23.25" customHeight="1" x14ac:dyDescent="0.25">
      <c r="A40" s="65"/>
      <c r="C40" s="83"/>
      <c r="D40" s="75"/>
      <c r="E40" s="65"/>
      <c r="F40" s="75">
        <v>0</v>
      </c>
      <c r="G40" s="75">
        <v>0</v>
      </c>
      <c r="H40" s="75">
        <v>0</v>
      </c>
      <c r="I40" s="75">
        <f t="shared" si="17"/>
        <v>0</v>
      </c>
      <c r="J40" s="75">
        <v>0</v>
      </c>
      <c r="K40" s="75">
        <f>SUM(J40)</f>
        <v>0</v>
      </c>
      <c r="L40" s="75">
        <v>0</v>
      </c>
      <c r="M40" s="75">
        <f>L40</f>
        <v>0</v>
      </c>
      <c r="N40" s="228"/>
      <c r="O40" s="75">
        <f>G40+H40+L40</f>
        <v>0</v>
      </c>
    </row>
    <row r="41" spans="1:15" s="14" customFormat="1" ht="23.25" customHeight="1" x14ac:dyDescent="0.25">
      <c r="A41" s="63"/>
      <c r="B41" s="83"/>
      <c r="C41" s="83"/>
      <c r="D41" s="64"/>
      <c r="E41" s="83"/>
      <c r="F41" s="64">
        <f t="shared" si="11"/>
        <v>0</v>
      </c>
      <c r="G41" s="64">
        <v>0</v>
      </c>
      <c r="H41" s="64">
        <v>0</v>
      </c>
      <c r="I41" s="64">
        <f t="shared" si="17"/>
        <v>0</v>
      </c>
      <c r="J41" s="64">
        <v>0</v>
      </c>
      <c r="K41" s="64">
        <f t="shared" si="18"/>
        <v>0</v>
      </c>
      <c r="L41" s="64">
        <v>0</v>
      </c>
      <c r="M41" s="64">
        <f t="shared" si="19"/>
        <v>0</v>
      </c>
      <c r="N41" s="66"/>
      <c r="O41" s="64">
        <f t="shared" si="20"/>
        <v>0</v>
      </c>
    </row>
    <row r="42" spans="1:15" s="14" customFormat="1" ht="23.25" customHeight="1" x14ac:dyDescent="0.25">
      <c r="A42" s="48" t="s">
        <v>32</v>
      </c>
      <c r="B42" s="42"/>
      <c r="C42" s="45"/>
      <c r="D42" s="49"/>
      <c r="E42" s="67">
        <f>SUM(G34:G40)</f>
        <v>503.14</v>
      </c>
      <c r="F42" s="67">
        <f t="shared" si="11"/>
        <v>0</v>
      </c>
      <c r="G42" s="67">
        <f t="shared" ref="G42:M42" si="21">SUM(G34:G40)</f>
        <v>503.14</v>
      </c>
      <c r="H42" s="67">
        <f t="shared" si="21"/>
        <v>0</v>
      </c>
      <c r="I42" s="67">
        <f t="shared" si="21"/>
        <v>503.14</v>
      </c>
      <c r="J42" s="67">
        <f t="shared" si="21"/>
        <v>0</v>
      </c>
      <c r="K42" s="67">
        <f t="shared" si="21"/>
        <v>0</v>
      </c>
      <c r="L42" s="67">
        <f t="shared" si="21"/>
        <v>0</v>
      </c>
      <c r="M42" s="67">
        <f t="shared" si="21"/>
        <v>0</v>
      </c>
      <c r="N42" s="67">
        <f>L42-J42</f>
        <v>0</v>
      </c>
      <c r="O42" s="68">
        <f>SUM(O34:O40)</f>
        <v>503.14</v>
      </c>
    </row>
    <row r="43" spans="1:15" ht="23.25" customHeight="1" x14ac:dyDescent="0.25">
      <c r="A43" s="30" t="s">
        <v>407</v>
      </c>
      <c r="B43" s="43"/>
      <c r="C43" s="46"/>
      <c r="D43" s="33"/>
      <c r="E43" s="69">
        <f>B42+E33+E23+E13</f>
        <v>0</v>
      </c>
      <c r="F43" s="69">
        <f t="shared" si="11"/>
        <v>503.14</v>
      </c>
      <c r="G43" s="69">
        <f>E42+G33+G23+G13</f>
        <v>503.14</v>
      </c>
      <c r="H43" s="69">
        <f t="shared" ref="H43:M43" si="22">H42+H33+H23+H13</f>
        <v>0</v>
      </c>
      <c r="I43" s="69">
        <f t="shared" si="22"/>
        <v>503.14</v>
      </c>
      <c r="J43" s="69">
        <f t="shared" si="22"/>
        <v>0</v>
      </c>
      <c r="K43" s="69">
        <f t="shared" si="22"/>
        <v>0</v>
      </c>
      <c r="L43" s="69">
        <f t="shared" si="22"/>
        <v>0</v>
      </c>
      <c r="M43" s="69">
        <f t="shared" si="22"/>
        <v>0</v>
      </c>
      <c r="N43" s="69">
        <f>L43-J43</f>
        <v>0</v>
      </c>
      <c r="O43" s="77">
        <f>O42+O33+O23+O13</f>
        <v>503.14</v>
      </c>
    </row>
    <row r="44" spans="1:15" x14ac:dyDescent="0.25">
      <c r="A44" s="1"/>
      <c r="B44" s="44"/>
      <c r="C44" s="4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mergeCells count="8">
    <mergeCell ref="N14:N22"/>
    <mergeCell ref="N24:N32"/>
    <mergeCell ref="N34:N40"/>
    <mergeCell ref="G1:I1"/>
    <mergeCell ref="J1:K1"/>
    <mergeCell ref="L1:N1"/>
    <mergeCell ref="O1:O2"/>
    <mergeCell ref="N5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68</vt:i4>
      </vt:variant>
    </vt:vector>
  </HeadingPairs>
  <TitlesOfParts>
    <vt:vector size="68" baseType="lpstr">
      <vt:lpstr>MODELO PLANTILLA</vt:lpstr>
      <vt:lpstr>ALBA RAMIO</vt:lpstr>
      <vt:lpstr>ALBERT REQUENA</vt:lpstr>
      <vt:lpstr>ANNA FONTA</vt:lpstr>
      <vt:lpstr>BARBARA CAPPI</vt:lpstr>
      <vt:lpstr>CAROL STE</vt:lpstr>
      <vt:lpstr>DANIEL SANTOLO</vt:lpstr>
      <vt:lpstr>DIDAC GIL</vt:lpstr>
      <vt:lpstr>ELENA LALUCAT</vt:lpstr>
      <vt:lpstr>EULALIA CUXART</vt:lpstr>
      <vt:lpstr>FREYA MARIE</vt:lpstr>
      <vt:lpstr>GASTON SANCHEZ</vt:lpstr>
      <vt:lpstr>DANILO FACELLI</vt:lpstr>
      <vt:lpstr>DALMAU BOADA</vt:lpstr>
      <vt:lpstr>DAVID PRIEGO</vt:lpstr>
      <vt:lpstr>ELI CAU</vt:lpstr>
      <vt:lpstr>GAIA MAG</vt:lpstr>
      <vt:lpstr>GEMM BERENGUER</vt:lpstr>
      <vt:lpstr>GEORGIA VAR</vt:lpstr>
      <vt:lpstr>GREGORZ</vt:lpstr>
      <vt:lpstr>HECTOR GRANADA</vt:lpstr>
      <vt:lpstr>IRENE ROYO</vt:lpstr>
      <vt:lpstr>IGNACIO RICCI</vt:lpstr>
      <vt:lpstr>INES BOZA</vt:lpstr>
      <vt:lpstr>JADE MORIN</vt:lpstr>
      <vt:lpstr>JORDI GAS</vt:lpstr>
      <vt:lpstr>JORDI PUJA</vt:lpstr>
      <vt:lpstr>JORGE ALB</vt:lpstr>
      <vt:lpstr>JORG DAROCHA</vt:lpstr>
      <vt:lpstr>KARL STETS</vt:lpstr>
      <vt:lpstr>ONA BERROCAL</vt:lpstr>
      <vt:lpstr>LAURA MOR</vt:lpstr>
      <vt:lpstr>LINDA VEL</vt:lpstr>
      <vt:lpstr>LISARD T</vt:lpstr>
      <vt:lpstr>LLUIS FGS</vt:lpstr>
      <vt:lpstr>LLUIS LOPEZ</vt:lpstr>
      <vt:lpstr>MALENA ALBARRACIN</vt:lpstr>
      <vt:lpstr>MARIG</vt:lpstr>
      <vt:lpstr>MARGARITA PONCE</vt:lpstr>
      <vt:lpstr>MARINA MULET</vt:lpstr>
      <vt:lpstr>MARTA CAMUFFI</vt:lpstr>
      <vt:lpstr>MARTA GA</vt:lpstr>
      <vt:lpstr>MAU PAG</vt:lpstr>
      <vt:lpstr>NICO BENI</vt:lpstr>
      <vt:lpstr>NICOCHEV</vt:lpstr>
      <vt:lpstr>STIN KOP</vt:lpstr>
      <vt:lpstr>ROCIO AHU</vt:lpstr>
      <vt:lpstr>SEBASTIAN DIAZ</vt:lpstr>
      <vt:lpstr>SEBASTIAN GUZ</vt:lpstr>
      <vt:lpstr>SON GOM</vt:lpstr>
      <vt:lpstr>THAIS JULIA</vt:lpstr>
      <vt:lpstr>THOM ZETT</vt:lpstr>
      <vt:lpstr>TIZIANO CAFFI</vt:lpstr>
      <vt:lpstr>VICENTE MARTINEZ</vt:lpstr>
      <vt:lpstr>VICT EUGE CAR</vt:lpstr>
      <vt:lpstr>XAVI GARC</vt:lpstr>
      <vt:lpstr>XAVI SANCHEZ</vt:lpstr>
      <vt:lpstr>ZABALLA AGUSTINA</vt:lpstr>
      <vt:lpstr>CIA ELE</vt:lpstr>
      <vt:lpstr>CIA LAS PERLAS</vt:lpstr>
      <vt:lpstr>CIA LAS SISTARS</vt:lpstr>
      <vt:lpstr>PILAR DE DOS_NEUS CANALIAS</vt:lpstr>
      <vt:lpstr>CIA CIRCOBAYA</vt:lpstr>
      <vt:lpstr>CIA SOM NOISE</vt:lpstr>
      <vt:lpstr>CIA TERCIO INCLUSO</vt:lpstr>
      <vt:lpstr>CIA TWISTING</vt:lpstr>
      <vt:lpstr>CIA XUCRUT</vt:lpstr>
      <vt:lpstr>CIA LAS CALVAS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Win7</dc:creator>
  <cp:keywords/>
  <dc:description/>
  <cp:lastModifiedBy>Asus</cp:lastModifiedBy>
  <cp:revision/>
  <dcterms:created xsi:type="dcterms:W3CDTF">2018-01-09T10:28:56Z</dcterms:created>
  <dcterms:modified xsi:type="dcterms:W3CDTF">2025-02-11T13:46:58Z</dcterms:modified>
  <cp:category/>
  <cp:contentStatus/>
</cp:coreProperties>
</file>